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I_Project\sst-audit\data\"/>
    </mc:Choice>
  </mc:AlternateContent>
  <xr:revisionPtr revIDLastSave="0" documentId="8_{6682AA5F-FCCE-4142-B51D-A4125D263A84}" xr6:coauthVersionLast="46" xr6:coauthVersionMax="46" xr10:uidLastSave="{00000000-0000-0000-0000-000000000000}"/>
  <bookViews>
    <workbookView xWindow="-108" yWindow="-108" windowWidth="23256" windowHeight="14616" activeTab="1" xr2:uid="{17C089B8-63B9-46B6-B6C0-B68E7836BCA9}"/>
  </bookViews>
  <sheets>
    <sheet name="Лист1" sheetId="1" r:id="rId1"/>
    <sheet name="ЛС 02-01-05" sheetId="2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3" i="2" l="1"/>
</calcChain>
</file>

<file path=xl/sharedStrings.xml><?xml version="1.0" encoding="utf-8"?>
<sst xmlns="http://schemas.openxmlformats.org/spreadsheetml/2006/main" count="471" uniqueCount="165">
  <si>
    <t xml:space="preserve">Итого по смете: </t>
  </si>
  <si>
    <t>Итого по разделу: Санитарно-техническое оборудование</t>
  </si>
  <si>
    <t>ВСЕГО по позиции:</t>
  </si>
  <si>
    <t/>
  </si>
  <si>
    <t>ШТ</t>
  </si>
  <si>
    <r>
      <t>Сифон с воронкой с разрывом струи</t>
    </r>
    <r>
      <rPr>
        <i/>
        <sz val="10"/>
        <rFont val="Arial"/>
        <family val="2"/>
        <charset val="204"/>
      </rPr>
      <t xml:space="preserve">
133,38 = [1 624 / 1,22 /  10,18] +  2% Заг.скл</t>
    </r>
  </si>
  <si>
    <t>Прайс-лист</t>
  </si>
  <si>
    <r>
      <t>Капельная воронка с гидрозатвором по типу ТП-21 для отвода конденсата от кондиционеров</t>
    </r>
    <r>
      <rPr>
        <i/>
        <sz val="10"/>
        <rFont val="Arial"/>
        <family val="2"/>
        <charset val="204"/>
      </rPr>
      <t xml:space="preserve">
105,11 = [1 279,89 / 1,22 /  10,18] +  2% Заг.скл</t>
    </r>
  </si>
  <si>
    <t>ВСЕГО работ по позиции:</t>
  </si>
  <si>
    <t>1,15*1,2</t>
  </si>
  <si>
    <t>чел-ч</t>
  </si>
  <si>
    <t>ЗТР</t>
  </si>
  <si>
    <t>%</t>
  </si>
  <si>
    <t>СП от ФОТ</t>
  </si>
  <si>
    <t>НР от ФОТ</t>
  </si>
  <si>
    <t>МР</t>
  </si>
  <si>
    <t>1,25*1,2</t>
  </si>
  <si>
    <t>в т.ч. ЗПМ</t>
  </si>
  <si>
    <t>ЭМ</t>
  </si>
  <si>
    <t>ЗП</t>
  </si>
  <si>
    <t>1 воронка</t>
  </si>
  <si>
    <t>Установка воронок сливных диаметром 50 мм</t>
  </si>
  <si>
    <r>
      <t>3.16-21-2</t>
    </r>
    <r>
      <rPr>
        <i/>
        <sz val="10"/>
        <rFont val="Arial"/>
        <family val="2"/>
        <charset val="204"/>
      </rPr>
      <t xml:space="preserve">
Поправка: Гл.6.Прил.2.2.п.2.2.6_06.00.01.07.001
Поправка: Гл.12.Прил.8.п.8. 3_12.00.01.11.001</t>
    </r>
  </si>
  <si>
    <r>
      <t>Умывальник фаянсовый с отверстием для предотвращения перелива</t>
    </r>
    <r>
      <rPr>
        <i/>
        <sz val="10"/>
        <rFont val="Arial"/>
        <family val="2"/>
        <charset val="204"/>
      </rPr>
      <t xml:space="preserve">
432,82 = [5 270 / 1,22 /  10,18] +  2% Заг.скл</t>
    </r>
  </si>
  <si>
    <t>Объем: 10=5*2</t>
  </si>
  <si>
    <t>КОМПЛЕКТ</t>
  </si>
  <si>
    <t>Кронштейн стальной для умывальников и моек, скрытый, большой, длина 320 мм</t>
  </si>
  <si>
    <t>1.17-2-31</t>
  </si>
  <si>
    <t>шт.</t>
  </si>
  <si>
    <t>Выпуск пластмассовый к санитарно-техническим приборам</t>
  </si>
  <si>
    <t>1.17-2-25</t>
  </si>
  <si>
    <t>Сифон бутылочный латунный</t>
  </si>
  <si>
    <t>1.17-2-8</t>
  </si>
  <si>
    <t>28,1</t>
  </si>
  <si>
    <t>Объем: 0,5=5/10</t>
  </si>
  <si>
    <t>10 комплектов</t>
  </si>
  <si>
    <t>Установка раковин (умывальников) керамических</t>
  </si>
  <si>
    <r>
      <t>3.17-1-20</t>
    </r>
    <r>
      <rPr>
        <i/>
        <sz val="10"/>
        <rFont val="Arial"/>
        <family val="2"/>
        <charset val="204"/>
      </rPr>
      <t xml:space="preserve">
Поправка: Гл.6.Прил.2.2.п.2.2.6_06.00.01.07.001
Поправка: Гл.12.Прил.8.п.8. 3_12.00.01.11.001</t>
    </r>
  </si>
  <si>
    <r>
      <t>Умывальник для маломобильных граждан. Форма прямоугольная с выемкой на фронтальной поверхности</t>
    </r>
    <r>
      <rPr>
        <i/>
        <sz val="10"/>
        <rFont val="Arial"/>
        <family val="2"/>
        <charset val="204"/>
      </rPr>
      <t xml:space="preserve">
1 109,56 = [13 510 / 1,22 /  10,18] +  2% Заг.скл</t>
    </r>
  </si>
  <si>
    <t>24,1</t>
  </si>
  <si>
    <t>Объем: 0,1=1/10</t>
  </si>
  <si>
    <t>Манжета резиновая, ступенчатая или конусная, для унитазов</t>
  </si>
  <si>
    <t>1.12-8-50</t>
  </si>
  <si>
    <t>Отвод из поливинилхлорида гофрированный для унитаза, диаметр 110 мм</t>
  </si>
  <si>
    <t>1.17-2-45</t>
  </si>
  <si>
    <t>Сиденье пластиковое с крышкой к унитазам</t>
  </si>
  <si>
    <t>1.17-3-1</t>
  </si>
  <si>
    <t>Унитаз-компакт керамический нестандартной высоты для маломобильных групп населения с горизонтальным выпуском</t>
  </si>
  <si>
    <t>1.17-1-79</t>
  </si>
  <si>
    <t>20,1</t>
  </si>
  <si>
    <t>Установка унитазов с бачком непосредственно присоединенным</t>
  </si>
  <si>
    <r>
      <t>3.17-3-7</t>
    </r>
    <r>
      <rPr>
        <i/>
        <sz val="10"/>
        <rFont val="Arial"/>
        <family val="2"/>
        <charset val="204"/>
      </rPr>
      <t xml:space="preserve">
Поправка: Гл.6.Прил.2.2.п.2.2.6_06.00.01.07.001
Поправка: Гл.12.Прил.8.п.8. 3_12.00.01.11.001</t>
    </r>
  </si>
  <si>
    <t>Система инсталляции рамного типа, для подвесных унитазов, с клавишей, два режима смыва, объем смывного бака 9 литров, ширина 500 мм, глубина 160 мм, высота 1130 мм, с крепежными элементами</t>
  </si>
  <si>
    <t>1.17-1-83</t>
  </si>
  <si>
    <t>19,1</t>
  </si>
  <si>
    <t>1 комплект</t>
  </si>
  <si>
    <t>Установка комплекта инсталляции</t>
  </si>
  <si>
    <r>
      <t>3.17-14-1</t>
    </r>
    <r>
      <rPr>
        <i/>
        <sz val="10"/>
        <rFont val="Arial"/>
        <family val="2"/>
        <charset val="204"/>
      </rPr>
      <t xml:space="preserve">
Поправка: Гл.6.Прил.2.2.п.2.2.6_06.00.01.07.001
Поправка: Гл.12.Прил.8.п.8. 3_12.00.01.11.001</t>
    </r>
  </si>
  <si>
    <t>Унитаз керамический, подвесной для систем инсталляции, безободковый, с сидением микролифт, с горизонтальным выпуском</t>
  </si>
  <si>
    <t>1.17-1-85</t>
  </si>
  <si>
    <t>16,1</t>
  </si>
  <si>
    <t>Установка подвесного унитаза</t>
  </si>
  <si>
    <r>
      <t>3.17-14-3</t>
    </r>
    <r>
      <rPr>
        <i/>
        <sz val="10"/>
        <rFont val="Arial"/>
        <family val="2"/>
        <charset val="204"/>
      </rPr>
      <t xml:space="preserve">
Поправка: Гл.6.Прил.2.2.п.2.2.6_06.00.01.07.001
Поправка: Гл.12.Прил.8.п.8. 3_12.00.01.11.001</t>
    </r>
  </si>
  <si>
    <t>Раздел: Санитарно-техническое оборудование</t>
  </si>
  <si>
    <t>Итого по разделу: Канализация хозяйственно-бытовая (К1)</t>
  </si>
  <si>
    <t>Объем: 15,75=15*1,05</t>
  </si>
  <si>
    <t>м</t>
  </si>
  <si>
    <t>Трубка теплоизоляционная из вспененного полиэтилена с закрытой ячеистой структурой, для тепло- и шумоизоляции внутренних инженерных систем, температура применения до +95°C, коэффициент теплопроводности при температуре +10°C не более 0,038 Вт/(м х К), группа горючести Г1, внутренний диаметр 133 мм, толщина 13 мм</t>
  </si>
  <si>
    <t>1.1-1-3853</t>
  </si>
  <si>
    <t>л</t>
  </si>
  <si>
    <t>Клей контактный, на основе полихлоропренового каучука, температура эксплуатации от -40 до +105°С, для приклеивания листовых и трубчатых каучуковых теплоизоляционных материалов</t>
  </si>
  <si>
    <t>1.1-1-2544</t>
  </si>
  <si>
    <t>14,2</t>
  </si>
  <si>
    <t>Лента армированная с клеевым слоем, универсального применения, типа ТПЛ, ширина 50 мм, серая</t>
  </si>
  <si>
    <t>1.1-1-2543</t>
  </si>
  <si>
    <t>14,1</t>
  </si>
  <si>
    <t>Объем: 1,5=15/10</t>
  </si>
  <si>
    <t>10 м изоляции</t>
  </si>
  <si>
    <t>Изоляция трубопроводов изделиями из вспененного каучука, вспененного полиэтилена, трубками</t>
  </si>
  <si>
    <r>
      <t>3.26-16-1</t>
    </r>
    <r>
      <rPr>
        <i/>
        <sz val="10"/>
        <rFont val="Arial"/>
        <family val="2"/>
        <charset val="204"/>
      </rPr>
      <t xml:space="preserve">
Поправка: Гл.6.Прил.2.2.п.2.2.6_06.00.01.07.001
Поправка: Гл.12.Прил.8.п.8. 3_12.00.01.11.001</t>
    </r>
  </si>
  <si>
    <t>Объем: 0,01=10/1000</t>
  </si>
  <si>
    <t>1 КМ</t>
  </si>
  <si>
    <t>Промывка без дезинфекции трубопроводов диаметром 100 мм / промывка сущ.выпусков канализации диам100мм гидродинамическим способом</t>
  </si>
  <si>
    <r>
      <t>3.22-27-3</t>
    </r>
    <r>
      <rPr>
        <i/>
        <sz val="10"/>
        <rFont val="Arial"/>
        <family val="2"/>
        <charset val="204"/>
      </rPr>
      <t xml:space="preserve">
Поправка: Гл.6.Прил.2.2.п.2.2.6_06.00.01.07.001
Поправка: Гл.12.Прил.8.п.8. 3_12.00.01.11.001</t>
    </r>
  </si>
  <si>
    <t>Муфта противопожарная из нержавеющей стали, с вкладышем из терморасширяющейся резины, для трубы диаметром 110 мм</t>
  </si>
  <si>
    <t>1.12-5-456</t>
  </si>
  <si>
    <t>Муфта противопожарная из нержавеющей стали, с вкладышем из терморасширяющейся резины, для трубы диаметром 50 мм</t>
  </si>
  <si>
    <t>1.12-5-542</t>
  </si>
  <si>
    <t>Объем: 0,15=(3+12)/100</t>
  </si>
  <si>
    <t>100 шт.</t>
  </si>
  <si>
    <t>Установка противопожарных муфт на канализационных стояках из полипропиленовых труб в междуэтажных перекрытиях, муфт обжимных</t>
  </si>
  <si>
    <r>
      <t>3.16-33-1</t>
    </r>
    <r>
      <rPr>
        <i/>
        <sz val="10"/>
        <rFont val="Arial"/>
        <family val="2"/>
        <charset val="204"/>
      </rPr>
      <t xml:space="preserve">
Поправка: Гл.6.Прил.2.2.п.2.2.6_06.00.01.07.001
Поправка: Гл.12.Прил.8.п.8. 3_12.00.01.11.001</t>
    </r>
  </si>
  <si>
    <t>Объем: 0,0138=0,3*46/1000</t>
  </si>
  <si>
    <t>т</t>
  </si>
  <si>
    <t>Болты строительные анкерные с гайками</t>
  </si>
  <si>
    <t>1.1-1-59</t>
  </si>
  <si>
    <t>Ревизия из полиэтилена низкого давления, с крышкой, для канализации, диаметр 50 мм / прочистка</t>
  </si>
  <si>
    <t>1.12-5-97</t>
  </si>
  <si>
    <t>8,3</t>
  </si>
  <si>
    <t>Заготовка трубная из непластифицированного поливинилхлорида, для внутренней канализации, без средств крепления, диаметр 50 мм</t>
  </si>
  <si>
    <t>1.12-1-79</t>
  </si>
  <si>
    <t>8,2</t>
  </si>
  <si>
    <t>Хомуты из оцинкованной стали с резиновыми прокладками для жесткого и скользящего крепления полипропиленовых труб, наружный диаметр 50 мм</t>
  </si>
  <si>
    <r>
      <t>1.12-2-1165</t>
    </r>
    <r>
      <rPr>
        <i/>
        <sz val="10"/>
        <rFont val="Arial"/>
        <family val="2"/>
        <charset val="204"/>
      </rPr>
      <t xml:space="preserve">
</t>
    </r>
  </si>
  <si>
    <t>8,1</t>
  </si>
  <si>
    <t>Объем: 0,17=17/100</t>
  </si>
  <si>
    <t>100 м</t>
  </si>
  <si>
    <t>Прокладка трубопроводов канализации из ПВХ труб диаметром до 50 мм</t>
  </si>
  <si>
    <r>
      <t>3.16-13-1</t>
    </r>
    <r>
      <rPr>
        <i/>
        <sz val="10"/>
        <rFont val="Arial"/>
        <family val="2"/>
        <charset val="204"/>
      </rPr>
      <t xml:space="preserve">
Поправка: Гл.6.Прил.2.2.п.2.2.6_06.00.01.07.001
Поправка: Гл.12.Прил.8.п.8. 3_12.00.01.11.001</t>
    </r>
  </si>
  <si>
    <t>Объем: 0,045=0,3*150/1000</t>
  </si>
  <si>
    <t>Ревизия из полиэтилена, диаметр 110 мм / прочистка</t>
  </si>
  <si>
    <t>1.12-5-133</t>
  </si>
  <si>
    <t>Крышка ревизии из полиэтилена, диаметр 110 мм</t>
  </si>
  <si>
    <t>1.12-5-134</t>
  </si>
  <si>
    <t>Ревизия из полиэтилена, диаметр 110 мм</t>
  </si>
  <si>
    <r>
      <t>1.12-5-133</t>
    </r>
    <r>
      <rPr>
        <i/>
        <sz val="10"/>
        <rFont val="Arial"/>
        <family val="2"/>
        <charset val="204"/>
      </rPr>
      <t xml:space="preserve">
</t>
    </r>
  </si>
  <si>
    <t>4,3</t>
  </si>
  <si>
    <t>Заготовка трубная из непластифицированного поливинилхлорида, для внутренней канализации, без средств крепления, диаметр 110 мм</t>
  </si>
  <si>
    <t>1.12-1-80</t>
  </si>
  <si>
    <t>4,2</t>
  </si>
  <si>
    <t>Хомуты из оцинкованной стали с резиновыми прокладками для жесткого и скользящего крепления полипропиленовых труб, наружный диаметр 110 мм</t>
  </si>
  <si>
    <r>
      <t>1.12-2-1167</t>
    </r>
    <r>
      <rPr>
        <i/>
        <sz val="10"/>
        <rFont val="Arial"/>
        <family val="2"/>
        <charset val="204"/>
      </rPr>
      <t xml:space="preserve">
</t>
    </r>
  </si>
  <si>
    <t>4,1</t>
  </si>
  <si>
    <t>Объем: 0,62=62/100</t>
  </si>
  <si>
    <t>Прокладка трубопроводов канализации из ПВХ труб диаметром 100 мм - 150 мм</t>
  </si>
  <si>
    <r>
      <t>3.16-13-2</t>
    </r>
    <r>
      <rPr>
        <i/>
        <sz val="10"/>
        <rFont val="Arial"/>
        <family val="2"/>
        <charset val="204"/>
      </rPr>
      <t xml:space="preserve">
Поправка: Гл.6.Прил.2.2.п.2.2.6_06.00.01.07.001
Поправка: Гл.12.Прил.8.п.8. 3_12.00.01.11.001</t>
    </r>
  </si>
  <si>
    <t>1 врезка</t>
  </si>
  <si>
    <t>Врезки в действующие внутренние сети трубопроводов канализации диаметром 100 мм</t>
  </si>
  <si>
    <r>
      <t>3.16-28-2</t>
    </r>
    <r>
      <rPr>
        <i/>
        <sz val="10"/>
        <rFont val="Arial"/>
        <family val="2"/>
        <charset val="204"/>
      </rPr>
      <t xml:space="preserve">
Поправка: Гл.6.Прил.2.2.п.2.2.6_06.00.01.07.001
Поправка: Гл.12.Прил.8.п.8. 3_12.00.01.11.001</t>
    </r>
  </si>
  <si>
    <t>Ревизия чугунная, диаметр условного прохода 100 мм</t>
  </si>
  <si>
    <t>1.12-10-16</t>
  </si>
  <si>
    <t>Узлы трубопроводов из чугунных канализационных труб с фасонными частями, диаметр условного прохода 100 мм</t>
  </si>
  <si>
    <t>1.12-1-69</t>
  </si>
  <si>
    <t>1,1</t>
  </si>
  <si>
    <t>Объем: 0,5=50/100</t>
  </si>
  <si>
    <t>100 м труб</t>
  </si>
  <si>
    <t>Прокладка по стенам зданий и в каналах труб чугунных напорных раструбных диаметром 100 мм</t>
  </si>
  <si>
    <r>
      <t>3.16-2-3</t>
    </r>
    <r>
      <rPr>
        <i/>
        <sz val="10"/>
        <rFont val="Arial"/>
        <family val="2"/>
        <charset val="204"/>
      </rPr>
      <t xml:space="preserve">
Поправка: Гл.6.Прил.2.2.п.2.2.6_06.00.01.07.001
Поправка: Гл.12.Прил.8.п.8. 3_12.00.01.11.001</t>
    </r>
  </si>
  <si>
    <t>Раздел: Канализация хозяйственно-бытовая (К1)</t>
  </si>
  <si>
    <t>ВСЕГО
затрат в
текущем
уровне цен,
руб.</t>
  </si>
  <si>
    <t>Коэффи-
циенты
(индек-
сы) пере-
счета,
нормы
НР и СП</t>
  </si>
  <si>
    <t>Всего в
ценах на
январь 2000 года,
руб.</t>
  </si>
  <si>
    <t>Коэффи-
циенты
зимних
удорожа-
ний</t>
  </si>
  <si>
    <t>Попра-
вочные
коэффи-
циенты</t>
  </si>
  <si>
    <t>Цена на
ед. изм.,
руб.</t>
  </si>
  <si>
    <t>Кол-во
единиц</t>
  </si>
  <si>
    <t>Ед. изм.</t>
  </si>
  <si>
    <t>Наименование работ и затрат</t>
  </si>
  <si>
    <t>Шифр расценки и коды ресурсов</t>
  </si>
  <si>
    <t>№ п/п</t>
  </si>
  <si>
    <t>№ и период сборника коэффициентов (индексов) пересчета: Коэффициенты к ТСН-2001 МГЭ Дополнение 81, ремонт №220 II квартал 2026 года и Коэффициенты к ТСН-2001.13-2 Дополнение 47 №65 II квартал 2026 года</t>
  </si>
  <si>
    <t>Составлен(а) по ТСН-2001 с учетом Дополнения №: 81</t>
  </si>
  <si>
    <t>чел.-ч.</t>
  </si>
  <si>
    <t>Затраты труда</t>
  </si>
  <si>
    <t xml:space="preserve"> тыс.руб.</t>
  </si>
  <si>
    <t>Средства на оплату труда</t>
  </si>
  <si>
    <t>Строительные работы</t>
  </si>
  <si>
    <t>Сметная стоимость</t>
  </si>
  <si>
    <t>В
текущем
уровне
цен</t>
  </si>
  <si>
    <t>В
базисном
уровне
цен</t>
  </si>
  <si>
    <t>(наименование работ и затрат)</t>
  </si>
  <si>
    <t>Водоотведение</t>
  </si>
  <si>
    <t>ЛОКАЛЬНАЯ СМЕТА № 02-01-05</t>
  </si>
  <si>
    <t>(наименование стройки и/или объекта)</t>
  </si>
  <si>
    <t>Форма № 4б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</si>
</sst>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;[Red]\-\ #,##0.00"/>
  </numFmts>
  <fonts count="12" x14ac:knownFonts="1">
    <font>
      <sz val="11"/>
      <color theme="1"/>
      <name val="Calibri"/>
      <family val="2"/>
      <charset val="204"/>
      <scheme val="minor"/>
    </font>
    <font>
      <sz val="10"/>
      <name val="Arial"/>
      <charset val="204"/>
    </font>
    <font>
      <b/>
      <sz val="11"/>
      <name val="Arial"/>
      <family val="2"/>
      <charset val="204"/>
    </font>
    <font>
      <sz val="11"/>
      <name val="Arial"/>
      <family val="2"/>
      <charset val="204"/>
    </font>
    <font>
      <i/>
      <sz val="11"/>
      <name val="Arial"/>
      <family val="2"/>
      <charset val="204"/>
    </font>
    <font>
      <i/>
      <sz val="10"/>
      <name val="Arial"/>
      <family val="2"/>
      <charset val="204"/>
    </font>
    <font>
      <sz val="10"/>
      <name val="Arial"/>
      <family val="2"/>
      <charset val="204"/>
    </font>
    <font>
      <b/>
      <sz val="13"/>
      <name val="Arial"/>
      <family val="2"/>
      <charset val="204"/>
    </font>
    <font>
      <sz val="9"/>
      <name val="Arial"/>
      <family val="2"/>
      <charset val="204"/>
    </font>
    <font>
      <b/>
      <sz val="14"/>
      <name val="Arial"/>
      <family val="2"/>
      <charset val="204"/>
    </font>
    <font>
      <sz val="12"/>
      <name val="Arial"/>
      <family val="2"/>
      <charset val="204"/>
    </font>
    <font>
      <b/>
      <sz val="12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43">
    <xf numFmtId="0" fontId="0" fillId="0" borderId="0" xfId="0"/>
    <xf numFmtId="0" fontId="1" fillId="0" borderId="0" xfId="1"/>
    <xf numFmtId="0" fontId="2" fillId="0" borderId="0" xfId="1" applyFont="1" applyAlignment="1">
      <alignment horizontal="right" vertical="top"/>
    </xf>
    <xf numFmtId="164" fontId="2" fillId="0" borderId="0" xfId="1" applyNumberFormat="1" applyFont="1" applyAlignment="1">
      <alignment horizontal="right" vertical="top"/>
    </xf>
    <xf numFmtId="0" fontId="2" fillId="0" borderId="0" xfId="1" applyFont="1" applyAlignment="1">
      <alignment horizontal="left" wrapText="1"/>
    </xf>
    <xf numFmtId="164" fontId="2" fillId="0" borderId="1" xfId="1" applyNumberFormat="1" applyFont="1" applyBorder="1" applyAlignment="1">
      <alignment horizontal="right" vertical="top"/>
    </xf>
    <xf numFmtId="0" fontId="2" fillId="0" borderId="0" xfId="1" applyFont="1" applyAlignment="1">
      <alignment vertical="top"/>
    </xf>
    <xf numFmtId="164" fontId="3" fillId="0" borderId="2" xfId="1" applyNumberFormat="1" applyFont="1" applyBorder="1" applyAlignment="1">
      <alignment horizontal="right" vertical="top"/>
    </xf>
    <xf numFmtId="0" fontId="3" fillId="0" borderId="2" xfId="1" applyFont="1" applyBorder="1" applyAlignment="1">
      <alignment horizontal="right" vertical="top"/>
    </xf>
    <xf numFmtId="0" fontId="3" fillId="0" borderId="2" xfId="1" quotePrefix="1" applyFont="1" applyBorder="1" applyAlignment="1">
      <alignment horizontal="right" vertical="top" wrapText="1"/>
    </xf>
    <xf numFmtId="0" fontId="4" fillId="0" borderId="2" xfId="1" applyFont="1" applyBorder="1" applyAlignment="1">
      <alignment horizontal="right" vertical="top" wrapText="1"/>
    </xf>
    <xf numFmtId="0" fontId="3" fillId="0" borderId="2" xfId="1" applyFont="1" applyBorder="1" applyAlignment="1">
      <alignment horizontal="left" vertical="top" wrapText="1"/>
    </xf>
    <xf numFmtId="164" fontId="3" fillId="0" borderId="0" xfId="1" applyNumberFormat="1" applyFont="1" applyAlignment="1">
      <alignment horizontal="right" vertical="top"/>
    </xf>
    <xf numFmtId="0" fontId="3" fillId="0" borderId="0" xfId="1" applyFont="1" applyAlignment="1">
      <alignment horizontal="right" vertical="top"/>
    </xf>
    <xf numFmtId="0" fontId="3" fillId="0" borderId="0" xfId="1" applyFont="1" applyAlignment="1">
      <alignment horizontal="right" vertical="top" wrapText="1"/>
    </xf>
    <xf numFmtId="0" fontId="4" fillId="0" borderId="0" xfId="1" applyFont="1" applyAlignment="1">
      <alignment horizontal="right" vertical="top" wrapText="1"/>
    </xf>
    <xf numFmtId="0" fontId="3" fillId="0" borderId="0" xfId="1" applyFont="1" applyAlignment="1">
      <alignment horizontal="left" vertical="top" wrapText="1"/>
    </xf>
    <xf numFmtId="0" fontId="3" fillId="0" borderId="0" xfId="1" quotePrefix="1" applyFont="1" applyAlignment="1">
      <alignment horizontal="right" vertical="top" wrapText="1"/>
    </xf>
    <xf numFmtId="164" fontId="4" fillId="0" borderId="0" xfId="1" applyNumberFormat="1" applyFont="1" applyAlignment="1">
      <alignment horizontal="right" vertical="top"/>
    </xf>
    <xf numFmtId="0" fontId="1" fillId="0" borderId="2" xfId="1" applyBorder="1"/>
    <xf numFmtId="0" fontId="6" fillId="0" borderId="2" xfId="1" applyFont="1" applyBorder="1" applyAlignment="1">
      <alignment vertical="top" wrapText="1"/>
    </xf>
    <xf numFmtId="0" fontId="6" fillId="0" borderId="0" xfId="1" applyFont="1" applyAlignment="1">
      <alignment vertical="top" wrapText="1"/>
    </xf>
    <xf numFmtId="0" fontId="7" fillId="0" borderId="0" xfId="1" applyFont="1" applyAlignment="1">
      <alignment horizontal="center" vertical="top" wrapText="1"/>
    </xf>
    <xf numFmtId="0" fontId="3" fillId="0" borderId="3" xfId="1" applyFont="1" applyBorder="1" applyAlignment="1">
      <alignment horizontal="center" vertical="center" wrapText="1"/>
    </xf>
    <xf numFmtId="0" fontId="3" fillId="0" borderId="4" xfId="1" applyFont="1" applyBorder="1" applyAlignment="1">
      <alignment horizontal="center" vertical="center" wrapText="1"/>
    </xf>
    <xf numFmtId="0" fontId="3" fillId="0" borderId="2" xfId="1" applyFont="1" applyBorder="1" applyAlignment="1">
      <alignment horizontal="left" wrapText="1"/>
    </xf>
    <xf numFmtId="0" fontId="3" fillId="0" borderId="0" xfId="1" applyFont="1"/>
    <xf numFmtId="164" fontId="3" fillId="0" borderId="0" xfId="1" applyNumberFormat="1" applyFont="1"/>
    <xf numFmtId="0" fontId="3" fillId="0" borderId="0" xfId="1" applyFont="1" applyAlignment="1">
      <alignment horizontal="left"/>
    </xf>
    <xf numFmtId="0" fontId="3" fillId="0" borderId="0" xfId="1" applyFont="1" applyAlignment="1">
      <alignment horizontal="left"/>
    </xf>
    <xf numFmtId="0" fontId="2" fillId="0" borderId="0" xfId="1" applyFont="1"/>
    <xf numFmtId="164" fontId="2" fillId="0" borderId="0" xfId="1" applyNumberFormat="1" applyFont="1"/>
    <xf numFmtId="0" fontId="2" fillId="0" borderId="0" xfId="1" applyFont="1" applyAlignment="1">
      <alignment horizontal="left"/>
    </xf>
    <xf numFmtId="0" fontId="3" fillId="0" borderId="0" xfId="1" applyFont="1" applyAlignment="1">
      <alignment horizontal="center" vertical="center" wrapText="1"/>
    </xf>
    <xf numFmtId="0" fontId="3" fillId="0" borderId="0" xfId="1" applyFont="1" applyAlignment="1">
      <alignment horizontal="left" wrapText="1"/>
    </xf>
    <xf numFmtId="0" fontId="1" fillId="0" borderId="0" xfId="1"/>
    <xf numFmtId="0" fontId="8" fillId="0" borderId="0" xfId="1" applyFont="1" applyAlignment="1">
      <alignment horizontal="center" wrapText="1"/>
    </xf>
    <xf numFmtId="0" fontId="9" fillId="0" borderId="2" xfId="1" applyFont="1" applyBorder="1" applyAlignment="1">
      <alignment horizontal="center" wrapText="1"/>
    </xf>
    <xf numFmtId="0" fontId="10" fillId="0" borderId="2" xfId="1" applyFont="1" applyBorder="1" applyAlignment="1">
      <alignment horizontal="center" wrapText="1"/>
    </xf>
    <xf numFmtId="0" fontId="11" fillId="0" borderId="2" xfId="1" applyFont="1" applyBorder="1" applyAlignment="1">
      <alignment horizontal="center" wrapText="1"/>
    </xf>
    <xf numFmtId="0" fontId="8" fillId="0" borderId="1" xfId="1" applyFont="1" applyBorder="1" applyAlignment="1">
      <alignment horizontal="center"/>
    </xf>
    <xf numFmtId="0" fontId="3" fillId="0" borderId="0" xfId="1" applyFont="1" applyAlignment="1">
      <alignment horizontal="right"/>
    </xf>
    <xf numFmtId="0" fontId="8" fillId="0" borderId="0" xfId="1" applyFont="1"/>
  </cellXfs>
  <cellStyles count="2">
    <cellStyle name="Обычный" xfId="0" builtinId="0"/>
    <cellStyle name="Обычный 2" xfId="1" xr:uid="{8EFB2905-327D-45FE-B2A0-EDC4E43C4FB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1057;&#1084;&#1077;&#1090;&#1085;&#1072;&#1103;_&#1076;&#1086;&#1082;&#1091;&#1084;&#1077;&#1085;&#1090;&#1072;&#1094;&#1080;&#110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СРСС"/>
      <sheetName val="ОСР 02-01"/>
      <sheetName val="ЛС 02-01-01"/>
      <sheetName val="ЛС 02-01-02"/>
      <sheetName val="ЛС 02-01-03"/>
      <sheetName val="ЛС 02-01-04"/>
      <sheetName val="ЛС 02-01-06"/>
      <sheetName val="ЛС 02-01-07"/>
      <sheetName val="ЛС 02-01-08"/>
      <sheetName val="ЛС 02-01-09"/>
      <sheetName val="ЛС 02-01-10"/>
      <sheetName val="ЛС 02-01-11"/>
      <sheetName val="ЛС 02-01-12"/>
      <sheetName val="ЛС 02-01-13"/>
      <sheetName val="ЛС 02-01-14"/>
      <sheetName val="ЛС 02-01-15"/>
      <sheetName val="ЛС 02-01-16"/>
      <sheetName val="ЛС 02-01-17"/>
      <sheetName val="ЛС 02-01-18"/>
      <sheetName val="ЛС 02-01-19"/>
      <sheetName val="ЛС 09-01-01"/>
      <sheetName val="Возврат"/>
    </sheetNames>
    <sheetDataSet>
      <sheetData sheetId="0">
        <row r="11">
          <cell r="A11" t="str">
            <v>Выполнение работ по капитальному ремонту здания в Басманном районе ЦАО города Москвы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C9D83-FFFA-42F9-AF5D-52E843EB7A68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45BE5-674D-40CA-BA4B-709967F390F3}">
  <dimension ref="A1:K258"/>
  <sheetViews>
    <sheetView tabSelected="1" zoomScale="64" workbookViewId="0">
      <selection activeCell="B59" sqref="B59"/>
    </sheetView>
  </sheetViews>
  <sheetFormatPr defaultRowHeight="13.2" x14ac:dyDescent="0.25"/>
  <cols>
    <col min="1" max="1" width="5.5546875" style="1" customWidth="1"/>
    <col min="2" max="2" width="11.5546875" style="1" customWidth="1"/>
    <col min="3" max="3" width="40.5546875" style="1" customWidth="1"/>
    <col min="4" max="4" width="11.5546875" style="1" customWidth="1"/>
    <col min="5" max="5" width="7.44140625" style="1" bestFit="1" customWidth="1"/>
    <col min="6" max="6" width="12.44140625" style="1" customWidth="1"/>
    <col min="7" max="7" width="8.44140625" style="1" bestFit="1" customWidth="1"/>
    <col min="8" max="8" width="8.88671875" style="1"/>
    <col min="9" max="9" width="12.77734375" style="1" customWidth="1"/>
    <col min="10" max="10" width="8.88671875" style="1"/>
    <col min="11" max="11" width="14.21875" style="1" customWidth="1"/>
    <col min="12" max="16384" width="8.88671875" style="1"/>
  </cols>
  <sheetData>
    <row r="1" spans="1:11" x14ac:dyDescent="0.25">
      <c r="A1" s="42"/>
    </row>
    <row r="2" spans="1:11" ht="13.8" x14ac:dyDescent="0.25">
      <c r="A2" s="26"/>
      <c r="B2" s="26"/>
      <c r="C2" s="26"/>
      <c r="D2" s="26"/>
      <c r="E2" s="26"/>
      <c r="F2" s="26"/>
      <c r="G2" s="26"/>
      <c r="H2" s="26"/>
      <c r="I2" s="26"/>
      <c r="J2" s="41" t="s">
        <v>164</v>
      </c>
      <c r="K2" s="41"/>
    </row>
    <row r="3" spans="1:11" ht="15.6" x14ac:dyDescent="0.3">
      <c r="A3" s="39" t="str">
        <f>[1]ССРСС!A11</f>
        <v>Выполнение работ по капитальному ремонту здания в Басманном районе ЦАО города Москвы</v>
      </c>
      <c r="B3" s="39"/>
      <c r="C3" s="39"/>
      <c r="D3" s="39"/>
      <c r="E3" s="39"/>
      <c r="F3" s="39"/>
      <c r="G3" s="39"/>
      <c r="H3" s="39"/>
      <c r="I3" s="39"/>
      <c r="J3" s="39"/>
      <c r="K3" s="39"/>
    </row>
    <row r="4" spans="1:11" x14ac:dyDescent="0.25">
      <c r="A4" s="40" t="s">
        <v>163</v>
      </c>
      <c r="B4" s="40"/>
      <c r="C4" s="40"/>
      <c r="D4" s="40"/>
      <c r="E4" s="40"/>
      <c r="F4" s="40"/>
      <c r="G4" s="40"/>
      <c r="H4" s="40"/>
      <c r="I4" s="40"/>
      <c r="J4" s="40"/>
      <c r="K4" s="40"/>
    </row>
    <row r="5" spans="1:11" ht="13.8" x14ac:dyDescent="0.25">
      <c r="A5" s="26"/>
      <c r="B5" s="26"/>
      <c r="C5" s="26"/>
      <c r="D5" s="26"/>
      <c r="E5" s="26"/>
      <c r="F5" s="26"/>
      <c r="G5" s="26"/>
      <c r="H5" s="26"/>
      <c r="I5" s="26"/>
      <c r="J5" s="26"/>
      <c r="K5" s="26"/>
    </row>
    <row r="6" spans="1:11" ht="15.6" x14ac:dyDescent="0.3">
      <c r="A6" s="39" t="s">
        <v>162</v>
      </c>
      <c r="B6" s="38"/>
      <c r="C6" s="38"/>
      <c r="D6" s="38"/>
      <c r="E6" s="38"/>
      <c r="F6" s="38"/>
      <c r="G6" s="38"/>
      <c r="H6" s="38"/>
      <c r="I6" s="38"/>
      <c r="J6" s="38"/>
      <c r="K6" s="38"/>
    </row>
    <row r="7" spans="1:11" ht="13.8" x14ac:dyDescent="0.25">
      <c r="A7" s="26"/>
      <c r="B7" s="26"/>
      <c r="C7" s="26"/>
      <c r="D7" s="26"/>
      <c r="E7" s="26"/>
      <c r="F7" s="26"/>
      <c r="G7" s="26"/>
      <c r="H7" s="26"/>
      <c r="I7" s="26"/>
      <c r="J7" s="26"/>
      <c r="K7" s="26"/>
    </row>
    <row r="8" spans="1:11" ht="17.399999999999999" x14ac:dyDescent="0.3">
      <c r="A8" s="37" t="s">
        <v>161</v>
      </c>
      <c r="B8" s="37"/>
      <c r="C8" s="37"/>
      <c r="D8" s="37"/>
      <c r="E8" s="37"/>
      <c r="F8" s="37"/>
      <c r="G8" s="37"/>
      <c r="H8" s="37"/>
      <c r="I8" s="37"/>
      <c r="J8" s="37"/>
      <c r="K8" s="37"/>
    </row>
    <row r="9" spans="1:11" x14ac:dyDescent="0.25">
      <c r="A9" s="36" t="s">
        <v>160</v>
      </c>
      <c r="B9" s="35"/>
      <c r="C9" s="35"/>
      <c r="D9" s="35"/>
      <c r="E9" s="35"/>
      <c r="F9" s="35"/>
      <c r="G9" s="35"/>
      <c r="H9" s="35"/>
      <c r="I9" s="35"/>
      <c r="J9" s="35"/>
      <c r="K9" s="35"/>
    </row>
    <row r="10" spans="1:11" ht="13.8" x14ac:dyDescent="0.25">
      <c r="A10" s="26"/>
      <c r="B10" s="26"/>
      <c r="C10" s="26"/>
      <c r="D10" s="26"/>
      <c r="E10" s="26"/>
      <c r="F10" s="26"/>
      <c r="G10" s="26"/>
      <c r="H10" s="26"/>
      <c r="I10" s="26"/>
      <c r="J10" s="26"/>
      <c r="K10" s="26"/>
    </row>
    <row r="11" spans="1:11" ht="13.8" x14ac:dyDescent="0.25">
      <c r="A11" s="34"/>
      <c r="B11" s="34"/>
      <c r="C11" s="34"/>
      <c r="D11" s="34"/>
      <c r="E11" s="34"/>
      <c r="F11" s="34"/>
      <c r="G11" s="34"/>
      <c r="H11" s="34"/>
      <c r="I11" s="34"/>
      <c r="J11" s="34"/>
      <c r="K11" s="34"/>
    </row>
    <row r="12" spans="1:11" ht="69" x14ac:dyDescent="0.25">
      <c r="A12" s="26"/>
      <c r="B12" s="26"/>
      <c r="C12" s="26"/>
      <c r="D12" s="26"/>
      <c r="E12" s="26"/>
      <c r="F12" s="26"/>
      <c r="G12" s="26"/>
      <c r="H12" s="26"/>
      <c r="I12" s="33" t="s">
        <v>159</v>
      </c>
      <c r="J12" s="33" t="s">
        <v>158</v>
      </c>
      <c r="K12" s="26"/>
    </row>
    <row r="13" spans="1:11" ht="13.8" x14ac:dyDescent="0.25">
      <c r="A13" s="26"/>
      <c r="B13" s="26"/>
      <c r="C13" s="26"/>
      <c r="D13" s="26"/>
      <c r="E13" s="32" t="s">
        <v>157</v>
      </c>
      <c r="F13" s="32"/>
      <c r="G13" s="32"/>
      <c r="H13" s="32"/>
      <c r="I13" s="31">
        <v>66.73</v>
      </c>
      <c r="J13" s="31">
        <v>841.37</v>
      </c>
      <c r="K13" s="30" t="s">
        <v>154</v>
      </c>
    </row>
    <row r="14" spans="1:11" ht="13.8" x14ac:dyDescent="0.25">
      <c r="A14" s="26"/>
      <c r="B14" s="26"/>
      <c r="C14" s="26"/>
      <c r="D14" s="26"/>
      <c r="E14" s="29" t="s">
        <v>156</v>
      </c>
      <c r="F14" s="29"/>
      <c r="G14" s="29"/>
      <c r="H14" s="29"/>
      <c r="I14" s="27">
        <v>66.73</v>
      </c>
      <c r="J14" s="27">
        <v>841.37</v>
      </c>
      <c r="K14" s="26" t="s">
        <v>154</v>
      </c>
    </row>
    <row r="15" spans="1:11" ht="13.8" x14ac:dyDescent="0.25">
      <c r="A15" s="26"/>
      <c r="B15" s="26"/>
      <c r="C15" s="26"/>
      <c r="D15" s="26"/>
      <c r="E15" s="29" t="s">
        <v>155</v>
      </c>
      <c r="F15" s="29"/>
      <c r="G15" s="29"/>
      <c r="H15" s="29"/>
      <c r="I15" s="27">
        <v>2.2999999999999998</v>
      </c>
      <c r="J15" s="27">
        <v>131.44999999999999</v>
      </c>
      <c r="K15" s="26" t="s">
        <v>154</v>
      </c>
    </row>
    <row r="16" spans="1:11" ht="13.8" x14ac:dyDescent="0.25">
      <c r="A16" s="26"/>
      <c r="B16" s="26"/>
      <c r="C16" s="26"/>
      <c r="D16" s="26"/>
      <c r="E16" s="29" t="s">
        <v>153</v>
      </c>
      <c r="F16" s="29"/>
      <c r="G16" s="29"/>
      <c r="H16" s="29"/>
      <c r="I16" s="27">
        <v>185.35</v>
      </c>
      <c r="J16" s="27"/>
      <c r="K16" s="26" t="s">
        <v>152</v>
      </c>
    </row>
    <row r="17" spans="1:11" ht="13.8" x14ac:dyDescent="0.25">
      <c r="A17" s="26"/>
      <c r="B17" s="26"/>
      <c r="C17" s="26"/>
      <c r="D17" s="26"/>
      <c r="E17" s="26"/>
      <c r="F17" s="28"/>
      <c r="G17" s="28"/>
      <c r="H17" s="28"/>
      <c r="I17" s="27"/>
      <c r="J17" s="27"/>
      <c r="K17" s="26"/>
    </row>
    <row r="18" spans="1:11" ht="13.8" x14ac:dyDescent="0.25">
      <c r="A18" s="26" t="s">
        <v>151</v>
      </c>
      <c r="B18" s="26"/>
      <c r="C18" s="26"/>
      <c r="D18" s="26"/>
      <c r="E18" s="26"/>
      <c r="F18" s="28"/>
      <c r="G18" s="28"/>
      <c r="H18" s="28"/>
      <c r="I18" s="27"/>
      <c r="J18" s="27"/>
      <c r="K18" s="26"/>
    </row>
    <row r="19" spans="1:11" ht="36.75" customHeight="1" x14ac:dyDescent="0.25">
      <c r="A19" s="25" t="s">
        <v>150</v>
      </c>
      <c r="B19" s="25"/>
      <c r="C19" s="25"/>
      <c r="D19" s="25"/>
      <c r="E19" s="25"/>
      <c r="F19" s="25"/>
      <c r="G19" s="25"/>
      <c r="H19" s="25"/>
      <c r="I19" s="25"/>
      <c r="J19" s="25"/>
      <c r="K19" s="25"/>
    </row>
    <row r="20" spans="1:11" ht="110.4" x14ac:dyDescent="0.25">
      <c r="A20" s="23" t="s">
        <v>149</v>
      </c>
      <c r="B20" s="23" t="s">
        <v>148</v>
      </c>
      <c r="C20" s="23" t="s">
        <v>147</v>
      </c>
      <c r="D20" s="23" t="s">
        <v>146</v>
      </c>
      <c r="E20" s="23" t="s">
        <v>145</v>
      </c>
      <c r="F20" s="23" t="s">
        <v>144</v>
      </c>
      <c r="G20" s="24" t="s">
        <v>143</v>
      </c>
      <c r="H20" s="24" t="s">
        <v>142</v>
      </c>
      <c r="I20" s="23" t="s">
        <v>141</v>
      </c>
      <c r="J20" s="23" t="s">
        <v>140</v>
      </c>
      <c r="K20" s="23" t="s">
        <v>139</v>
      </c>
    </row>
    <row r="21" spans="1:11" ht="13.8" x14ac:dyDescent="0.25">
      <c r="A21" s="23">
        <v>1</v>
      </c>
      <c r="B21" s="23">
        <v>2</v>
      </c>
      <c r="C21" s="23">
        <v>3</v>
      </c>
      <c r="D21" s="23">
        <v>4</v>
      </c>
      <c r="E21" s="23">
        <v>5</v>
      </c>
      <c r="F21" s="23">
        <v>6</v>
      </c>
      <c r="G21" s="23">
        <v>7</v>
      </c>
      <c r="H21" s="23">
        <v>8</v>
      </c>
      <c r="I21" s="23">
        <v>9</v>
      </c>
      <c r="J21" s="23">
        <v>10</v>
      </c>
      <c r="K21" s="23">
        <v>11</v>
      </c>
    </row>
    <row r="22" spans="1:11" ht="16.8" x14ac:dyDescent="0.25">
      <c r="A22" s="22" t="s">
        <v>138</v>
      </c>
      <c r="B22" s="22"/>
      <c r="C22" s="22"/>
      <c r="D22" s="22"/>
      <c r="E22" s="22"/>
      <c r="F22" s="22"/>
      <c r="G22" s="22"/>
      <c r="H22" s="22"/>
      <c r="I22" s="22"/>
      <c r="J22" s="22"/>
      <c r="K22" s="22"/>
    </row>
    <row r="23" spans="1:11" ht="145.80000000000001" x14ac:dyDescent="0.25">
      <c r="A23" s="16">
        <v>1</v>
      </c>
      <c r="B23" s="16" t="s">
        <v>137</v>
      </c>
      <c r="C23" s="16" t="s">
        <v>136</v>
      </c>
      <c r="D23" s="15" t="s">
        <v>135</v>
      </c>
      <c r="E23" s="13">
        <v>0.5</v>
      </c>
      <c r="F23" s="12"/>
      <c r="G23" s="14"/>
      <c r="H23" s="13"/>
      <c r="I23" s="12"/>
      <c r="J23" s="13"/>
      <c r="K23" s="12"/>
    </row>
    <row r="24" spans="1:11" x14ac:dyDescent="0.25">
      <c r="C24" s="21" t="s">
        <v>134</v>
      </c>
    </row>
    <row r="25" spans="1:11" ht="14.4" x14ac:dyDescent="0.25">
      <c r="A25" s="16"/>
      <c r="B25" s="16"/>
      <c r="C25" s="16" t="s">
        <v>19</v>
      </c>
      <c r="D25" s="15"/>
      <c r="E25" s="13"/>
      <c r="F25" s="12">
        <v>1395.48</v>
      </c>
      <c r="G25" s="17" t="s">
        <v>9</v>
      </c>
      <c r="H25" s="13">
        <v>1</v>
      </c>
      <c r="I25" s="12">
        <v>962.88</v>
      </c>
      <c r="J25" s="13">
        <v>57.05</v>
      </c>
      <c r="K25" s="12">
        <v>54932.3</v>
      </c>
    </row>
    <row r="26" spans="1:11" ht="14.4" x14ac:dyDescent="0.25">
      <c r="A26" s="16"/>
      <c r="B26" s="16"/>
      <c r="C26" s="16" t="s">
        <v>18</v>
      </c>
      <c r="D26" s="15"/>
      <c r="E26" s="13"/>
      <c r="F26" s="12">
        <v>144.94999999999999</v>
      </c>
      <c r="G26" s="17" t="s">
        <v>16</v>
      </c>
      <c r="H26" s="13">
        <v>1</v>
      </c>
      <c r="I26" s="12">
        <v>108.71</v>
      </c>
      <c r="J26" s="13">
        <v>17.13</v>
      </c>
      <c r="K26" s="12">
        <v>1862.2</v>
      </c>
    </row>
    <row r="27" spans="1:11" ht="14.4" x14ac:dyDescent="0.25">
      <c r="A27" s="16"/>
      <c r="B27" s="16"/>
      <c r="C27" s="16" t="s">
        <v>17</v>
      </c>
      <c r="D27" s="15"/>
      <c r="E27" s="13"/>
      <c r="F27" s="12">
        <v>20.7</v>
      </c>
      <c r="G27" s="17" t="s">
        <v>16</v>
      </c>
      <c r="H27" s="13">
        <v>1</v>
      </c>
      <c r="I27" s="18">
        <v>15.53</v>
      </c>
      <c r="J27" s="13">
        <v>57.05</v>
      </c>
      <c r="K27" s="18">
        <v>885.99</v>
      </c>
    </row>
    <row r="28" spans="1:11" ht="14.4" x14ac:dyDescent="0.25">
      <c r="A28" s="16"/>
      <c r="B28" s="16"/>
      <c r="C28" s="16" t="s">
        <v>15</v>
      </c>
      <c r="D28" s="15"/>
      <c r="E28" s="13"/>
      <c r="F28" s="12">
        <v>202.76</v>
      </c>
      <c r="G28" s="17" t="s">
        <v>3</v>
      </c>
      <c r="H28" s="13">
        <v>1</v>
      </c>
      <c r="I28" s="12">
        <v>101.38</v>
      </c>
      <c r="J28" s="13">
        <v>10.9</v>
      </c>
      <c r="K28" s="12">
        <v>1105.04</v>
      </c>
    </row>
    <row r="29" spans="1:11" ht="55.2" x14ac:dyDescent="0.25">
      <c r="A29" s="16" t="s">
        <v>133</v>
      </c>
      <c r="B29" s="16" t="s">
        <v>132</v>
      </c>
      <c r="C29" s="16" t="s">
        <v>131</v>
      </c>
      <c r="D29" s="15" t="s">
        <v>66</v>
      </c>
      <c r="E29" s="13">
        <v>50.5</v>
      </c>
      <c r="F29" s="12">
        <v>129.06</v>
      </c>
      <c r="G29" s="17" t="s">
        <v>3</v>
      </c>
      <c r="H29" s="13">
        <v>1</v>
      </c>
      <c r="I29" s="12">
        <v>6517.53</v>
      </c>
      <c r="J29" s="13">
        <v>24.94</v>
      </c>
      <c r="K29" s="12">
        <v>162547.20000000001</v>
      </c>
    </row>
    <row r="30" spans="1:11" ht="14.4" x14ac:dyDescent="0.25">
      <c r="A30" s="16"/>
      <c r="B30" s="16"/>
      <c r="C30" s="16" t="s">
        <v>14</v>
      </c>
      <c r="D30" s="15" t="s">
        <v>12</v>
      </c>
      <c r="E30" s="13">
        <v>109</v>
      </c>
      <c r="F30" s="12"/>
      <c r="G30" s="14"/>
      <c r="H30" s="13"/>
      <c r="I30" s="12">
        <v>1066.47</v>
      </c>
      <c r="J30" s="13">
        <v>109</v>
      </c>
      <c r="K30" s="12">
        <v>60841.94</v>
      </c>
    </row>
    <row r="31" spans="1:11" ht="14.4" x14ac:dyDescent="0.25">
      <c r="A31" s="16"/>
      <c r="B31" s="16"/>
      <c r="C31" s="16" t="s">
        <v>13</v>
      </c>
      <c r="D31" s="15" t="s">
        <v>12</v>
      </c>
      <c r="E31" s="13">
        <v>61</v>
      </c>
      <c r="F31" s="12"/>
      <c r="G31" s="14"/>
      <c r="H31" s="13"/>
      <c r="I31" s="12">
        <v>596.83000000000004</v>
      </c>
      <c r="J31" s="13">
        <v>61</v>
      </c>
      <c r="K31" s="12">
        <v>34049.160000000003</v>
      </c>
    </row>
    <row r="32" spans="1:11" ht="14.4" x14ac:dyDescent="0.25">
      <c r="A32" s="11"/>
      <c r="B32" s="11"/>
      <c r="C32" s="11" t="s">
        <v>11</v>
      </c>
      <c r="D32" s="10" t="s">
        <v>10</v>
      </c>
      <c r="E32" s="8">
        <v>116</v>
      </c>
      <c r="F32" s="7"/>
      <c r="G32" s="9" t="s">
        <v>9</v>
      </c>
      <c r="H32" s="8">
        <v>1</v>
      </c>
      <c r="I32" s="7">
        <v>80.040000000000006</v>
      </c>
      <c r="J32" s="8"/>
      <c r="K32" s="7"/>
    </row>
    <row r="33" spans="1:11" ht="13.8" x14ac:dyDescent="0.25">
      <c r="C33" s="6" t="s">
        <v>8</v>
      </c>
      <c r="H33" s="5">
        <v>9353.7999999999993</v>
      </c>
      <c r="I33" s="5"/>
      <c r="J33" s="5">
        <v>315337.84000000003</v>
      </c>
      <c r="K33" s="5"/>
    </row>
    <row r="34" spans="1:11" ht="13.8" x14ac:dyDescent="0.25">
      <c r="C34" s="6" t="s">
        <v>2</v>
      </c>
      <c r="H34" s="3">
        <v>9353.7999999999993</v>
      </c>
      <c r="I34" s="3"/>
      <c r="J34" s="3">
        <v>315337.84000000003</v>
      </c>
      <c r="K34" s="3"/>
    </row>
    <row r="36" spans="1:11" ht="27.6" x14ac:dyDescent="0.25">
      <c r="A36" s="11">
        <v>2</v>
      </c>
      <c r="B36" s="11" t="s">
        <v>130</v>
      </c>
      <c r="C36" s="11" t="s">
        <v>129</v>
      </c>
      <c r="D36" s="10" t="s">
        <v>28</v>
      </c>
      <c r="E36" s="8">
        <v>6</v>
      </c>
      <c r="F36" s="7">
        <v>66.36</v>
      </c>
      <c r="G36" s="9" t="s">
        <v>3</v>
      </c>
      <c r="H36" s="8">
        <v>1</v>
      </c>
      <c r="I36" s="7">
        <v>398.16</v>
      </c>
      <c r="J36" s="8">
        <v>23.78</v>
      </c>
      <c r="K36" s="7">
        <v>9468.24</v>
      </c>
    </row>
    <row r="37" spans="1:11" ht="13.8" x14ac:dyDescent="0.25">
      <c r="C37" s="6" t="s">
        <v>2</v>
      </c>
      <c r="H37" s="5">
        <v>398.16</v>
      </c>
      <c r="I37" s="5"/>
      <c r="J37" s="5">
        <v>9468.24</v>
      </c>
      <c r="K37" s="5"/>
    </row>
    <row r="39" spans="1:11" ht="145.80000000000001" x14ac:dyDescent="0.25">
      <c r="A39" s="16">
        <v>3</v>
      </c>
      <c r="B39" s="16" t="s">
        <v>128</v>
      </c>
      <c r="C39" s="16" t="s">
        <v>127</v>
      </c>
      <c r="D39" s="15" t="s">
        <v>126</v>
      </c>
      <c r="E39" s="13">
        <v>1</v>
      </c>
      <c r="F39" s="12"/>
      <c r="G39" s="14"/>
      <c r="H39" s="13"/>
      <c r="I39" s="12"/>
      <c r="J39" s="13"/>
      <c r="K39" s="12"/>
    </row>
    <row r="40" spans="1:11" ht="14.4" x14ac:dyDescent="0.25">
      <c r="A40" s="16"/>
      <c r="B40" s="16"/>
      <c r="C40" s="16" t="s">
        <v>19</v>
      </c>
      <c r="D40" s="15"/>
      <c r="E40" s="13"/>
      <c r="F40" s="12">
        <v>99.95</v>
      </c>
      <c r="G40" s="17" t="s">
        <v>9</v>
      </c>
      <c r="H40" s="13">
        <v>1</v>
      </c>
      <c r="I40" s="12">
        <v>137.93</v>
      </c>
      <c r="J40" s="13">
        <v>57.05</v>
      </c>
      <c r="K40" s="12">
        <v>7868.91</v>
      </c>
    </row>
    <row r="41" spans="1:11" ht="14.4" x14ac:dyDescent="0.25">
      <c r="A41" s="16"/>
      <c r="B41" s="16"/>
      <c r="C41" s="16" t="s">
        <v>18</v>
      </c>
      <c r="D41" s="15"/>
      <c r="E41" s="13"/>
      <c r="F41" s="12">
        <v>0.83</v>
      </c>
      <c r="G41" s="17" t="s">
        <v>16</v>
      </c>
      <c r="H41" s="13">
        <v>1</v>
      </c>
      <c r="I41" s="12">
        <v>1.25</v>
      </c>
      <c r="J41" s="13">
        <v>17.47</v>
      </c>
      <c r="K41" s="12">
        <v>21.84</v>
      </c>
    </row>
    <row r="42" spans="1:11" ht="14.4" x14ac:dyDescent="0.25">
      <c r="A42" s="16"/>
      <c r="B42" s="16"/>
      <c r="C42" s="16" t="s">
        <v>17</v>
      </c>
      <c r="D42" s="15"/>
      <c r="E42" s="13"/>
      <c r="F42" s="12">
        <v>0.13</v>
      </c>
      <c r="G42" s="17" t="s">
        <v>16</v>
      </c>
      <c r="H42" s="13">
        <v>1</v>
      </c>
      <c r="I42" s="18">
        <v>0.2</v>
      </c>
      <c r="J42" s="13">
        <v>57.05</v>
      </c>
      <c r="K42" s="18">
        <v>11.41</v>
      </c>
    </row>
    <row r="43" spans="1:11" ht="14.4" x14ac:dyDescent="0.25">
      <c r="A43" s="16"/>
      <c r="B43" s="16"/>
      <c r="C43" s="16" t="s">
        <v>15</v>
      </c>
      <c r="D43" s="15"/>
      <c r="E43" s="13"/>
      <c r="F43" s="12">
        <v>8.01</v>
      </c>
      <c r="G43" s="17" t="s">
        <v>3</v>
      </c>
      <c r="H43" s="13">
        <v>1</v>
      </c>
      <c r="I43" s="12">
        <v>8.01</v>
      </c>
      <c r="J43" s="13">
        <v>22.99</v>
      </c>
      <c r="K43" s="12">
        <v>184.15</v>
      </c>
    </row>
    <row r="44" spans="1:11" ht="14.4" x14ac:dyDescent="0.25">
      <c r="A44" s="16"/>
      <c r="B44" s="16"/>
      <c r="C44" s="16" t="s">
        <v>14</v>
      </c>
      <c r="D44" s="15" t="s">
        <v>12</v>
      </c>
      <c r="E44" s="13">
        <v>109</v>
      </c>
      <c r="F44" s="12"/>
      <c r="G44" s="14"/>
      <c r="H44" s="13"/>
      <c r="I44" s="12">
        <v>150.56</v>
      </c>
      <c r="J44" s="13">
        <v>109</v>
      </c>
      <c r="K44" s="12">
        <v>8589.5499999999993</v>
      </c>
    </row>
    <row r="45" spans="1:11" ht="14.4" x14ac:dyDescent="0.25">
      <c r="A45" s="16"/>
      <c r="B45" s="16"/>
      <c r="C45" s="16" t="s">
        <v>13</v>
      </c>
      <c r="D45" s="15" t="s">
        <v>12</v>
      </c>
      <c r="E45" s="13">
        <v>61</v>
      </c>
      <c r="F45" s="12"/>
      <c r="G45" s="14"/>
      <c r="H45" s="13"/>
      <c r="I45" s="12">
        <v>84.26</v>
      </c>
      <c r="J45" s="13">
        <v>61</v>
      </c>
      <c r="K45" s="12">
        <v>4807</v>
      </c>
    </row>
    <row r="46" spans="1:11" ht="14.4" x14ac:dyDescent="0.25">
      <c r="A46" s="11"/>
      <c r="B46" s="11"/>
      <c r="C46" s="11" t="s">
        <v>11</v>
      </c>
      <c r="D46" s="10" t="s">
        <v>10</v>
      </c>
      <c r="E46" s="8">
        <v>8.94</v>
      </c>
      <c r="F46" s="7"/>
      <c r="G46" s="9" t="s">
        <v>9</v>
      </c>
      <c r="H46" s="8">
        <v>1</v>
      </c>
      <c r="I46" s="7">
        <v>12.34</v>
      </c>
      <c r="J46" s="8"/>
      <c r="K46" s="7"/>
    </row>
    <row r="47" spans="1:11" ht="13.8" x14ac:dyDescent="0.25">
      <c r="C47" s="6" t="s">
        <v>8</v>
      </c>
      <c r="H47" s="5">
        <v>382.01</v>
      </c>
      <c r="I47" s="5"/>
      <c r="J47" s="5">
        <v>21471.45</v>
      </c>
      <c r="K47" s="5"/>
    </row>
    <row r="48" spans="1:11" ht="13.8" x14ac:dyDescent="0.25">
      <c r="C48" s="6" t="s">
        <v>2</v>
      </c>
      <c r="H48" s="3">
        <v>382.01</v>
      </c>
      <c r="I48" s="3"/>
      <c r="J48" s="3">
        <v>21471.45</v>
      </c>
      <c r="K48" s="3"/>
    </row>
    <row r="50" spans="1:11" ht="145.80000000000001" x14ac:dyDescent="0.25">
      <c r="A50" s="16">
        <v>4</v>
      </c>
      <c r="B50" s="16" t="s">
        <v>125</v>
      </c>
      <c r="C50" s="16" t="s">
        <v>124</v>
      </c>
      <c r="D50" s="15" t="s">
        <v>106</v>
      </c>
      <c r="E50" s="13">
        <v>0.62</v>
      </c>
      <c r="F50" s="12"/>
      <c r="G50" s="14"/>
      <c r="H50" s="13"/>
      <c r="I50" s="12"/>
      <c r="J50" s="13"/>
      <c r="K50" s="12"/>
    </row>
    <row r="51" spans="1:11" x14ac:dyDescent="0.25">
      <c r="C51" s="21" t="s">
        <v>123</v>
      </c>
    </row>
    <row r="52" spans="1:11" ht="14.4" x14ac:dyDescent="0.25">
      <c r="A52" s="16"/>
      <c r="B52" s="16"/>
      <c r="C52" s="16" t="s">
        <v>19</v>
      </c>
      <c r="D52" s="15"/>
      <c r="E52" s="13"/>
      <c r="F52" s="12">
        <v>716.8</v>
      </c>
      <c r="G52" s="17" t="s">
        <v>9</v>
      </c>
      <c r="H52" s="13">
        <v>1</v>
      </c>
      <c r="I52" s="12">
        <v>613.29</v>
      </c>
      <c r="J52" s="13">
        <v>57.05</v>
      </c>
      <c r="K52" s="12">
        <v>34988.19</v>
      </c>
    </row>
    <row r="53" spans="1:11" ht="14.4" x14ac:dyDescent="0.25">
      <c r="A53" s="16"/>
      <c r="B53" s="16"/>
      <c r="C53" s="16" t="s">
        <v>18</v>
      </c>
      <c r="D53" s="15"/>
      <c r="E53" s="13"/>
      <c r="F53" s="12">
        <v>20.2</v>
      </c>
      <c r="G53" s="17" t="s">
        <v>16</v>
      </c>
      <c r="H53" s="13">
        <v>1</v>
      </c>
      <c r="I53" s="12">
        <v>18.79</v>
      </c>
      <c r="J53" s="13">
        <v>17.059999999999999</v>
      </c>
      <c r="K53" s="12">
        <v>320.56</v>
      </c>
    </row>
    <row r="54" spans="1:11" ht="14.4" x14ac:dyDescent="0.25">
      <c r="A54" s="16"/>
      <c r="B54" s="16"/>
      <c r="C54" s="16" t="s">
        <v>17</v>
      </c>
      <c r="D54" s="15"/>
      <c r="E54" s="13"/>
      <c r="F54" s="12">
        <v>2.86</v>
      </c>
      <c r="G54" s="17" t="s">
        <v>16</v>
      </c>
      <c r="H54" s="13">
        <v>1</v>
      </c>
      <c r="I54" s="18">
        <v>2.66</v>
      </c>
      <c r="J54" s="13">
        <v>57.05</v>
      </c>
      <c r="K54" s="18">
        <v>151.75</v>
      </c>
    </row>
    <row r="55" spans="1:11" ht="14.4" x14ac:dyDescent="0.25">
      <c r="A55" s="16"/>
      <c r="B55" s="16"/>
      <c r="C55" s="16" t="s">
        <v>15</v>
      </c>
      <c r="D55" s="15"/>
      <c r="E55" s="13"/>
      <c r="F55" s="12">
        <v>231.71</v>
      </c>
      <c r="G55" s="17" t="s">
        <v>3</v>
      </c>
      <c r="H55" s="13">
        <v>1</v>
      </c>
      <c r="I55" s="12">
        <v>143.66</v>
      </c>
      <c r="J55" s="13">
        <v>12.69</v>
      </c>
      <c r="K55" s="12">
        <v>1823.05</v>
      </c>
    </row>
    <row r="56" spans="1:11" ht="69" x14ac:dyDescent="0.25">
      <c r="A56" s="16" t="s">
        <v>122</v>
      </c>
      <c r="B56" s="16" t="s">
        <v>121</v>
      </c>
      <c r="C56" s="16" t="s">
        <v>120</v>
      </c>
      <c r="D56" s="15" t="s">
        <v>28</v>
      </c>
      <c r="E56" s="13">
        <v>75</v>
      </c>
      <c r="F56" s="12">
        <v>54.28</v>
      </c>
      <c r="G56" s="17" t="s">
        <v>3</v>
      </c>
      <c r="H56" s="13">
        <v>1</v>
      </c>
      <c r="I56" s="12">
        <v>4071</v>
      </c>
      <c r="J56" s="13">
        <v>0.82</v>
      </c>
      <c r="K56" s="12">
        <v>3338.22</v>
      </c>
    </row>
    <row r="57" spans="1:11" ht="69" x14ac:dyDescent="0.25">
      <c r="A57" s="16" t="s">
        <v>119</v>
      </c>
      <c r="B57" s="16" t="s">
        <v>118</v>
      </c>
      <c r="C57" s="16" t="s">
        <v>117</v>
      </c>
      <c r="D57" s="15" t="s">
        <v>66</v>
      </c>
      <c r="E57" s="13">
        <v>62</v>
      </c>
      <c r="F57" s="12">
        <v>179.22</v>
      </c>
      <c r="G57" s="17" t="s">
        <v>3</v>
      </c>
      <c r="H57" s="13">
        <v>1</v>
      </c>
      <c r="I57" s="12">
        <v>11111.64</v>
      </c>
      <c r="J57" s="13">
        <v>2.2799999999999998</v>
      </c>
      <c r="K57" s="12">
        <v>25334.54</v>
      </c>
    </row>
    <row r="58" spans="1:11" ht="27.6" x14ac:dyDescent="0.25">
      <c r="A58" s="16" t="s">
        <v>116</v>
      </c>
      <c r="B58" s="16" t="s">
        <v>115</v>
      </c>
      <c r="C58" s="16" t="s">
        <v>114</v>
      </c>
      <c r="D58" s="15" t="s">
        <v>28</v>
      </c>
      <c r="E58" s="13">
        <v>6</v>
      </c>
      <c r="F58" s="12">
        <v>53.05</v>
      </c>
      <c r="G58" s="17" t="s">
        <v>3</v>
      </c>
      <c r="H58" s="13">
        <v>1</v>
      </c>
      <c r="I58" s="12">
        <v>318.3</v>
      </c>
      <c r="J58" s="13">
        <v>3.92</v>
      </c>
      <c r="K58" s="12">
        <v>1247.74</v>
      </c>
    </row>
    <row r="59" spans="1:11" ht="14.4" x14ac:dyDescent="0.25">
      <c r="A59" s="16"/>
      <c r="B59" s="16"/>
      <c r="C59" s="16" t="s">
        <v>14</v>
      </c>
      <c r="D59" s="15" t="s">
        <v>12</v>
      </c>
      <c r="E59" s="13">
        <v>109</v>
      </c>
      <c r="F59" s="12"/>
      <c r="G59" s="14"/>
      <c r="H59" s="13"/>
      <c r="I59" s="12">
        <v>671.39</v>
      </c>
      <c r="J59" s="13">
        <v>109</v>
      </c>
      <c r="K59" s="12">
        <v>38302.53</v>
      </c>
    </row>
    <row r="60" spans="1:11" ht="14.4" x14ac:dyDescent="0.25">
      <c r="A60" s="16"/>
      <c r="B60" s="16"/>
      <c r="C60" s="16" t="s">
        <v>13</v>
      </c>
      <c r="D60" s="15" t="s">
        <v>12</v>
      </c>
      <c r="E60" s="13">
        <v>61</v>
      </c>
      <c r="F60" s="12"/>
      <c r="G60" s="14"/>
      <c r="H60" s="13"/>
      <c r="I60" s="12">
        <v>375.73</v>
      </c>
      <c r="J60" s="13">
        <v>61</v>
      </c>
      <c r="K60" s="12">
        <v>21435.360000000001</v>
      </c>
    </row>
    <row r="61" spans="1:11" ht="14.4" x14ac:dyDescent="0.25">
      <c r="A61" s="11"/>
      <c r="B61" s="11"/>
      <c r="C61" s="11" t="s">
        <v>11</v>
      </c>
      <c r="D61" s="10" t="s">
        <v>10</v>
      </c>
      <c r="E61" s="8">
        <v>56</v>
      </c>
      <c r="F61" s="7"/>
      <c r="G61" s="9" t="s">
        <v>9</v>
      </c>
      <c r="H61" s="8">
        <v>1</v>
      </c>
      <c r="I61" s="7">
        <v>47.91</v>
      </c>
      <c r="J61" s="8"/>
      <c r="K61" s="7"/>
    </row>
    <row r="62" spans="1:11" ht="13.8" x14ac:dyDescent="0.25">
      <c r="C62" s="6" t="s">
        <v>8</v>
      </c>
      <c r="H62" s="5">
        <v>17323.8</v>
      </c>
      <c r="I62" s="5"/>
      <c r="J62" s="5">
        <v>126790.19</v>
      </c>
      <c r="K62" s="5"/>
    </row>
    <row r="63" spans="1:11" ht="13.8" x14ac:dyDescent="0.25">
      <c r="C63" s="6" t="s">
        <v>2</v>
      </c>
      <c r="H63" s="3">
        <v>17323.8</v>
      </c>
      <c r="I63" s="3"/>
      <c r="J63" s="3">
        <v>126790.19</v>
      </c>
      <c r="K63" s="3"/>
    </row>
    <row r="65" spans="1:11" ht="27.6" x14ac:dyDescent="0.25">
      <c r="A65" s="11">
        <v>5</v>
      </c>
      <c r="B65" s="11" t="s">
        <v>113</v>
      </c>
      <c r="C65" s="11" t="s">
        <v>112</v>
      </c>
      <c r="D65" s="10" t="s">
        <v>28</v>
      </c>
      <c r="E65" s="8">
        <v>6</v>
      </c>
      <c r="F65" s="7">
        <v>20.21</v>
      </c>
      <c r="G65" s="9" t="s">
        <v>3</v>
      </c>
      <c r="H65" s="8">
        <v>1</v>
      </c>
      <c r="I65" s="7">
        <v>121.26</v>
      </c>
      <c r="J65" s="8">
        <v>4.67</v>
      </c>
      <c r="K65" s="7">
        <v>566.28</v>
      </c>
    </row>
    <row r="66" spans="1:11" ht="13.8" x14ac:dyDescent="0.25">
      <c r="C66" s="6" t="s">
        <v>2</v>
      </c>
      <c r="H66" s="5">
        <v>121.26</v>
      </c>
      <c r="I66" s="5"/>
      <c r="J66" s="5">
        <v>566.28</v>
      </c>
      <c r="K66" s="5"/>
    </row>
    <row r="68" spans="1:11" ht="27.6" x14ac:dyDescent="0.25">
      <c r="A68" s="11">
        <v>6</v>
      </c>
      <c r="B68" s="11" t="s">
        <v>111</v>
      </c>
      <c r="C68" s="11" t="s">
        <v>110</v>
      </c>
      <c r="D68" s="10" t="s">
        <v>28</v>
      </c>
      <c r="E68" s="8">
        <v>5</v>
      </c>
      <c r="F68" s="7">
        <v>53.05</v>
      </c>
      <c r="G68" s="9" t="s">
        <v>3</v>
      </c>
      <c r="H68" s="8">
        <v>1</v>
      </c>
      <c r="I68" s="7">
        <v>265.25</v>
      </c>
      <c r="J68" s="8">
        <v>3.92</v>
      </c>
      <c r="K68" s="7">
        <v>1039.78</v>
      </c>
    </row>
    <row r="69" spans="1:11" ht="13.8" x14ac:dyDescent="0.25">
      <c r="C69" s="6" t="s">
        <v>2</v>
      </c>
      <c r="H69" s="5">
        <v>265.25</v>
      </c>
      <c r="I69" s="5"/>
      <c r="J69" s="5">
        <v>1039.78</v>
      </c>
      <c r="K69" s="5"/>
    </row>
    <row r="71" spans="1:11" ht="27.6" x14ac:dyDescent="0.25">
      <c r="A71" s="16">
        <v>7</v>
      </c>
      <c r="B71" s="16" t="s">
        <v>95</v>
      </c>
      <c r="C71" s="16" t="s">
        <v>94</v>
      </c>
      <c r="D71" s="15" t="s">
        <v>93</v>
      </c>
      <c r="E71" s="13">
        <v>4.4999999999999998E-2</v>
      </c>
      <c r="F71" s="12">
        <v>26867.38</v>
      </c>
      <c r="G71" s="17" t="s">
        <v>3</v>
      </c>
      <c r="H71" s="13">
        <v>1</v>
      </c>
      <c r="I71" s="12">
        <v>1209.03</v>
      </c>
      <c r="J71" s="13">
        <v>4.3899999999999997</v>
      </c>
      <c r="K71" s="12">
        <v>5307.64</v>
      </c>
    </row>
    <row r="72" spans="1:11" x14ac:dyDescent="0.25">
      <c r="A72" s="19"/>
      <c r="B72" s="19"/>
      <c r="C72" s="20" t="s">
        <v>109</v>
      </c>
      <c r="D72" s="19"/>
      <c r="E72" s="19"/>
      <c r="F72" s="19"/>
      <c r="G72" s="19"/>
      <c r="H72" s="19"/>
      <c r="I72" s="19"/>
      <c r="J72" s="19"/>
      <c r="K72" s="19"/>
    </row>
    <row r="73" spans="1:11" ht="13.8" x14ac:dyDescent="0.25">
      <c r="C73" s="6" t="s">
        <v>2</v>
      </c>
      <c r="H73" s="5">
        <v>1209.03</v>
      </c>
      <c r="I73" s="5"/>
      <c r="J73" s="5">
        <v>5307.64</v>
      </c>
      <c r="K73" s="5"/>
    </row>
    <row r="75" spans="1:11" ht="145.80000000000001" x14ac:dyDescent="0.25">
      <c r="A75" s="16">
        <v>8</v>
      </c>
      <c r="B75" s="16" t="s">
        <v>108</v>
      </c>
      <c r="C75" s="16" t="s">
        <v>107</v>
      </c>
      <c r="D75" s="15" t="s">
        <v>106</v>
      </c>
      <c r="E75" s="13">
        <v>0.17</v>
      </c>
      <c r="F75" s="12"/>
      <c r="G75" s="14"/>
      <c r="H75" s="13"/>
      <c r="I75" s="12"/>
      <c r="J75" s="13"/>
      <c r="K75" s="12"/>
    </row>
    <row r="76" spans="1:11" x14ac:dyDescent="0.25">
      <c r="C76" s="21" t="s">
        <v>105</v>
      </c>
    </row>
    <row r="77" spans="1:11" ht="14.4" x14ac:dyDescent="0.25">
      <c r="A77" s="16"/>
      <c r="B77" s="16"/>
      <c r="C77" s="16" t="s">
        <v>19</v>
      </c>
      <c r="D77" s="15"/>
      <c r="E77" s="13"/>
      <c r="F77" s="12">
        <v>747.52</v>
      </c>
      <c r="G77" s="17" t="s">
        <v>9</v>
      </c>
      <c r="H77" s="13">
        <v>1</v>
      </c>
      <c r="I77" s="12">
        <v>175.37</v>
      </c>
      <c r="J77" s="13">
        <v>57.05</v>
      </c>
      <c r="K77" s="12">
        <v>10004.86</v>
      </c>
    </row>
    <row r="78" spans="1:11" ht="14.4" x14ac:dyDescent="0.25">
      <c r="A78" s="16"/>
      <c r="B78" s="16"/>
      <c r="C78" s="16" t="s">
        <v>18</v>
      </c>
      <c r="D78" s="15"/>
      <c r="E78" s="13"/>
      <c r="F78" s="12">
        <v>10.1</v>
      </c>
      <c r="G78" s="17" t="s">
        <v>16</v>
      </c>
      <c r="H78" s="13">
        <v>1</v>
      </c>
      <c r="I78" s="12">
        <v>2.58</v>
      </c>
      <c r="J78" s="13">
        <v>17.059999999999999</v>
      </c>
      <c r="K78" s="12">
        <v>44.01</v>
      </c>
    </row>
    <row r="79" spans="1:11" ht="14.4" x14ac:dyDescent="0.25">
      <c r="A79" s="16"/>
      <c r="B79" s="16"/>
      <c r="C79" s="16" t="s">
        <v>17</v>
      </c>
      <c r="D79" s="15"/>
      <c r="E79" s="13"/>
      <c r="F79" s="12">
        <v>1.43</v>
      </c>
      <c r="G79" s="17" t="s">
        <v>16</v>
      </c>
      <c r="H79" s="13">
        <v>1</v>
      </c>
      <c r="I79" s="18">
        <v>0.36</v>
      </c>
      <c r="J79" s="13">
        <v>57.05</v>
      </c>
      <c r="K79" s="18">
        <v>20.54</v>
      </c>
    </row>
    <row r="80" spans="1:11" ht="14.4" x14ac:dyDescent="0.25">
      <c r="A80" s="16"/>
      <c r="B80" s="16"/>
      <c r="C80" s="16" t="s">
        <v>15</v>
      </c>
      <c r="D80" s="15"/>
      <c r="E80" s="13"/>
      <c r="F80" s="12">
        <v>85.16</v>
      </c>
      <c r="G80" s="17" t="s">
        <v>3</v>
      </c>
      <c r="H80" s="13">
        <v>1</v>
      </c>
      <c r="I80" s="12">
        <v>14.48</v>
      </c>
      <c r="J80" s="13">
        <v>12.65</v>
      </c>
      <c r="K80" s="12">
        <v>183.17</v>
      </c>
    </row>
    <row r="81" spans="1:11" ht="69" x14ac:dyDescent="0.25">
      <c r="A81" s="16" t="s">
        <v>104</v>
      </c>
      <c r="B81" s="16" t="s">
        <v>103</v>
      </c>
      <c r="C81" s="16" t="s">
        <v>102</v>
      </c>
      <c r="D81" s="15" t="s">
        <v>28</v>
      </c>
      <c r="E81" s="13">
        <v>23</v>
      </c>
      <c r="F81" s="12">
        <v>21.9</v>
      </c>
      <c r="G81" s="17" t="s">
        <v>3</v>
      </c>
      <c r="H81" s="13">
        <v>1</v>
      </c>
      <c r="I81" s="12">
        <v>503.7</v>
      </c>
      <c r="J81" s="13">
        <v>0.93</v>
      </c>
      <c r="K81" s="12">
        <v>468.44</v>
      </c>
    </row>
    <row r="82" spans="1:11" ht="69" x14ac:dyDescent="0.25">
      <c r="A82" s="16" t="s">
        <v>101</v>
      </c>
      <c r="B82" s="16" t="s">
        <v>100</v>
      </c>
      <c r="C82" s="16" t="s">
        <v>99</v>
      </c>
      <c r="D82" s="15" t="s">
        <v>66</v>
      </c>
      <c r="E82" s="13">
        <v>17</v>
      </c>
      <c r="F82" s="12">
        <v>123.2</v>
      </c>
      <c r="G82" s="17" t="s">
        <v>3</v>
      </c>
      <c r="H82" s="13">
        <v>1</v>
      </c>
      <c r="I82" s="12">
        <v>2094.4</v>
      </c>
      <c r="J82" s="13">
        <v>1.76</v>
      </c>
      <c r="K82" s="12">
        <v>3686.14</v>
      </c>
    </row>
    <row r="83" spans="1:11" ht="41.4" x14ac:dyDescent="0.25">
      <c r="A83" s="16" t="s">
        <v>98</v>
      </c>
      <c r="B83" s="16" t="s">
        <v>97</v>
      </c>
      <c r="C83" s="16" t="s">
        <v>96</v>
      </c>
      <c r="D83" s="15" t="s">
        <v>28</v>
      </c>
      <c r="E83" s="13">
        <v>1</v>
      </c>
      <c r="F83" s="12">
        <v>16.739999999999998</v>
      </c>
      <c r="G83" s="17" t="s">
        <v>3</v>
      </c>
      <c r="H83" s="13">
        <v>1</v>
      </c>
      <c r="I83" s="12">
        <v>16.739999999999998</v>
      </c>
      <c r="J83" s="13">
        <v>3.51</v>
      </c>
      <c r="K83" s="12">
        <v>58.76</v>
      </c>
    </row>
    <row r="84" spans="1:11" ht="14.4" x14ac:dyDescent="0.25">
      <c r="A84" s="16"/>
      <c r="B84" s="16"/>
      <c r="C84" s="16" t="s">
        <v>14</v>
      </c>
      <c r="D84" s="15" t="s">
        <v>12</v>
      </c>
      <c r="E84" s="13">
        <v>109</v>
      </c>
      <c r="F84" s="12"/>
      <c r="G84" s="14"/>
      <c r="H84" s="13"/>
      <c r="I84" s="12">
        <v>191.55</v>
      </c>
      <c r="J84" s="13">
        <v>109</v>
      </c>
      <c r="K84" s="12">
        <v>10927.69</v>
      </c>
    </row>
    <row r="85" spans="1:11" ht="14.4" x14ac:dyDescent="0.25">
      <c r="A85" s="16"/>
      <c r="B85" s="16"/>
      <c r="C85" s="16" t="s">
        <v>13</v>
      </c>
      <c r="D85" s="15" t="s">
        <v>12</v>
      </c>
      <c r="E85" s="13">
        <v>61</v>
      </c>
      <c r="F85" s="12"/>
      <c r="G85" s="14"/>
      <c r="H85" s="13"/>
      <c r="I85" s="12">
        <v>107.2</v>
      </c>
      <c r="J85" s="13">
        <v>61</v>
      </c>
      <c r="K85" s="12">
        <v>6115.49</v>
      </c>
    </row>
    <row r="86" spans="1:11" ht="14.4" x14ac:dyDescent="0.25">
      <c r="A86" s="11"/>
      <c r="B86" s="11"/>
      <c r="C86" s="11" t="s">
        <v>11</v>
      </c>
      <c r="D86" s="10" t="s">
        <v>10</v>
      </c>
      <c r="E86" s="8">
        <v>58.4</v>
      </c>
      <c r="F86" s="7"/>
      <c r="G86" s="9" t="s">
        <v>9</v>
      </c>
      <c r="H86" s="8">
        <v>1</v>
      </c>
      <c r="I86" s="7">
        <v>13.7</v>
      </c>
      <c r="J86" s="8"/>
      <c r="K86" s="7"/>
    </row>
    <row r="87" spans="1:11" ht="13.8" x14ac:dyDescent="0.25">
      <c r="C87" s="6" t="s">
        <v>8</v>
      </c>
      <c r="H87" s="5">
        <v>3106.02</v>
      </c>
      <c r="I87" s="5"/>
      <c r="J87" s="5">
        <v>31488.560000000001</v>
      </c>
      <c r="K87" s="5"/>
    </row>
    <row r="88" spans="1:11" ht="13.8" x14ac:dyDescent="0.25">
      <c r="C88" s="6" t="s">
        <v>2</v>
      </c>
      <c r="H88" s="3">
        <v>3106.02</v>
      </c>
      <c r="I88" s="3"/>
      <c r="J88" s="3">
        <v>31488.560000000001</v>
      </c>
      <c r="K88" s="3"/>
    </row>
    <row r="90" spans="1:11" ht="27.6" x14ac:dyDescent="0.25">
      <c r="A90" s="16">
        <v>9</v>
      </c>
      <c r="B90" s="16" t="s">
        <v>95</v>
      </c>
      <c r="C90" s="16" t="s">
        <v>94</v>
      </c>
      <c r="D90" s="15" t="s">
        <v>93</v>
      </c>
      <c r="E90" s="13">
        <v>1.38E-2</v>
      </c>
      <c r="F90" s="12">
        <v>26867.38</v>
      </c>
      <c r="G90" s="17" t="s">
        <v>3</v>
      </c>
      <c r="H90" s="13">
        <v>1</v>
      </c>
      <c r="I90" s="12">
        <v>370.77</v>
      </c>
      <c r="J90" s="13">
        <v>4.3899999999999997</v>
      </c>
      <c r="K90" s="12">
        <v>1627.68</v>
      </c>
    </row>
    <row r="91" spans="1:11" x14ac:dyDescent="0.25">
      <c r="A91" s="19"/>
      <c r="B91" s="19"/>
      <c r="C91" s="20" t="s">
        <v>92</v>
      </c>
      <c r="D91" s="19"/>
      <c r="E91" s="19"/>
      <c r="F91" s="19"/>
      <c r="G91" s="19"/>
      <c r="H91" s="19"/>
      <c r="I91" s="19"/>
      <c r="J91" s="19"/>
      <c r="K91" s="19"/>
    </row>
    <row r="92" spans="1:11" ht="13.8" x14ac:dyDescent="0.25">
      <c r="C92" s="6" t="s">
        <v>2</v>
      </c>
      <c r="H92" s="5">
        <v>370.77</v>
      </c>
      <c r="I92" s="5"/>
      <c r="J92" s="5">
        <v>1627.68</v>
      </c>
      <c r="K92" s="5"/>
    </row>
    <row r="94" spans="1:11" ht="145.80000000000001" x14ac:dyDescent="0.25">
      <c r="A94" s="16">
        <v>10</v>
      </c>
      <c r="B94" s="16" t="s">
        <v>91</v>
      </c>
      <c r="C94" s="16" t="s">
        <v>90</v>
      </c>
      <c r="D94" s="15" t="s">
        <v>89</v>
      </c>
      <c r="E94" s="13">
        <v>0.15</v>
      </c>
      <c r="F94" s="12"/>
      <c r="G94" s="14"/>
      <c r="H94" s="13"/>
      <c r="I94" s="12"/>
      <c r="J94" s="13"/>
      <c r="K94" s="12"/>
    </row>
    <row r="95" spans="1:11" x14ac:dyDescent="0.25">
      <c r="C95" s="21" t="s">
        <v>88</v>
      </c>
    </row>
    <row r="96" spans="1:11" ht="14.4" x14ac:dyDescent="0.25">
      <c r="A96" s="16"/>
      <c r="B96" s="16"/>
      <c r="C96" s="16" t="s">
        <v>19</v>
      </c>
      <c r="D96" s="15"/>
      <c r="E96" s="13"/>
      <c r="F96" s="12">
        <v>184.13</v>
      </c>
      <c r="G96" s="17" t="s">
        <v>9</v>
      </c>
      <c r="H96" s="13">
        <v>1</v>
      </c>
      <c r="I96" s="12">
        <v>38.11</v>
      </c>
      <c r="J96" s="13">
        <v>57.05</v>
      </c>
      <c r="K96" s="12">
        <v>2174.1799999999998</v>
      </c>
    </row>
    <row r="97" spans="1:11" ht="14.4" x14ac:dyDescent="0.25">
      <c r="A97" s="16"/>
      <c r="B97" s="16"/>
      <c r="C97" s="16" t="s">
        <v>14</v>
      </c>
      <c r="D97" s="15" t="s">
        <v>12</v>
      </c>
      <c r="E97" s="13">
        <v>109</v>
      </c>
      <c r="F97" s="12"/>
      <c r="G97" s="14"/>
      <c r="H97" s="13"/>
      <c r="I97" s="12">
        <v>41.54</v>
      </c>
      <c r="J97" s="13">
        <v>109</v>
      </c>
      <c r="K97" s="12">
        <v>2369.86</v>
      </c>
    </row>
    <row r="98" spans="1:11" ht="14.4" x14ac:dyDescent="0.25">
      <c r="A98" s="16"/>
      <c r="B98" s="16"/>
      <c r="C98" s="16" t="s">
        <v>13</v>
      </c>
      <c r="D98" s="15" t="s">
        <v>12</v>
      </c>
      <c r="E98" s="13">
        <v>61</v>
      </c>
      <c r="F98" s="12"/>
      <c r="G98" s="14"/>
      <c r="H98" s="13"/>
      <c r="I98" s="12">
        <v>23.25</v>
      </c>
      <c r="J98" s="13">
        <v>61</v>
      </c>
      <c r="K98" s="12">
        <v>1326.25</v>
      </c>
    </row>
    <row r="99" spans="1:11" ht="14.4" x14ac:dyDescent="0.25">
      <c r="A99" s="11"/>
      <c r="B99" s="11"/>
      <c r="C99" s="11" t="s">
        <v>11</v>
      </c>
      <c r="D99" s="10" t="s">
        <v>10</v>
      </c>
      <c r="E99" s="8">
        <v>14.63</v>
      </c>
      <c r="F99" s="7"/>
      <c r="G99" s="9" t="s">
        <v>9</v>
      </c>
      <c r="H99" s="8">
        <v>1</v>
      </c>
      <c r="I99" s="7">
        <v>3.03</v>
      </c>
      <c r="J99" s="8"/>
      <c r="K99" s="7"/>
    </row>
    <row r="100" spans="1:11" ht="13.8" x14ac:dyDescent="0.25">
      <c r="C100" s="6" t="s">
        <v>8</v>
      </c>
      <c r="H100" s="5">
        <v>102.9</v>
      </c>
      <c r="I100" s="5"/>
      <c r="J100" s="5">
        <v>5870.29</v>
      </c>
      <c r="K100" s="5"/>
    </row>
    <row r="101" spans="1:11" ht="13.8" x14ac:dyDescent="0.25">
      <c r="C101" s="6" t="s">
        <v>2</v>
      </c>
      <c r="H101" s="3">
        <v>102.9</v>
      </c>
      <c r="I101" s="3"/>
      <c r="J101" s="3">
        <v>5870.29</v>
      </c>
      <c r="K101" s="3"/>
    </row>
    <row r="103" spans="1:11" ht="55.2" x14ac:dyDescent="0.25">
      <c r="A103" s="11">
        <v>11</v>
      </c>
      <c r="B103" s="11" t="s">
        <v>87</v>
      </c>
      <c r="C103" s="11" t="s">
        <v>86</v>
      </c>
      <c r="D103" s="10" t="s">
        <v>28</v>
      </c>
      <c r="E103" s="8">
        <v>3</v>
      </c>
      <c r="F103" s="7">
        <v>181.59</v>
      </c>
      <c r="G103" s="9" t="s">
        <v>3</v>
      </c>
      <c r="H103" s="8">
        <v>1</v>
      </c>
      <c r="I103" s="7">
        <v>544.77</v>
      </c>
      <c r="J103" s="8">
        <v>0.76</v>
      </c>
      <c r="K103" s="7">
        <v>414.03</v>
      </c>
    </row>
    <row r="104" spans="1:11" ht="13.8" x14ac:dyDescent="0.25">
      <c r="C104" s="6" t="s">
        <v>2</v>
      </c>
      <c r="H104" s="5">
        <v>544.77</v>
      </c>
      <c r="I104" s="5"/>
      <c r="J104" s="5">
        <v>414.03</v>
      </c>
      <c r="K104" s="5"/>
    </row>
    <row r="106" spans="1:11" ht="55.2" x14ac:dyDescent="0.25">
      <c r="A106" s="11">
        <v>12</v>
      </c>
      <c r="B106" s="11" t="s">
        <v>85</v>
      </c>
      <c r="C106" s="11" t="s">
        <v>84</v>
      </c>
      <c r="D106" s="10" t="s">
        <v>28</v>
      </c>
      <c r="E106" s="8">
        <v>12</v>
      </c>
      <c r="F106" s="7">
        <v>265.24</v>
      </c>
      <c r="G106" s="9" t="s">
        <v>3</v>
      </c>
      <c r="H106" s="8">
        <v>1</v>
      </c>
      <c r="I106" s="7">
        <v>3182.88</v>
      </c>
      <c r="J106" s="8">
        <v>0.83</v>
      </c>
      <c r="K106" s="7">
        <v>2641.79</v>
      </c>
    </row>
    <row r="107" spans="1:11" ht="13.8" x14ac:dyDescent="0.25">
      <c r="C107" s="6" t="s">
        <v>2</v>
      </c>
      <c r="H107" s="5">
        <v>3182.88</v>
      </c>
      <c r="I107" s="5"/>
      <c r="J107" s="5">
        <v>2641.79</v>
      </c>
      <c r="K107" s="5"/>
    </row>
    <row r="109" spans="1:11" ht="145.80000000000001" x14ac:dyDescent="0.25">
      <c r="A109" s="16">
        <v>13</v>
      </c>
      <c r="B109" s="16" t="s">
        <v>83</v>
      </c>
      <c r="C109" s="16" t="s">
        <v>82</v>
      </c>
      <c r="D109" s="15" t="s">
        <v>81</v>
      </c>
      <c r="E109" s="13">
        <v>0.01</v>
      </c>
      <c r="F109" s="12"/>
      <c r="G109" s="14"/>
      <c r="H109" s="13"/>
      <c r="I109" s="12"/>
      <c r="J109" s="13"/>
      <c r="K109" s="12"/>
    </row>
    <row r="110" spans="1:11" x14ac:dyDescent="0.25">
      <c r="C110" s="21" t="s">
        <v>80</v>
      </c>
    </row>
    <row r="111" spans="1:11" ht="14.4" x14ac:dyDescent="0.25">
      <c r="A111" s="16"/>
      <c r="B111" s="16"/>
      <c r="C111" s="16" t="s">
        <v>19</v>
      </c>
      <c r="D111" s="15"/>
      <c r="E111" s="13"/>
      <c r="F111" s="12">
        <v>226.39</v>
      </c>
      <c r="G111" s="17" t="s">
        <v>9</v>
      </c>
      <c r="H111" s="13">
        <v>1</v>
      </c>
      <c r="I111" s="12">
        <v>3.12</v>
      </c>
      <c r="J111" s="13">
        <v>57.05</v>
      </c>
      <c r="K111" s="12">
        <v>178</v>
      </c>
    </row>
    <row r="112" spans="1:11" ht="14.4" x14ac:dyDescent="0.25">
      <c r="A112" s="16"/>
      <c r="B112" s="16"/>
      <c r="C112" s="16" t="s">
        <v>15</v>
      </c>
      <c r="D112" s="15"/>
      <c r="E112" s="13"/>
      <c r="F112" s="12">
        <v>199.37</v>
      </c>
      <c r="G112" s="17" t="s">
        <v>3</v>
      </c>
      <c r="H112" s="13">
        <v>1</v>
      </c>
      <c r="I112" s="12">
        <v>1.99</v>
      </c>
      <c r="J112" s="13">
        <v>7.75</v>
      </c>
      <c r="K112" s="12">
        <v>15.42</v>
      </c>
    </row>
    <row r="113" spans="1:11" ht="14.4" x14ac:dyDescent="0.25">
      <c r="A113" s="16"/>
      <c r="B113" s="16"/>
      <c r="C113" s="16" t="s">
        <v>14</v>
      </c>
      <c r="D113" s="15" t="s">
        <v>12</v>
      </c>
      <c r="E113" s="13">
        <v>105</v>
      </c>
      <c r="F113" s="12"/>
      <c r="G113" s="14"/>
      <c r="H113" s="13"/>
      <c r="I113" s="12">
        <v>3.28</v>
      </c>
      <c r="J113" s="13">
        <v>105</v>
      </c>
      <c r="K113" s="12">
        <v>186.9</v>
      </c>
    </row>
    <row r="114" spans="1:11" ht="14.4" x14ac:dyDescent="0.25">
      <c r="A114" s="16"/>
      <c r="B114" s="16"/>
      <c r="C114" s="16" t="s">
        <v>13</v>
      </c>
      <c r="D114" s="15" t="s">
        <v>12</v>
      </c>
      <c r="E114" s="13">
        <v>63</v>
      </c>
      <c r="F114" s="12"/>
      <c r="G114" s="14"/>
      <c r="H114" s="13"/>
      <c r="I114" s="12">
        <v>1.97</v>
      </c>
      <c r="J114" s="13">
        <v>63</v>
      </c>
      <c r="K114" s="12">
        <v>112.14</v>
      </c>
    </row>
    <row r="115" spans="1:11" ht="14.4" x14ac:dyDescent="0.25">
      <c r="A115" s="11"/>
      <c r="B115" s="11"/>
      <c r="C115" s="11" t="s">
        <v>11</v>
      </c>
      <c r="D115" s="10" t="s">
        <v>10</v>
      </c>
      <c r="E115" s="8">
        <v>20.6</v>
      </c>
      <c r="F115" s="7"/>
      <c r="G115" s="9" t="s">
        <v>9</v>
      </c>
      <c r="H115" s="8">
        <v>1</v>
      </c>
      <c r="I115" s="7">
        <v>0.28000000000000003</v>
      </c>
      <c r="J115" s="8"/>
      <c r="K115" s="7"/>
    </row>
    <row r="116" spans="1:11" ht="13.8" x14ac:dyDescent="0.25">
      <c r="C116" s="6" t="s">
        <v>8</v>
      </c>
      <c r="H116" s="5">
        <v>10.36</v>
      </c>
      <c r="I116" s="5"/>
      <c r="J116" s="5">
        <v>492.46</v>
      </c>
      <c r="K116" s="5"/>
    </row>
    <row r="117" spans="1:11" ht="13.8" x14ac:dyDescent="0.25">
      <c r="C117" s="6" t="s">
        <v>2</v>
      </c>
      <c r="H117" s="3">
        <v>10.36</v>
      </c>
      <c r="I117" s="3"/>
      <c r="J117" s="3">
        <v>492.46</v>
      </c>
      <c r="K117" s="3"/>
    </row>
    <row r="119" spans="1:11" ht="145.80000000000001" x14ac:dyDescent="0.25">
      <c r="A119" s="16">
        <v>14</v>
      </c>
      <c r="B119" s="16" t="s">
        <v>79</v>
      </c>
      <c r="C119" s="16" t="s">
        <v>78</v>
      </c>
      <c r="D119" s="15" t="s">
        <v>77</v>
      </c>
      <c r="E119" s="13">
        <v>1.5</v>
      </c>
      <c r="F119" s="12"/>
      <c r="G119" s="14"/>
      <c r="H119" s="13"/>
      <c r="I119" s="12"/>
      <c r="J119" s="13"/>
      <c r="K119" s="12"/>
    </row>
    <row r="120" spans="1:11" x14ac:dyDescent="0.25">
      <c r="C120" s="21" t="s">
        <v>76</v>
      </c>
    </row>
    <row r="121" spans="1:11" ht="14.4" x14ac:dyDescent="0.25">
      <c r="A121" s="16"/>
      <c r="B121" s="16"/>
      <c r="C121" s="16" t="s">
        <v>19</v>
      </c>
      <c r="D121" s="15"/>
      <c r="E121" s="13"/>
      <c r="F121" s="12">
        <v>28.6</v>
      </c>
      <c r="G121" s="17" t="s">
        <v>9</v>
      </c>
      <c r="H121" s="13">
        <v>1</v>
      </c>
      <c r="I121" s="12">
        <v>59.2</v>
      </c>
      <c r="J121" s="13">
        <v>57.05</v>
      </c>
      <c r="K121" s="12">
        <v>3377.36</v>
      </c>
    </row>
    <row r="122" spans="1:11" ht="14.4" x14ac:dyDescent="0.25">
      <c r="A122" s="16"/>
      <c r="B122" s="16"/>
      <c r="C122" s="16" t="s">
        <v>18</v>
      </c>
      <c r="D122" s="15"/>
      <c r="E122" s="13"/>
      <c r="F122" s="12">
        <v>0.75</v>
      </c>
      <c r="G122" s="17" t="s">
        <v>16</v>
      </c>
      <c r="H122" s="13">
        <v>1</v>
      </c>
      <c r="I122" s="12">
        <v>1.69</v>
      </c>
      <c r="J122" s="13">
        <v>17.399999999999999</v>
      </c>
      <c r="K122" s="12">
        <v>29.41</v>
      </c>
    </row>
    <row r="123" spans="1:11" ht="14.4" x14ac:dyDescent="0.25">
      <c r="A123" s="16"/>
      <c r="B123" s="16"/>
      <c r="C123" s="16" t="s">
        <v>17</v>
      </c>
      <c r="D123" s="15"/>
      <c r="E123" s="13"/>
      <c r="F123" s="12">
        <v>0.11</v>
      </c>
      <c r="G123" s="17" t="s">
        <v>16</v>
      </c>
      <c r="H123" s="13">
        <v>1</v>
      </c>
      <c r="I123" s="18">
        <v>0.25</v>
      </c>
      <c r="J123" s="13">
        <v>57.05</v>
      </c>
      <c r="K123" s="18">
        <v>14.26</v>
      </c>
    </row>
    <row r="124" spans="1:11" ht="14.4" x14ac:dyDescent="0.25">
      <c r="A124" s="16"/>
      <c r="B124" s="16"/>
      <c r="C124" s="16" t="s">
        <v>15</v>
      </c>
      <c r="D124" s="15"/>
      <c r="E124" s="13"/>
      <c r="F124" s="12">
        <v>55.68</v>
      </c>
      <c r="G124" s="17" t="s">
        <v>3</v>
      </c>
      <c r="H124" s="13">
        <v>1</v>
      </c>
      <c r="I124" s="12">
        <v>83.52</v>
      </c>
      <c r="J124" s="13">
        <v>19.07</v>
      </c>
      <c r="K124" s="12">
        <v>1592.73</v>
      </c>
    </row>
    <row r="125" spans="1:11" ht="41.4" x14ac:dyDescent="0.25">
      <c r="A125" s="16" t="s">
        <v>75</v>
      </c>
      <c r="B125" s="16" t="s">
        <v>74</v>
      </c>
      <c r="C125" s="16" t="s">
        <v>73</v>
      </c>
      <c r="D125" s="15" t="s">
        <v>66</v>
      </c>
      <c r="E125" s="13">
        <v>22.5</v>
      </c>
      <c r="F125" s="12">
        <v>1.5</v>
      </c>
      <c r="G125" s="17" t="s">
        <v>3</v>
      </c>
      <c r="H125" s="13">
        <v>1</v>
      </c>
      <c r="I125" s="12">
        <v>33.75</v>
      </c>
      <c r="J125" s="13">
        <v>3.35</v>
      </c>
      <c r="K125" s="12">
        <v>113.06</v>
      </c>
    </row>
    <row r="126" spans="1:11" ht="82.8" x14ac:dyDescent="0.25">
      <c r="A126" s="16" t="s">
        <v>72</v>
      </c>
      <c r="B126" s="16" t="s">
        <v>71</v>
      </c>
      <c r="C126" s="16" t="s">
        <v>70</v>
      </c>
      <c r="D126" s="15" t="s">
        <v>69</v>
      </c>
      <c r="E126" s="13">
        <v>0.36</v>
      </c>
      <c r="F126" s="12">
        <v>231.63</v>
      </c>
      <c r="G126" s="17" t="s">
        <v>3</v>
      </c>
      <c r="H126" s="13">
        <v>1</v>
      </c>
      <c r="I126" s="12">
        <v>83.39</v>
      </c>
      <c r="J126" s="13">
        <v>5.12</v>
      </c>
      <c r="K126" s="12">
        <v>426.96</v>
      </c>
    </row>
    <row r="127" spans="1:11" ht="14.4" x14ac:dyDescent="0.25">
      <c r="A127" s="16"/>
      <c r="B127" s="16"/>
      <c r="C127" s="16" t="s">
        <v>14</v>
      </c>
      <c r="D127" s="15" t="s">
        <v>12</v>
      </c>
      <c r="E127" s="13">
        <v>87</v>
      </c>
      <c r="F127" s="12"/>
      <c r="G127" s="14"/>
      <c r="H127" s="13"/>
      <c r="I127" s="12">
        <v>51.72</v>
      </c>
      <c r="J127" s="13">
        <v>87</v>
      </c>
      <c r="K127" s="12">
        <v>2950.71</v>
      </c>
    </row>
    <row r="128" spans="1:11" ht="14.4" x14ac:dyDescent="0.25">
      <c r="A128" s="16"/>
      <c r="B128" s="16"/>
      <c r="C128" s="16" t="s">
        <v>13</v>
      </c>
      <c r="D128" s="15" t="s">
        <v>12</v>
      </c>
      <c r="E128" s="13">
        <v>47</v>
      </c>
      <c r="F128" s="12"/>
      <c r="G128" s="14"/>
      <c r="H128" s="13"/>
      <c r="I128" s="12">
        <v>27.94</v>
      </c>
      <c r="J128" s="13">
        <v>47</v>
      </c>
      <c r="K128" s="12">
        <v>1594.06</v>
      </c>
    </row>
    <row r="129" spans="1:11" ht="14.4" x14ac:dyDescent="0.25">
      <c r="A129" s="11"/>
      <c r="B129" s="11"/>
      <c r="C129" s="11" t="s">
        <v>11</v>
      </c>
      <c r="D129" s="10" t="s">
        <v>10</v>
      </c>
      <c r="E129" s="8">
        <v>2.2000000000000002</v>
      </c>
      <c r="F129" s="7"/>
      <c r="G129" s="9" t="s">
        <v>9</v>
      </c>
      <c r="H129" s="8">
        <v>1</v>
      </c>
      <c r="I129" s="7">
        <v>4.55</v>
      </c>
      <c r="J129" s="8"/>
      <c r="K129" s="7"/>
    </row>
    <row r="130" spans="1:11" ht="13.8" x14ac:dyDescent="0.25">
      <c r="C130" s="6" t="s">
        <v>8</v>
      </c>
      <c r="H130" s="5">
        <v>341.21</v>
      </c>
      <c r="I130" s="5"/>
      <c r="J130" s="5">
        <v>10084.290000000001</v>
      </c>
      <c r="K130" s="5"/>
    </row>
    <row r="131" spans="1:11" ht="13.8" x14ac:dyDescent="0.25">
      <c r="C131" s="6" t="s">
        <v>2</v>
      </c>
      <c r="H131" s="3">
        <v>341.21</v>
      </c>
      <c r="I131" s="3"/>
      <c r="J131" s="3">
        <v>10084.290000000001</v>
      </c>
      <c r="K131" s="3"/>
    </row>
    <row r="133" spans="1:11" ht="138" x14ac:dyDescent="0.25">
      <c r="A133" s="16">
        <v>15</v>
      </c>
      <c r="B133" s="16" t="s">
        <v>68</v>
      </c>
      <c r="C133" s="16" t="s">
        <v>67</v>
      </c>
      <c r="D133" s="15" t="s">
        <v>66</v>
      </c>
      <c r="E133" s="13">
        <v>15.75</v>
      </c>
      <c r="F133" s="12">
        <v>56.85</v>
      </c>
      <c r="G133" s="17" t="s">
        <v>3</v>
      </c>
      <c r="H133" s="13">
        <v>1</v>
      </c>
      <c r="I133" s="12">
        <v>895.39</v>
      </c>
      <c r="J133" s="13">
        <v>6.02</v>
      </c>
      <c r="K133" s="12">
        <v>5390.25</v>
      </c>
    </row>
    <row r="134" spans="1:11" x14ac:dyDescent="0.25">
      <c r="A134" s="19"/>
      <c r="B134" s="19"/>
      <c r="C134" s="20" t="s">
        <v>65</v>
      </c>
      <c r="D134" s="19"/>
      <c r="E134" s="19"/>
      <c r="F134" s="19"/>
      <c r="G134" s="19"/>
      <c r="H134" s="19"/>
      <c r="I134" s="19"/>
      <c r="J134" s="19"/>
      <c r="K134" s="19"/>
    </row>
    <row r="135" spans="1:11" ht="13.8" x14ac:dyDescent="0.25">
      <c r="C135" s="6" t="s">
        <v>2</v>
      </c>
      <c r="H135" s="5">
        <v>895.39</v>
      </c>
      <c r="I135" s="5"/>
      <c r="J135" s="5">
        <v>5390.25</v>
      </c>
      <c r="K135" s="5"/>
    </row>
    <row r="138" spans="1:11" ht="13.8" x14ac:dyDescent="0.25">
      <c r="A138" s="4" t="s">
        <v>64</v>
      </c>
      <c r="B138" s="4"/>
      <c r="C138" s="4"/>
      <c r="D138" s="4"/>
      <c r="E138" s="4"/>
      <c r="F138" s="4"/>
      <c r="G138" s="4"/>
      <c r="H138" s="3">
        <v>37607.61</v>
      </c>
      <c r="I138" s="2"/>
      <c r="J138" s="3">
        <v>537990.77</v>
      </c>
      <c r="K138" s="2"/>
    </row>
    <row r="140" spans="1:11" ht="16.8" x14ac:dyDescent="0.25">
      <c r="A140" s="22" t="s">
        <v>63</v>
      </c>
      <c r="B140" s="22"/>
      <c r="C140" s="22"/>
      <c r="D140" s="22"/>
      <c r="E140" s="22"/>
      <c r="F140" s="22"/>
      <c r="G140" s="22"/>
      <c r="H140" s="22"/>
      <c r="I140" s="22"/>
      <c r="J140" s="22"/>
      <c r="K140" s="22"/>
    </row>
    <row r="141" spans="1:11" ht="145.80000000000001" x14ac:dyDescent="0.25">
      <c r="A141" s="16">
        <v>16</v>
      </c>
      <c r="B141" s="16" t="s">
        <v>62</v>
      </c>
      <c r="C141" s="16" t="s">
        <v>61</v>
      </c>
      <c r="D141" s="15" t="s">
        <v>55</v>
      </c>
      <c r="E141" s="13">
        <v>5</v>
      </c>
      <c r="F141" s="12"/>
      <c r="G141" s="14"/>
      <c r="H141" s="13"/>
      <c r="I141" s="12"/>
      <c r="J141" s="13"/>
      <c r="K141" s="12"/>
    </row>
    <row r="142" spans="1:11" ht="14.4" x14ac:dyDescent="0.25">
      <c r="A142" s="16"/>
      <c r="B142" s="16"/>
      <c r="C142" s="16" t="s">
        <v>19</v>
      </c>
      <c r="D142" s="15"/>
      <c r="E142" s="13"/>
      <c r="F142" s="12">
        <v>8.8800000000000008</v>
      </c>
      <c r="G142" s="17" t="s">
        <v>9</v>
      </c>
      <c r="H142" s="13">
        <v>1</v>
      </c>
      <c r="I142" s="12">
        <v>61.27</v>
      </c>
      <c r="J142" s="13">
        <v>57.05</v>
      </c>
      <c r="K142" s="12">
        <v>3495.45</v>
      </c>
    </row>
    <row r="143" spans="1:11" ht="14.4" x14ac:dyDescent="0.25">
      <c r="A143" s="16"/>
      <c r="B143" s="16"/>
      <c r="C143" s="16" t="s">
        <v>18</v>
      </c>
      <c r="D143" s="15"/>
      <c r="E143" s="13"/>
      <c r="F143" s="12">
        <v>2.4900000000000002</v>
      </c>
      <c r="G143" s="17" t="s">
        <v>16</v>
      </c>
      <c r="H143" s="13">
        <v>1</v>
      </c>
      <c r="I143" s="12">
        <v>18.68</v>
      </c>
      <c r="J143" s="13">
        <v>17.47</v>
      </c>
      <c r="K143" s="12">
        <v>326.33999999999997</v>
      </c>
    </row>
    <row r="144" spans="1:11" ht="14.4" x14ac:dyDescent="0.25">
      <c r="A144" s="16"/>
      <c r="B144" s="16"/>
      <c r="C144" s="16" t="s">
        <v>17</v>
      </c>
      <c r="D144" s="15"/>
      <c r="E144" s="13"/>
      <c r="F144" s="12">
        <v>0.38</v>
      </c>
      <c r="G144" s="17" t="s">
        <v>16</v>
      </c>
      <c r="H144" s="13">
        <v>1</v>
      </c>
      <c r="I144" s="18">
        <v>2.85</v>
      </c>
      <c r="J144" s="13">
        <v>57.05</v>
      </c>
      <c r="K144" s="18">
        <v>162.59</v>
      </c>
    </row>
    <row r="145" spans="1:11" ht="14.4" x14ac:dyDescent="0.25">
      <c r="A145" s="16"/>
      <c r="B145" s="16"/>
      <c r="C145" s="16" t="s">
        <v>15</v>
      </c>
      <c r="D145" s="15"/>
      <c r="E145" s="13"/>
      <c r="F145" s="12">
        <v>16.47</v>
      </c>
      <c r="G145" s="17" t="s">
        <v>3</v>
      </c>
      <c r="H145" s="13">
        <v>1</v>
      </c>
      <c r="I145" s="12">
        <v>82.35</v>
      </c>
      <c r="J145" s="13">
        <v>5.24</v>
      </c>
      <c r="K145" s="12">
        <v>431.51</v>
      </c>
    </row>
    <row r="146" spans="1:11" ht="55.2" x14ac:dyDescent="0.25">
      <c r="A146" s="16" t="s">
        <v>60</v>
      </c>
      <c r="B146" s="16" t="s">
        <v>59</v>
      </c>
      <c r="C146" s="16" t="s">
        <v>58</v>
      </c>
      <c r="D146" s="15" t="s">
        <v>25</v>
      </c>
      <c r="E146" s="13">
        <v>5</v>
      </c>
      <c r="F146" s="12">
        <v>2350.2399999999998</v>
      </c>
      <c r="G146" s="17" t="s">
        <v>3</v>
      </c>
      <c r="H146" s="13">
        <v>1</v>
      </c>
      <c r="I146" s="12">
        <v>11751.2</v>
      </c>
      <c r="J146" s="13">
        <v>7.73</v>
      </c>
      <c r="K146" s="12">
        <v>90836.78</v>
      </c>
    </row>
    <row r="147" spans="1:11" ht="14.4" x14ac:dyDescent="0.25">
      <c r="A147" s="16"/>
      <c r="B147" s="16"/>
      <c r="C147" s="16" t="s">
        <v>14</v>
      </c>
      <c r="D147" s="15" t="s">
        <v>12</v>
      </c>
      <c r="E147" s="13">
        <v>109</v>
      </c>
      <c r="F147" s="12"/>
      <c r="G147" s="14"/>
      <c r="H147" s="13"/>
      <c r="I147" s="12">
        <v>69.89</v>
      </c>
      <c r="J147" s="13">
        <v>109</v>
      </c>
      <c r="K147" s="12">
        <v>3987.26</v>
      </c>
    </row>
    <row r="148" spans="1:11" ht="14.4" x14ac:dyDescent="0.25">
      <c r="A148" s="16"/>
      <c r="B148" s="16"/>
      <c r="C148" s="16" t="s">
        <v>13</v>
      </c>
      <c r="D148" s="15" t="s">
        <v>12</v>
      </c>
      <c r="E148" s="13">
        <v>61</v>
      </c>
      <c r="F148" s="12"/>
      <c r="G148" s="14"/>
      <c r="H148" s="13"/>
      <c r="I148" s="12">
        <v>39.11</v>
      </c>
      <c r="J148" s="13">
        <v>61</v>
      </c>
      <c r="K148" s="12">
        <v>2231.4</v>
      </c>
    </row>
    <row r="149" spans="1:11" ht="14.4" x14ac:dyDescent="0.25">
      <c r="A149" s="11"/>
      <c r="B149" s="11"/>
      <c r="C149" s="11" t="s">
        <v>11</v>
      </c>
      <c r="D149" s="10" t="s">
        <v>10</v>
      </c>
      <c r="E149" s="8">
        <v>0.73</v>
      </c>
      <c r="F149" s="7"/>
      <c r="G149" s="9" t="s">
        <v>9</v>
      </c>
      <c r="H149" s="8">
        <v>1</v>
      </c>
      <c r="I149" s="7">
        <v>5.04</v>
      </c>
      <c r="J149" s="8"/>
      <c r="K149" s="7"/>
    </row>
    <row r="150" spans="1:11" ht="13.8" x14ac:dyDescent="0.25">
      <c r="C150" s="6" t="s">
        <v>8</v>
      </c>
      <c r="H150" s="5">
        <v>12022.5</v>
      </c>
      <c r="I150" s="5"/>
      <c r="J150" s="5">
        <v>101308.74</v>
      </c>
      <c r="K150" s="5"/>
    </row>
    <row r="151" spans="1:11" ht="13.8" x14ac:dyDescent="0.25">
      <c r="C151" s="6" t="s">
        <v>2</v>
      </c>
      <c r="H151" s="3">
        <v>12022.5</v>
      </c>
      <c r="I151" s="3"/>
      <c r="J151" s="3">
        <v>101308.74</v>
      </c>
      <c r="K151" s="3"/>
    </row>
    <row r="153" spans="1:11" ht="41.4" x14ac:dyDescent="0.25">
      <c r="A153" s="11">
        <v>17</v>
      </c>
      <c r="B153" s="11" t="s">
        <v>44</v>
      </c>
      <c r="C153" s="11" t="s">
        <v>43</v>
      </c>
      <c r="D153" s="10" t="s">
        <v>28</v>
      </c>
      <c r="E153" s="8">
        <v>5</v>
      </c>
      <c r="F153" s="7">
        <v>124.28</v>
      </c>
      <c r="G153" s="9" t="s">
        <v>3</v>
      </c>
      <c r="H153" s="8">
        <v>1</v>
      </c>
      <c r="I153" s="7">
        <v>621.4</v>
      </c>
      <c r="J153" s="8">
        <v>1.03</v>
      </c>
      <c r="K153" s="7">
        <v>640.04</v>
      </c>
    </row>
    <row r="154" spans="1:11" ht="13.8" x14ac:dyDescent="0.25">
      <c r="C154" s="6" t="s">
        <v>2</v>
      </c>
      <c r="H154" s="5">
        <v>621.4</v>
      </c>
      <c r="I154" s="5"/>
      <c r="J154" s="5">
        <v>640.04</v>
      </c>
      <c r="K154" s="5"/>
    </row>
    <row r="156" spans="1:11" ht="27.6" x14ac:dyDescent="0.25">
      <c r="A156" s="11">
        <v>18</v>
      </c>
      <c r="B156" s="11" t="s">
        <v>42</v>
      </c>
      <c r="C156" s="11" t="s">
        <v>41</v>
      </c>
      <c r="D156" s="10" t="s">
        <v>28</v>
      </c>
      <c r="E156" s="8">
        <v>5</v>
      </c>
      <c r="F156" s="7">
        <v>3.35</v>
      </c>
      <c r="G156" s="9" t="s">
        <v>3</v>
      </c>
      <c r="H156" s="8">
        <v>1</v>
      </c>
      <c r="I156" s="7">
        <v>16.75</v>
      </c>
      <c r="J156" s="8">
        <v>4.82</v>
      </c>
      <c r="K156" s="7">
        <v>80.739999999999995</v>
      </c>
    </row>
    <row r="157" spans="1:11" ht="13.8" x14ac:dyDescent="0.25">
      <c r="C157" s="6" t="s">
        <v>2</v>
      </c>
      <c r="H157" s="5">
        <v>16.75</v>
      </c>
      <c r="I157" s="5"/>
      <c r="J157" s="5">
        <v>80.739999999999995</v>
      </c>
      <c r="K157" s="5"/>
    </row>
    <row r="159" spans="1:11" ht="145.80000000000001" x14ac:dyDescent="0.25">
      <c r="A159" s="16">
        <v>19</v>
      </c>
      <c r="B159" s="16" t="s">
        <v>57</v>
      </c>
      <c r="C159" s="16" t="s">
        <v>56</v>
      </c>
      <c r="D159" s="15" t="s">
        <v>55</v>
      </c>
      <c r="E159" s="13">
        <v>5</v>
      </c>
      <c r="F159" s="12"/>
      <c r="G159" s="14"/>
      <c r="H159" s="13"/>
      <c r="I159" s="12"/>
      <c r="J159" s="13"/>
      <c r="K159" s="12"/>
    </row>
    <row r="160" spans="1:11" ht="14.4" x14ac:dyDescent="0.25">
      <c r="A160" s="16"/>
      <c r="B160" s="16"/>
      <c r="C160" s="16" t="s">
        <v>19</v>
      </c>
      <c r="D160" s="15"/>
      <c r="E160" s="13"/>
      <c r="F160" s="12">
        <v>14.53</v>
      </c>
      <c r="G160" s="17" t="s">
        <v>9</v>
      </c>
      <c r="H160" s="13">
        <v>1</v>
      </c>
      <c r="I160" s="12">
        <v>100.26</v>
      </c>
      <c r="J160" s="13">
        <v>57.05</v>
      </c>
      <c r="K160" s="12">
        <v>5719.83</v>
      </c>
    </row>
    <row r="161" spans="1:11" ht="14.4" x14ac:dyDescent="0.25">
      <c r="A161" s="16"/>
      <c r="B161" s="16"/>
      <c r="C161" s="16" t="s">
        <v>18</v>
      </c>
      <c r="D161" s="15"/>
      <c r="E161" s="13"/>
      <c r="F161" s="12">
        <v>0.89</v>
      </c>
      <c r="G161" s="17" t="s">
        <v>16</v>
      </c>
      <c r="H161" s="13">
        <v>1</v>
      </c>
      <c r="I161" s="12">
        <v>6.68</v>
      </c>
      <c r="J161" s="13">
        <v>16.829999999999998</v>
      </c>
      <c r="K161" s="12">
        <v>112.42</v>
      </c>
    </row>
    <row r="162" spans="1:11" ht="14.4" x14ac:dyDescent="0.25">
      <c r="A162" s="16"/>
      <c r="B162" s="16"/>
      <c r="C162" s="16" t="s">
        <v>17</v>
      </c>
      <c r="D162" s="15"/>
      <c r="E162" s="13"/>
      <c r="F162" s="12">
        <v>0.13</v>
      </c>
      <c r="G162" s="17" t="s">
        <v>16</v>
      </c>
      <c r="H162" s="13">
        <v>1</v>
      </c>
      <c r="I162" s="18">
        <v>0.98</v>
      </c>
      <c r="J162" s="13">
        <v>57.05</v>
      </c>
      <c r="K162" s="18">
        <v>55.91</v>
      </c>
    </row>
    <row r="163" spans="1:11" ht="14.4" x14ac:dyDescent="0.25">
      <c r="A163" s="16"/>
      <c r="B163" s="16"/>
      <c r="C163" s="16" t="s">
        <v>15</v>
      </c>
      <c r="D163" s="15"/>
      <c r="E163" s="13"/>
      <c r="F163" s="12">
        <v>27.49</v>
      </c>
      <c r="G163" s="17" t="s">
        <v>3</v>
      </c>
      <c r="H163" s="13">
        <v>1</v>
      </c>
      <c r="I163" s="12">
        <v>137.44999999999999</v>
      </c>
      <c r="J163" s="13">
        <v>5.24</v>
      </c>
      <c r="K163" s="12">
        <v>720.24</v>
      </c>
    </row>
    <row r="164" spans="1:11" ht="82.8" x14ac:dyDescent="0.25">
      <c r="A164" s="16" t="s">
        <v>54</v>
      </c>
      <c r="B164" s="16" t="s">
        <v>53</v>
      </c>
      <c r="C164" s="16" t="s">
        <v>52</v>
      </c>
      <c r="D164" s="15" t="s">
        <v>25</v>
      </c>
      <c r="E164" s="13">
        <v>5</v>
      </c>
      <c r="F164" s="12">
        <v>1590.64</v>
      </c>
      <c r="G164" s="17" t="s">
        <v>3</v>
      </c>
      <c r="H164" s="13">
        <v>1</v>
      </c>
      <c r="I164" s="12">
        <v>7953.2</v>
      </c>
      <c r="J164" s="13">
        <v>12.47</v>
      </c>
      <c r="K164" s="12">
        <v>99176.4</v>
      </c>
    </row>
    <row r="165" spans="1:11" ht="14.4" x14ac:dyDescent="0.25">
      <c r="A165" s="16"/>
      <c r="B165" s="16"/>
      <c r="C165" s="16" t="s">
        <v>14</v>
      </c>
      <c r="D165" s="15" t="s">
        <v>12</v>
      </c>
      <c r="E165" s="13">
        <v>109</v>
      </c>
      <c r="F165" s="12"/>
      <c r="G165" s="14"/>
      <c r="H165" s="13"/>
      <c r="I165" s="12">
        <v>110.35</v>
      </c>
      <c r="J165" s="13">
        <v>109</v>
      </c>
      <c r="K165" s="12">
        <v>6295.56</v>
      </c>
    </row>
    <row r="166" spans="1:11" ht="14.4" x14ac:dyDescent="0.25">
      <c r="A166" s="16"/>
      <c r="B166" s="16"/>
      <c r="C166" s="16" t="s">
        <v>13</v>
      </c>
      <c r="D166" s="15" t="s">
        <v>12</v>
      </c>
      <c r="E166" s="13">
        <v>61</v>
      </c>
      <c r="F166" s="12"/>
      <c r="G166" s="14"/>
      <c r="H166" s="13"/>
      <c r="I166" s="12">
        <v>61.76</v>
      </c>
      <c r="J166" s="13">
        <v>61</v>
      </c>
      <c r="K166" s="12">
        <v>3523.2</v>
      </c>
    </row>
    <row r="167" spans="1:11" ht="14.4" x14ac:dyDescent="0.25">
      <c r="A167" s="11"/>
      <c r="B167" s="11"/>
      <c r="C167" s="11" t="s">
        <v>11</v>
      </c>
      <c r="D167" s="10" t="s">
        <v>10</v>
      </c>
      <c r="E167" s="8">
        <v>1.1499999999999999</v>
      </c>
      <c r="F167" s="7"/>
      <c r="G167" s="9" t="s">
        <v>9</v>
      </c>
      <c r="H167" s="8">
        <v>1</v>
      </c>
      <c r="I167" s="7">
        <v>7.94</v>
      </c>
      <c r="J167" s="8"/>
      <c r="K167" s="7"/>
    </row>
    <row r="168" spans="1:11" ht="13.8" x14ac:dyDescent="0.25">
      <c r="C168" s="6" t="s">
        <v>8</v>
      </c>
      <c r="H168" s="5">
        <v>8369.7000000000007</v>
      </c>
      <c r="I168" s="5"/>
      <c r="J168" s="5">
        <v>115547.65</v>
      </c>
      <c r="K168" s="5"/>
    </row>
    <row r="169" spans="1:11" ht="13.8" x14ac:dyDescent="0.25">
      <c r="C169" s="6" t="s">
        <v>2</v>
      </c>
      <c r="H169" s="3">
        <v>8369.7000000000007</v>
      </c>
      <c r="I169" s="3"/>
      <c r="J169" s="3">
        <v>115547.65</v>
      </c>
      <c r="K169" s="3"/>
    </row>
    <row r="171" spans="1:11" ht="145.80000000000001" x14ac:dyDescent="0.25">
      <c r="A171" s="16">
        <v>20</v>
      </c>
      <c r="B171" s="16" t="s">
        <v>51</v>
      </c>
      <c r="C171" s="16" t="s">
        <v>50</v>
      </c>
      <c r="D171" s="15" t="s">
        <v>35</v>
      </c>
      <c r="E171" s="13">
        <v>0.1</v>
      </c>
      <c r="F171" s="12"/>
      <c r="G171" s="14"/>
      <c r="H171" s="13"/>
      <c r="I171" s="12"/>
      <c r="J171" s="13"/>
      <c r="K171" s="12"/>
    </row>
    <row r="172" spans="1:11" x14ac:dyDescent="0.25">
      <c r="C172" s="21" t="s">
        <v>40</v>
      </c>
    </row>
    <row r="173" spans="1:11" ht="14.4" x14ac:dyDescent="0.25">
      <c r="A173" s="16"/>
      <c r="B173" s="16"/>
      <c r="C173" s="16" t="s">
        <v>19</v>
      </c>
      <c r="D173" s="15"/>
      <c r="E173" s="13"/>
      <c r="F173" s="12">
        <v>94.75</v>
      </c>
      <c r="G173" s="17" t="s">
        <v>9</v>
      </c>
      <c r="H173" s="13">
        <v>1</v>
      </c>
      <c r="I173" s="12">
        <v>13.08</v>
      </c>
      <c r="J173" s="13">
        <v>57.05</v>
      </c>
      <c r="K173" s="12">
        <v>746.21</v>
      </c>
    </row>
    <row r="174" spans="1:11" ht="14.4" x14ac:dyDescent="0.25">
      <c r="A174" s="16"/>
      <c r="B174" s="16"/>
      <c r="C174" s="16" t="s">
        <v>18</v>
      </c>
      <c r="D174" s="15"/>
      <c r="E174" s="13"/>
      <c r="F174" s="12">
        <v>23.48</v>
      </c>
      <c r="G174" s="17" t="s">
        <v>16</v>
      </c>
      <c r="H174" s="13">
        <v>1</v>
      </c>
      <c r="I174" s="12">
        <v>3.52</v>
      </c>
      <c r="J174" s="13">
        <v>17.41</v>
      </c>
      <c r="K174" s="12">
        <v>61.28</v>
      </c>
    </row>
    <row r="175" spans="1:11" ht="14.4" x14ac:dyDescent="0.25">
      <c r="A175" s="16"/>
      <c r="B175" s="16"/>
      <c r="C175" s="16" t="s">
        <v>17</v>
      </c>
      <c r="D175" s="15"/>
      <c r="E175" s="13"/>
      <c r="F175" s="12">
        <v>3.53</v>
      </c>
      <c r="G175" s="17" t="s">
        <v>16</v>
      </c>
      <c r="H175" s="13">
        <v>1</v>
      </c>
      <c r="I175" s="18">
        <v>0.53</v>
      </c>
      <c r="J175" s="13">
        <v>57.05</v>
      </c>
      <c r="K175" s="18">
        <v>30.24</v>
      </c>
    </row>
    <row r="176" spans="1:11" ht="14.4" x14ac:dyDescent="0.25">
      <c r="A176" s="16"/>
      <c r="B176" s="16"/>
      <c r="C176" s="16" t="s">
        <v>15</v>
      </c>
      <c r="D176" s="15"/>
      <c r="E176" s="13"/>
      <c r="F176" s="12">
        <v>1363.42</v>
      </c>
      <c r="G176" s="17" t="s">
        <v>3</v>
      </c>
      <c r="H176" s="13">
        <v>1</v>
      </c>
      <c r="I176" s="12">
        <v>136.34</v>
      </c>
      <c r="J176" s="13">
        <v>1.39</v>
      </c>
      <c r="K176" s="12">
        <v>189.51</v>
      </c>
    </row>
    <row r="177" spans="1:11" ht="55.2" x14ac:dyDescent="0.25">
      <c r="A177" s="16" t="s">
        <v>49</v>
      </c>
      <c r="B177" s="16" t="s">
        <v>48</v>
      </c>
      <c r="C177" s="16" t="s">
        <v>47</v>
      </c>
      <c r="D177" s="15" t="s">
        <v>25</v>
      </c>
      <c r="E177" s="13">
        <v>1</v>
      </c>
      <c r="F177" s="12">
        <v>2019.5</v>
      </c>
      <c r="G177" s="17" t="s">
        <v>3</v>
      </c>
      <c r="H177" s="13">
        <v>1</v>
      </c>
      <c r="I177" s="12">
        <v>2019.5</v>
      </c>
      <c r="J177" s="13">
        <v>5.12</v>
      </c>
      <c r="K177" s="12">
        <v>10339.84</v>
      </c>
    </row>
    <row r="178" spans="1:11" ht="14.4" x14ac:dyDescent="0.25">
      <c r="A178" s="16"/>
      <c r="B178" s="16"/>
      <c r="C178" s="16" t="s">
        <v>14</v>
      </c>
      <c r="D178" s="15" t="s">
        <v>12</v>
      </c>
      <c r="E178" s="13">
        <v>109</v>
      </c>
      <c r="F178" s="12"/>
      <c r="G178" s="14"/>
      <c r="H178" s="13"/>
      <c r="I178" s="12">
        <v>14.83</v>
      </c>
      <c r="J178" s="13">
        <v>109</v>
      </c>
      <c r="K178" s="12">
        <v>846.33</v>
      </c>
    </row>
    <row r="179" spans="1:11" ht="14.4" x14ac:dyDescent="0.25">
      <c r="A179" s="16"/>
      <c r="B179" s="16"/>
      <c r="C179" s="16" t="s">
        <v>13</v>
      </c>
      <c r="D179" s="15" t="s">
        <v>12</v>
      </c>
      <c r="E179" s="13">
        <v>61</v>
      </c>
      <c r="F179" s="12"/>
      <c r="G179" s="14"/>
      <c r="H179" s="13"/>
      <c r="I179" s="12">
        <v>8.3000000000000007</v>
      </c>
      <c r="J179" s="13">
        <v>61</v>
      </c>
      <c r="K179" s="12">
        <v>473.63</v>
      </c>
    </row>
    <row r="180" spans="1:11" ht="14.4" x14ac:dyDescent="0.25">
      <c r="A180" s="11"/>
      <c r="B180" s="11"/>
      <c r="C180" s="11" t="s">
        <v>11</v>
      </c>
      <c r="D180" s="10" t="s">
        <v>10</v>
      </c>
      <c r="E180" s="8">
        <v>7.77</v>
      </c>
      <c r="F180" s="7"/>
      <c r="G180" s="9" t="s">
        <v>9</v>
      </c>
      <c r="H180" s="8">
        <v>1</v>
      </c>
      <c r="I180" s="7">
        <v>1.07</v>
      </c>
      <c r="J180" s="8"/>
      <c r="K180" s="7"/>
    </row>
    <row r="181" spans="1:11" ht="13.8" x14ac:dyDescent="0.25">
      <c r="C181" s="6" t="s">
        <v>8</v>
      </c>
      <c r="H181" s="5">
        <v>2195.5700000000002</v>
      </c>
      <c r="I181" s="5"/>
      <c r="J181" s="5">
        <v>12656.8</v>
      </c>
      <c r="K181" s="5"/>
    </row>
    <row r="182" spans="1:11" ht="13.8" x14ac:dyDescent="0.25">
      <c r="C182" s="6" t="s">
        <v>2</v>
      </c>
      <c r="H182" s="3">
        <v>2195.5700000000002</v>
      </c>
      <c r="I182" s="3"/>
      <c r="J182" s="3">
        <v>12656.8</v>
      </c>
      <c r="K182" s="3"/>
    </row>
    <row r="184" spans="1:11" ht="27.6" x14ac:dyDescent="0.25">
      <c r="A184" s="11">
        <v>21</v>
      </c>
      <c r="B184" s="11" t="s">
        <v>46</v>
      </c>
      <c r="C184" s="11" t="s">
        <v>45</v>
      </c>
      <c r="D184" s="10" t="s">
        <v>28</v>
      </c>
      <c r="E184" s="8">
        <v>1</v>
      </c>
      <c r="F184" s="7">
        <v>32.979999999999997</v>
      </c>
      <c r="G184" s="9" t="s">
        <v>3</v>
      </c>
      <c r="H184" s="8">
        <v>1</v>
      </c>
      <c r="I184" s="7">
        <v>32.979999999999997</v>
      </c>
      <c r="J184" s="8">
        <v>4.2699999999999996</v>
      </c>
      <c r="K184" s="7">
        <v>140.82</v>
      </c>
    </row>
    <row r="185" spans="1:11" ht="13.8" x14ac:dyDescent="0.25">
      <c r="C185" s="6" t="s">
        <v>2</v>
      </c>
      <c r="H185" s="5">
        <v>32.979999999999997</v>
      </c>
      <c r="I185" s="5"/>
      <c r="J185" s="5">
        <v>140.82</v>
      </c>
      <c r="K185" s="5"/>
    </row>
    <row r="187" spans="1:11" ht="41.4" x14ac:dyDescent="0.25">
      <c r="A187" s="11">
        <v>22</v>
      </c>
      <c r="B187" s="11" t="s">
        <v>44</v>
      </c>
      <c r="C187" s="11" t="s">
        <v>43</v>
      </c>
      <c r="D187" s="10" t="s">
        <v>28</v>
      </c>
      <c r="E187" s="8">
        <v>1</v>
      </c>
      <c r="F187" s="7">
        <v>124.28</v>
      </c>
      <c r="G187" s="9" t="s">
        <v>3</v>
      </c>
      <c r="H187" s="8">
        <v>1</v>
      </c>
      <c r="I187" s="7">
        <v>124.28</v>
      </c>
      <c r="J187" s="8">
        <v>1.03</v>
      </c>
      <c r="K187" s="7">
        <v>128.01</v>
      </c>
    </row>
    <row r="188" spans="1:11" ht="13.8" x14ac:dyDescent="0.25">
      <c r="C188" s="6" t="s">
        <v>2</v>
      </c>
      <c r="H188" s="5">
        <v>124.28</v>
      </c>
      <c r="I188" s="5"/>
      <c r="J188" s="5">
        <v>128.01</v>
      </c>
      <c r="K188" s="5"/>
    </row>
    <row r="190" spans="1:11" ht="27.6" x14ac:dyDescent="0.25">
      <c r="A190" s="11">
        <v>23</v>
      </c>
      <c r="B190" s="11" t="s">
        <v>42</v>
      </c>
      <c r="C190" s="11" t="s">
        <v>41</v>
      </c>
      <c r="D190" s="10" t="s">
        <v>28</v>
      </c>
      <c r="E190" s="8">
        <v>1</v>
      </c>
      <c r="F190" s="7">
        <v>3.35</v>
      </c>
      <c r="G190" s="9" t="s">
        <v>3</v>
      </c>
      <c r="H190" s="8">
        <v>1</v>
      </c>
      <c r="I190" s="7">
        <v>3.35</v>
      </c>
      <c r="J190" s="8">
        <v>4.82</v>
      </c>
      <c r="K190" s="7">
        <v>16.149999999999999</v>
      </c>
    </row>
    <row r="191" spans="1:11" ht="13.8" x14ac:dyDescent="0.25">
      <c r="C191" s="6" t="s">
        <v>2</v>
      </c>
      <c r="H191" s="5">
        <v>3.35</v>
      </c>
      <c r="I191" s="5"/>
      <c r="J191" s="5">
        <v>16.149999999999999</v>
      </c>
      <c r="K191" s="5"/>
    </row>
    <row r="193" spans="1:11" ht="145.80000000000001" x14ac:dyDescent="0.25">
      <c r="A193" s="16">
        <v>24</v>
      </c>
      <c r="B193" s="16" t="s">
        <v>37</v>
      </c>
      <c r="C193" s="16" t="s">
        <v>36</v>
      </c>
      <c r="D193" s="15" t="s">
        <v>35</v>
      </c>
      <c r="E193" s="13">
        <v>0.1</v>
      </c>
      <c r="F193" s="12"/>
      <c r="G193" s="14"/>
      <c r="H193" s="13"/>
      <c r="I193" s="12"/>
      <c r="J193" s="13"/>
      <c r="K193" s="12"/>
    </row>
    <row r="194" spans="1:11" x14ac:dyDescent="0.25">
      <c r="C194" s="21" t="s">
        <v>40</v>
      </c>
    </row>
    <row r="195" spans="1:11" ht="14.4" x14ac:dyDescent="0.25">
      <c r="A195" s="16"/>
      <c r="B195" s="16"/>
      <c r="C195" s="16" t="s">
        <v>19</v>
      </c>
      <c r="D195" s="15"/>
      <c r="E195" s="13"/>
      <c r="F195" s="12">
        <v>75.959999999999994</v>
      </c>
      <c r="G195" s="17" t="s">
        <v>9</v>
      </c>
      <c r="H195" s="13">
        <v>1</v>
      </c>
      <c r="I195" s="12">
        <v>10.48</v>
      </c>
      <c r="J195" s="13">
        <v>57.05</v>
      </c>
      <c r="K195" s="12">
        <v>597.88</v>
      </c>
    </row>
    <row r="196" spans="1:11" ht="14.4" x14ac:dyDescent="0.25">
      <c r="A196" s="16"/>
      <c r="B196" s="16"/>
      <c r="C196" s="16" t="s">
        <v>18</v>
      </c>
      <c r="D196" s="15"/>
      <c r="E196" s="13"/>
      <c r="F196" s="12">
        <v>28.43</v>
      </c>
      <c r="G196" s="17" t="s">
        <v>16</v>
      </c>
      <c r="H196" s="13">
        <v>1</v>
      </c>
      <c r="I196" s="12">
        <v>4.26</v>
      </c>
      <c r="J196" s="13">
        <v>17.41</v>
      </c>
      <c r="K196" s="12">
        <v>74.17</v>
      </c>
    </row>
    <row r="197" spans="1:11" ht="14.4" x14ac:dyDescent="0.25">
      <c r="A197" s="16"/>
      <c r="B197" s="16"/>
      <c r="C197" s="16" t="s">
        <v>17</v>
      </c>
      <c r="D197" s="15"/>
      <c r="E197" s="13"/>
      <c r="F197" s="12">
        <v>4.29</v>
      </c>
      <c r="G197" s="17" t="s">
        <v>16</v>
      </c>
      <c r="H197" s="13">
        <v>1</v>
      </c>
      <c r="I197" s="18">
        <v>0.64</v>
      </c>
      <c r="J197" s="13">
        <v>57.05</v>
      </c>
      <c r="K197" s="18">
        <v>36.51</v>
      </c>
    </row>
    <row r="198" spans="1:11" ht="14.4" x14ac:dyDescent="0.25">
      <c r="A198" s="16"/>
      <c r="B198" s="16"/>
      <c r="C198" s="16" t="s">
        <v>15</v>
      </c>
      <c r="D198" s="15"/>
      <c r="E198" s="13"/>
      <c r="F198" s="12">
        <v>85.7</v>
      </c>
      <c r="G198" s="17" t="s">
        <v>3</v>
      </c>
      <c r="H198" s="13">
        <v>1</v>
      </c>
      <c r="I198" s="12">
        <v>8.57</v>
      </c>
      <c r="J198" s="13">
        <v>5.07</v>
      </c>
      <c r="K198" s="12">
        <v>43.45</v>
      </c>
    </row>
    <row r="199" spans="1:11" ht="14.4" x14ac:dyDescent="0.25">
      <c r="A199" s="16" t="s">
        <v>39</v>
      </c>
      <c r="B199" s="16" t="s">
        <v>32</v>
      </c>
      <c r="C199" s="16" t="s">
        <v>31</v>
      </c>
      <c r="D199" s="15" t="s">
        <v>28</v>
      </c>
      <c r="E199" s="13">
        <v>1</v>
      </c>
      <c r="F199" s="12">
        <v>92.11</v>
      </c>
      <c r="G199" s="17" t="s">
        <v>3</v>
      </c>
      <c r="H199" s="13">
        <v>1</v>
      </c>
      <c r="I199" s="12">
        <v>92.11</v>
      </c>
      <c r="J199" s="13">
        <v>10.26</v>
      </c>
      <c r="K199" s="12">
        <v>945.05</v>
      </c>
    </row>
    <row r="200" spans="1:11" ht="14.4" x14ac:dyDescent="0.25">
      <c r="A200" s="16"/>
      <c r="B200" s="16"/>
      <c r="C200" s="16" t="s">
        <v>14</v>
      </c>
      <c r="D200" s="15" t="s">
        <v>12</v>
      </c>
      <c r="E200" s="13">
        <v>109</v>
      </c>
      <c r="F200" s="12"/>
      <c r="G200" s="14"/>
      <c r="H200" s="13"/>
      <c r="I200" s="12">
        <v>12.12</v>
      </c>
      <c r="J200" s="13">
        <v>109</v>
      </c>
      <c r="K200" s="12">
        <v>691.49</v>
      </c>
    </row>
    <row r="201" spans="1:11" ht="14.4" x14ac:dyDescent="0.25">
      <c r="A201" s="16"/>
      <c r="B201" s="16"/>
      <c r="C201" s="16" t="s">
        <v>13</v>
      </c>
      <c r="D201" s="15" t="s">
        <v>12</v>
      </c>
      <c r="E201" s="13">
        <v>61</v>
      </c>
      <c r="F201" s="12"/>
      <c r="G201" s="14"/>
      <c r="H201" s="13"/>
      <c r="I201" s="12">
        <v>6.78</v>
      </c>
      <c r="J201" s="13">
        <v>61</v>
      </c>
      <c r="K201" s="12">
        <v>386.98</v>
      </c>
    </row>
    <row r="202" spans="1:11" ht="14.4" x14ac:dyDescent="0.25">
      <c r="A202" s="11"/>
      <c r="B202" s="11"/>
      <c r="C202" s="11" t="s">
        <v>11</v>
      </c>
      <c r="D202" s="10" t="s">
        <v>10</v>
      </c>
      <c r="E202" s="8">
        <v>6.33</v>
      </c>
      <c r="F202" s="7"/>
      <c r="G202" s="9" t="s">
        <v>9</v>
      </c>
      <c r="H202" s="8">
        <v>1</v>
      </c>
      <c r="I202" s="7">
        <v>0.87</v>
      </c>
      <c r="J202" s="8"/>
      <c r="K202" s="7"/>
    </row>
    <row r="203" spans="1:11" ht="13.8" x14ac:dyDescent="0.25">
      <c r="C203" s="6" t="s">
        <v>8</v>
      </c>
      <c r="H203" s="5">
        <v>134.32</v>
      </c>
      <c r="I203" s="5"/>
      <c r="J203" s="5">
        <v>2739.02</v>
      </c>
      <c r="K203" s="5"/>
    </row>
    <row r="204" spans="1:11" ht="13.8" x14ac:dyDescent="0.25">
      <c r="C204" s="6" t="s">
        <v>2</v>
      </c>
      <c r="H204" s="3">
        <v>134.32</v>
      </c>
      <c r="I204" s="3"/>
      <c r="J204" s="3">
        <v>2739.02</v>
      </c>
      <c r="K204" s="3"/>
    </row>
    <row r="206" spans="1:11" ht="67.8" x14ac:dyDescent="0.25">
      <c r="A206" s="11">
        <v>25</v>
      </c>
      <c r="B206" s="11" t="s">
        <v>6</v>
      </c>
      <c r="C206" s="11" t="s">
        <v>38</v>
      </c>
      <c r="D206" s="10" t="s">
        <v>4</v>
      </c>
      <c r="E206" s="8">
        <v>1</v>
      </c>
      <c r="F206" s="7">
        <v>1109.56</v>
      </c>
      <c r="G206" s="9" t="s">
        <v>3</v>
      </c>
      <c r="H206" s="8">
        <v>1</v>
      </c>
      <c r="I206" s="7">
        <v>1109.56</v>
      </c>
      <c r="J206" s="8">
        <v>10.18</v>
      </c>
      <c r="K206" s="7">
        <v>11295.32</v>
      </c>
    </row>
    <row r="207" spans="1:11" ht="13.8" x14ac:dyDescent="0.25">
      <c r="C207" s="6" t="s">
        <v>2</v>
      </c>
      <c r="H207" s="5">
        <v>1109.56</v>
      </c>
      <c r="I207" s="5"/>
      <c r="J207" s="5">
        <v>11295.32</v>
      </c>
      <c r="K207" s="5"/>
    </row>
    <row r="209" spans="1:11" ht="27.6" x14ac:dyDescent="0.25">
      <c r="A209" s="11">
        <v>26</v>
      </c>
      <c r="B209" s="11" t="s">
        <v>30</v>
      </c>
      <c r="C209" s="11" t="s">
        <v>29</v>
      </c>
      <c r="D209" s="10" t="s">
        <v>28</v>
      </c>
      <c r="E209" s="8">
        <v>1</v>
      </c>
      <c r="F209" s="7">
        <v>6.96</v>
      </c>
      <c r="G209" s="9" t="s">
        <v>3</v>
      </c>
      <c r="H209" s="8">
        <v>1</v>
      </c>
      <c r="I209" s="7">
        <v>6.96</v>
      </c>
      <c r="J209" s="8">
        <v>9.7899999999999991</v>
      </c>
      <c r="K209" s="7">
        <v>68.14</v>
      </c>
    </row>
    <row r="210" spans="1:11" ht="13.8" x14ac:dyDescent="0.25">
      <c r="C210" s="6" t="s">
        <v>2</v>
      </c>
      <c r="H210" s="5">
        <v>6.96</v>
      </c>
      <c r="I210" s="5"/>
      <c r="J210" s="5">
        <v>68.14</v>
      </c>
      <c r="K210" s="5"/>
    </row>
    <row r="212" spans="1:11" ht="28.8" x14ac:dyDescent="0.25">
      <c r="A212" s="11">
        <v>27</v>
      </c>
      <c r="B212" s="11" t="s">
        <v>27</v>
      </c>
      <c r="C212" s="11" t="s">
        <v>26</v>
      </c>
      <c r="D212" s="10" t="s">
        <v>25</v>
      </c>
      <c r="E212" s="8">
        <v>2</v>
      </c>
      <c r="F212" s="7">
        <v>23.29</v>
      </c>
      <c r="G212" s="9" t="s">
        <v>3</v>
      </c>
      <c r="H212" s="8">
        <v>1</v>
      </c>
      <c r="I212" s="7">
        <v>46.58</v>
      </c>
      <c r="J212" s="8">
        <v>9.92</v>
      </c>
      <c r="K212" s="7">
        <v>462.07</v>
      </c>
    </row>
    <row r="213" spans="1:11" ht="13.8" x14ac:dyDescent="0.25">
      <c r="C213" s="6" t="s">
        <v>2</v>
      </c>
      <c r="H213" s="5">
        <v>46.58</v>
      </c>
      <c r="I213" s="5"/>
      <c r="J213" s="5">
        <v>462.07</v>
      </c>
      <c r="K213" s="5"/>
    </row>
    <row r="215" spans="1:11" ht="145.80000000000001" x14ac:dyDescent="0.25">
      <c r="A215" s="16">
        <v>28</v>
      </c>
      <c r="B215" s="16" t="s">
        <v>37</v>
      </c>
      <c r="C215" s="16" t="s">
        <v>36</v>
      </c>
      <c r="D215" s="15" t="s">
        <v>35</v>
      </c>
      <c r="E215" s="13">
        <v>0.5</v>
      </c>
      <c r="F215" s="12"/>
      <c r="G215" s="14"/>
      <c r="H215" s="13"/>
      <c r="I215" s="12"/>
      <c r="J215" s="13"/>
      <c r="K215" s="12"/>
    </row>
    <row r="216" spans="1:11" x14ac:dyDescent="0.25">
      <c r="C216" s="21" t="s">
        <v>34</v>
      </c>
    </row>
    <row r="217" spans="1:11" ht="14.4" x14ac:dyDescent="0.25">
      <c r="A217" s="16"/>
      <c r="B217" s="16"/>
      <c r="C217" s="16" t="s">
        <v>19</v>
      </c>
      <c r="D217" s="15"/>
      <c r="E217" s="13"/>
      <c r="F217" s="12">
        <v>75.959999999999994</v>
      </c>
      <c r="G217" s="17" t="s">
        <v>9</v>
      </c>
      <c r="H217" s="13">
        <v>1</v>
      </c>
      <c r="I217" s="12">
        <v>52.41</v>
      </c>
      <c r="J217" s="13">
        <v>57.05</v>
      </c>
      <c r="K217" s="12">
        <v>2989.99</v>
      </c>
    </row>
    <row r="218" spans="1:11" ht="14.4" x14ac:dyDescent="0.25">
      <c r="A218" s="16"/>
      <c r="B218" s="16"/>
      <c r="C218" s="16" t="s">
        <v>18</v>
      </c>
      <c r="D218" s="15"/>
      <c r="E218" s="13"/>
      <c r="F218" s="12">
        <v>28.43</v>
      </c>
      <c r="G218" s="17" t="s">
        <v>16</v>
      </c>
      <c r="H218" s="13">
        <v>1</v>
      </c>
      <c r="I218" s="12">
        <v>21.32</v>
      </c>
      <c r="J218" s="13">
        <v>17.41</v>
      </c>
      <c r="K218" s="12">
        <v>371.18</v>
      </c>
    </row>
    <row r="219" spans="1:11" ht="14.4" x14ac:dyDescent="0.25">
      <c r="A219" s="16"/>
      <c r="B219" s="16"/>
      <c r="C219" s="16" t="s">
        <v>17</v>
      </c>
      <c r="D219" s="15"/>
      <c r="E219" s="13"/>
      <c r="F219" s="12">
        <v>4.29</v>
      </c>
      <c r="G219" s="17" t="s">
        <v>16</v>
      </c>
      <c r="H219" s="13">
        <v>1</v>
      </c>
      <c r="I219" s="18">
        <v>3.22</v>
      </c>
      <c r="J219" s="13">
        <v>57.05</v>
      </c>
      <c r="K219" s="18">
        <v>183.7</v>
      </c>
    </row>
    <row r="220" spans="1:11" ht="14.4" x14ac:dyDescent="0.25">
      <c r="A220" s="16"/>
      <c r="B220" s="16"/>
      <c r="C220" s="16" t="s">
        <v>15</v>
      </c>
      <c r="D220" s="15"/>
      <c r="E220" s="13"/>
      <c r="F220" s="12">
        <v>85.7</v>
      </c>
      <c r="G220" s="17" t="s">
        <v>3</v>
      </c>
      <c r="H220" s="13">
        <v>1</v>
      </c>
      <c r="I220" s="12">
        <v>42.85</v>
      </c>
      <c r="J220" s="13">
        <v>5.07</v>
      </c>
      <c r="K220" s="12">
        <v>217.25</v>
      </c>
    </row>
    <row r="221" spans="1:11" ht="14.4" x14ac:dyDescent="0.25">
      <c r="A221" s="16" t="s">
        <v>33</v>
      </c>
      <c r="B221" s="16" t="s">
        <v>32</v>
      </c>
      <c r="C221" s="16" t="s">
        <v>31</v>
      </c>
      <c r="D221" s="15" t="s">
        <v>28</v>
      </c>
      <c r="E221" s="13">
        <v>5</v>
      </c>
      <c r="F221" s="12">
        <v>92.11</v>
      </c>
      <c r="G221" s="17" t="s">
        <v>3</v>
      </c>
      <c r="H221" s="13">
        <v>1</v>
      </c>
      <c r="I221" s="12">
        <v>460.55</v>
      </c>
      <c r="J221" s="13">
        <v>10.26</v>
      </c>
      <c r="K221" s="12">
        <v>4725.24</v>
      </c>
    </row>
    <row r="222" spans="1:11" ht="14.4" x14ac:dyDescent="0.25">
      <c r="A222" s="16"/>
      <c r="B222" s="16"/>
      <c r="C222" s="16" t="s">
        <v>14</v>
      </c>
      <c r="D222" s="15" t="s">
        <v>12</v>
      </c>
      <c r="E222" s="13">
        <v>109</v>
      </c>
      <c r="F222" s="12"/>
      <c r="G222" s="14"/>
      <c r="H222" s="13"/>
      <c r="I222" s="12">
        <v>60.64</v>
      </c>
      <c r="J222" s="13">
        <v>109</v>
      </c>
      <c r="K222" s="12">
        <v>3459.32</v>
      </c>
    </row>
    <row r="223" spans="1:11" ht="14.4" x14ac:dyDescent="0.25">
      <c r="A223" s="16"/>
      <c r="B223" s="16"/>
      <c r="C223" s="16" t="s">
        <v>13</v>
      </c>
      <c r="D223" s="15" t="s">
        <v>12</v>
      </c>
      <c r="E223" s="13">
        <v>61</v>
      </c>
      <c r="F223" s="12"/>
      <c r="G223" s="14"/>
      <c r="H223" s="13"/>
      <c r="I223" s="12">
        <v>33.93</v>
      </c>
      <c r="J223" s="13">
        <v>61</v>
      </c>
      <c r="K223" s="12">
        <v>1935.95</v>
      </c>
    </row>
    <row r="224" spans="1:11" ht="14.4" x14ac:dyDescent="0.25">
      <c r="A224" s="11"/>
      <c r="B224" s="11"/>
      <c r="C224" s="11" t="s">
        <v>11</v>
      </c>
      <c r="D224" s="10" t="s">
        <v>10</v>
      </c>
      <c r="E224" s="8">
        <v>6.33</v>
      </c>
      <c r="F224" s="7"/>
      <c r="G224" s="9" t="s">
        <v>9</v>
      </c>
      <c r="H224" s="8">
        <v>1</v>
      </c>
      <c r="I224" s="7">
        <v>4.37</v>
      </c>
      <c r="J224" s="8"/>
      <c r="K224" s="7"/>
    </row>
    <row r="225" spans="1:11" ht="13.8" x14ac:dyDescent="0.25">
      <c r="C225" s="6" t="s">
        <v>8</v>
      </c>
      <c r="H225" s="5">
        <v>671.7</v>
      </c>
      <c r="I225" s="5"/>
      <c r="J225" s="5">
        <v>13698.93</v>
      </c>
      <c r="K225" s="5"/>
    </row>
    <row r="226" spans="1:11" ht="13.8" x14ac:dyDescent="0.25">
      <c r="C226" s="6" t="s">
        <v>2</v>
      </c>
      <c r="H226" s="3">
        <v>671.7</v>
      </c>
      <c r="I226" s="3"/>
      <c r="J226" s="3">
        <v>13698.93</v>
      </c>
      <c r="K226" s="3"/>
    </row>
    <row r="228" spans="1:11" ht="27.6" x14ac:dyDescent="0.25">
      <c r="A228" s="11">
        <v>29</v>
      </c>
      <c r="B228" s="11" t="s">
        <v>30</v>
      </c>
      <c r="C228" s="11" t="s">
        <v>29</v>
      </c>
      <c r="D228" s="10" t="s">
        <v>28</v>
      </c>
      <c r="E228" s="8">
        <v>5</v>
      </c>
      <c r="F228" s="7">
        <v>6.96</v>
      </c>
      <c r="G228" s="9" t="s">
        <v>3</v>
      </c>
      <c r="H228" s="8">
        <v>1</v>
      </c>
      <c r="I228" s="7">
        <v>34.799999999999997</v>
      </c>
      <c r="J228" s="8">
        <v>9.7899999999999991</v>
      </c>
      <c r="K228" s="7">
        <v>340.69</v>
      </c>
    </row>
    <row r="229" spans="1:11" ht="13.8" x14ac:dyDescent="0.25">
      <c r="C229" s="6" t="s">
        <v>2</v>
      </c>
      <c r="H229" s="5">
        <v>34.799999999999997</v>
      </c>
      <c r="I229" s="5"/>
      <c r="J229" s="5">
        <v>340.69</v>
      </c>
      <c r="K229" s="5"/>
    </row>
    <row r="231" spans="1:11" ht="28.8" x14ac:dyDescent="0.25">
      <c r="A231" s="16">
        <v>30</v>
      </c>
      <c r="B231" s="16" t="s">
        <v>27</v>
      </c>
      <c r="C231" s="16" t="s">
        <v>26</v>
      </c>
      <c r="D231" s="15" t="s">
        <v>25</v>
      </c>
      <c r="E231" s="13">
        <v>10</v>
      </c>
      <c r="F231" s="12">
        <v>23.29</v>
      </c>
      <c r="G231" s="17" t="s">
        <v>3</v>
      </c>
      <c r="H231" s="13">
        <v>1</v>
      </c>
      <c r="I231" s="12">
        <v>232.9</v>
      </c>
      <c r="J231" s="13">
        <v>9.92</v>
      </c>
      <c r="K231" s="12">
        <v>2310.37</v>
      </c>
    </row>
    <row r="232" spans="1:11" x14ac:dyDescent="0.25">
      <c r="A232" s="19"/>
      <c r="B232" s="19"/>
      <c r="C232" s="20" t="s">
        <v>24</v>
      </c>
      <c r="D232" s="19"/>
      <c r="E232" s="19"/>
      <c r="F232" s="19"/>
      <c r="G232" s="19"/>
      <c r="H232" s="19"/>
      <c r="I232" s="19"/>
      <c r="J232" s="19"/>
      <c r="K232" s="19"/>
    </row>
    <row r="233" spans="1:11" ht="13.8" x14ac:dyDescent="0.25">
      <c r="C233" s="6" t="s">
        <v>2</v>
      </c>
      <c r="H233" s="5">
        <v>232.9</v>
      </c>
      <c r="I233" s="5"/>
      <c r="J233" s="5">
        <v>2310.37</v>
      </c>
      <c r="K233" s="5"/>
    </row>
    <row r="235" spans="1:11" ht="40.799999999999997" x14ac:dyDescent="0.25">
      <c r="A235" s="11">
        <v>31</v>
      </c>
      <c r="B235" s="11" t="s">
        <v>6</v>
      </c>
      <c r="C235" s="11" t="s">
        <v>23</v>
      </c>
      <c r="D235" s="10" t="s">
        <v>4</v>
      </c>
      <c r="E235" s="8">
        <v>5</v>
      </c>
      <c r="F235" s="7">
        <v>432.82</v>
      </c>
      <c r="G235" s="9" t="s">
        <v>3</v>
      </c>
      <c r="H235" s="8">
        <v>1</v>
      </c>
      <c r="I235" s="7">
        <v>2164.1</v>
      </c>
      <c r="J235" s="8">
        <v>10.18</v>
      </c>
      <c r="K235" s="7">
        <v>22030.54</v>
      </c>
    </row>
    <row r="236" spans="1:11" ht="13.8" x14ac:dyDescent="0.25">
      <c r="C236" s="6" t="s">
        <v>2</v>
      </c>
      <c r="H236" s="5">
        <v>2164.1</v>
      </c>
      <c r="I236" s="5"/>
      <c r="J236" s="5">
        <v>22030.54</v>
      </c>
      <c r="K236" s="5"/>
    </row>
    <row r="238" spans="1:11" ht="145.80000000000001" x14ac:dyDescent="0.25">
      <c r="A238" s="16">
        <v>32</v>
      </c>
      <c r="B238" s="16" t="s">
        <v>22</v>
      </c>
      <c r="C238" s="16" t="s">
        <v>21</v>
      </c>
      <c r="D238" s="15" t="s">
        <v>20</v>
      </c>
      <c r="E238" s="13">
        <v>5</v>
      </c>
      <c r="F238" s="12"/>
      <c r="G238" s="14"/>
      <c r="H238" s="13"/>
      <c r="I238" s="12"/>
      <c r="J238" s="13"/>
      <c r="K238" s="12"/>
    </row>
    <row r="239" spans="1:11" ht="14.4" x14ac:dyDescent="0.25">
      <c r="A239" s="16"/>
      <c r="B239" s="16"/>
      <c r="C239" s="16" t="s">
        <v>19</v>
      </c>
      <c r="D239" s="15"/>
      <c r="E239" s="13"/>
      <c r="F239" s="12">
        <v>7.08</v>
      </c>
      <c r="G239" s="17" t="s">
        <v>9</v>
      </c>
      <c r="H239" s="13">
        <v>1</v>
      </c>
      <c r="I239" s="12">
        <v>48.85</v>
      </c>
      <c r="J239" s="13">
        <v>57.05</v>
      </c>
      <c r="K239" s="12">
        <v>2786.89</v>
      </c>
    </row>
    <row r="240" spans="1:11" ht="14.4" x14ac:dyDescent="0.25">
      <c r="A240" s="16"/>
      <c r="B240" s="16"/>
      <c r="C240" s="16" t="s">
        <v>18</v>
      </c>
      <c r="D240" s="15"/>
      <c r="E240" s="13"/>
      <c r="F240" s="12">
        <v>0.5</v>
      </c>
      <c r="G240" s="17" t="s">
        <v>16</v>
      </c>
      <c r="H240" s="13">
        <v>1</v>
      </c>
      <c r="I240" s="12">
        <v>3.75</v>
      </c>
      <c r="J240" s="13">
        <v>17.399999999999999</v>
      </c>
      <c r="K240" s="12">
        <v>65.25</v>
      </c>
    </row>
    <row r="241" spans="1:11" ht="14.4" x14ac:dyDescent="0.25">
      <c r="A241" s="16"/>
      <c r="B241" s="16"/>
      <c r="C241" s="16" t="s">
        <v>17</v>
      </c>
      <c r="D241" s="15"/>
      <c r="E241" s="13"/>
      <c r="F241" s="12">
        <v>0.08</v>
      </c>
      <c r="G241" s="17" t="s">
        <v>16</v>
      </c>
      <c r="H241" s="13">
        <v>1</v>
      </c>
      <c r="I241" s="18">
        <v>0.6</v>
      </c>
      <c r="J241" s="13">
        <v>57.05</v>
      </c>
      <c r="K241" s="18">
        <v>34.229999999999997</v>
      </c>
    </row>
    <row r="242" spans="1:11" ht="14.4" x14ac:dyDescent="0.25">
      <c r="A242" s="16"/>
      <c r="B242" s="16"/>
      <c r="C242" s="16" t="s">
        <v>15</v>
      </c>
      <c r="D242" s="15"/>
      <c r="E242" s="13"/>
      <c r="F242" s="12">
        <v>1.92</v>
      </c>
      <c r="G242" s="17" t="s">
        <v>3</v>
      </c>
      <c r="H242" s="13">
        <v>1</v>
      </c>
      <c r="I242" s="12">
        <v>9.6</v>
      </c>
      <c r="J242" s="13">
        <v>12.87</v>
      </c>
      <c r="K242" s="12">
        <v>123.55</v>
      </c>
    </row>
    <row r="243" spans="1:11" ht="14.4" x14ac:dyDescent="0.25">
      <c r="A243" s="16"/>
      <c r="B243" s="16"/>
      <c r="C243" s="16" t="s">
        <v>14</v>
      </c>
      <c r="D243" s="15" t="s">
        <v>12</v>
      </c>
      <c r="E243" s="13">
        <v>109</v>
      </c>
      <c r="F243" s="12"/>
      <c r="G243" s="14"/>
      <c r="H243" s="13"/>
      <c r="I243" s="12">
        <v>53.9</v>
      </c>
      <c r="J243" s="13">
        <v>109</v>
      </c>
      <c r="K243" s="12">
        <v>3075.02</v>
      </c>
    </row>
    <row r="244" spans="1:11" ht="14.4" x14ac:dyDescent="0.25">
      <c r="A244" s="16"/>
      <c r="B244" s="16"/>
      <c r="C244" s="16" t="s">
        <v>13</v>
      </c>
      <c r="D244" s="15" t="s">
        <v>12</v>
      </c>
      <c r="E244" s="13">
        <v>61</v>
      </c>
      <c r="F244" s="12"/>
      <c r="G244" s="14"/>
      <c r="H244" s="13"/>
      <c r="I244" s="12">
        <v>30.16</v>
      </c>
      <c r="J244" s="13">
        <v>61</v>
      </c>
      <c r="K244" s="12">
        <v>1720.88</v>
      </c>
    </row>
    <row r="245" spans="1:11" ht="14.4" x14ac:dyDescent="0.25">
      <c r="A245" s="11"/>
      <c r="B245" s="11"/>
      <c r="C245" s="11" t="s">
        <v>11</v>
      </c>
      <c r="D245" s="10" t="s">
        <v>10</v>
      </c>
      <c r="E245" s="8">
        <v>0.61</v>
      </c>
      <c r="F245" s="7"/>
      <c r="G245" s="9" t="s">
        <v>9</v>
      </c>
      <c r="H245" s="8">
        <v>1</v>
      </c>
      <c r="I245" s="7">
        <v>4.21</v>
      </c>
      <c r="J245" s="8"/>
      <c r="K245" s="7"/>
    </row>
    <row r="246" spans="1:11" ht="13.8" x14ac:dyDescent="0.25">
      <c r="C246" s="6" t="s">
        <v>8</v>
      </c>
      <c r="H246" s="5">
        <v>146.26</v>
      </c>
      <c r="I246" s="5"/>
      <c r="J246" s="5">
        <v>7771.59</v>
      </c>
      <c r="K246" s="5"/>
    </row>
    <row r="247" spans="1:11" ht="13.8" x14ac:dyDescent="0.25">
      <c r="C247" s="6" t="s">
        <v>2</v>
      </c>
      <c r="H247" s="3">
        <v>146.26</v>
      </c>
      <c r="I247" s="3"/>
      <c r="J247" s="3">
        <v>7771.59</v>
      </c>
      <c r="K247" s="3"/>
    </row>
    <row r="249" spans="1:11" ht="67.8" x14ac:dyDescent="0.25">
      <c r="A249" s="11">
        <v>33</v>
      </c>
      <c r="B249" s="11" t="s">
        <v>6</v>
      </c>
      <c r="C249" s="11" t="s">
        <v>7</v>
      </c>
      <c r="D249" s="10" t="s">
        <v>4</v>
      </c>
      <c r="E249" s="8">
        <v>5</v>
      </c>
      <c r="F249" s="7">
        <v>105.11</v>
      </c>
      <c r="G249" s="9" t="s">
        <v>3</v>
      </c>
      <c r="H249" s="8">
        <v>1</v>
      </c>
      <c r="I249" s="7">
        <v>525.54999999999995</v>
      </c>
      <c r="J249" s="8">
        <v>10.18</v>
      </c>
      <c r="K249" s="7">
        <v>5350.1</v>
      </c>
    </row>
    <row r="250" spans="1:11" ht="13.8" x14ac:dyDescent="0.25">
      <c r="C250" s="6" t="s">
        <v>2</v>
      </c>
      <c r="H250" s="5">
        <v>525.54999999999995</v>
      </c>
      <c r="I250" s="5"/>
      <c r="J250" s="5">
        <v>5350.1</v>
      </c>
      <c r="K250" s="5"/>
    </row>
    <row r="252" spans="1:11" ht="27.6" x14ac:dyDescent="0.25">
      <c r="A252" s="11">
        <v>34</v>
      </c>
      <c r="B252" s="11" t="s">
        <v>6</v>
      </c>
      <c r="C252" s="11" t="s">
        <v>5</v>
      </c>
      <c r="D252" s="10" t="s">
        <v>4</v>
      </c>
      <c r="E252" s="8">
        <v>5</v>
      </c>
      <c r="F252" s="7">
        <v>133.38</v>
      </c>
      <c r="G252" s="9" t="s">
        <v>3</v>
      </c>
      <c r="H252" s="8">
        <v>1</v>
      </c>
      <c r="I252" s="7">
        <v>666.9</v>
      </c>
      <c r="J252" s="8">
        <v>10.18</v>
      </c>
      <c r="K252" s="7">
        <v>6789.04</v>
      </c>
    </row>
    <row r="253" spans="1:11" ht="13.8" x14ac:dyDescent="0.25">
      <c r="C253" s="6" t="s">
        <v>2</v>
      </c>
      <c r="H253" s="5">
        <v>666.9</v>
      </c>
      <c r="I253" s="5"/>
      <c r="J253" s="5">
        <v>6789.04</v>
      </c>
      <c r="K253" s="5"/>
    </row>
    <row r="256" spans="1:11" ht="13.8" x14ac:dyDescent="0.25">
      <c r="A256" s="4" t="s">
        <v>1</v>
      </c>
      <c r="B256" s="4"/>
      <c r="C256" s="4"/>
      <c r="D256" s="4"/>
      <c r="E256" s="4"/>
      <c r="F256" s="4"/>
      <c r="G256" s="4"/>
      <c r="H256" s="3">
        <v>29126.16</v>
      </c>
      <c r="I256" s="2"/>
      <c r="J256" s="3">
        <v>303374.76</v>
      </c>
      <c r="K256" s="2"/>
    </row>
    <row r="258" spans="1:11" ht="13.8" x14ac:dyDescent="0.25">
      <c r="A258" s="4" t="s">
        <v>0</v>
      </c>
      <c r="B258" s="4"/>
      <c r="C258" s="4"/>
      <c r="D258" s="4"/>
      <c r="E258" s="4"/>
      <c r="F258" s="4"/>
      <c r="G258" s="4"/>
      <c r="H258" s="3">
        <v>66733.77</v>
      </c>
      <c r="I258" s="2"/>
      <c r="J258" s="3">
        <v>841365.53</v>
      </c>
      <c r="K258" s="2"/>
    </row>
  </sheetData>
  <mergeCells count="116">
    <mergeCell ref="E13:H13"/>
    <mergeCell ref="E14:H14"/>
    <mergeCell ref="J2:K2"/>
    <mergeCell ref="A3:K3"/>
    <mergeCell ref="A4:K4"/>
    <mergeCell ref="A6:K6"/>
    <mergeCell ref="A8:K8"/>
    <mergeCell ref="A9:K9"/>
    <mergeCell ref="A22:K22"/>
    <mergeCell ref="H33:I33"/>
    <mergeCell ref="J33:K33"/>
    <mergeCell ref="H34:I34"/>
    <mergeCell ref="J34:K34"/>
    <mergeCell ref="E15:H15"/>
    <mergeCell ref="E16:H16"/>
    <mergeCell ref="A19:K19"/>
    <mergeCell ref="H48:I48"/>
    <mergeCell ref="J48:K48"/>
    <mergeCell ref="H62:I62"/>
    <mergeCell ref="J62:K62"/>
    <mergeCell ref="H37:I37"/>
    <mergeCell ref="J37:K37"/>
    <mergeCell ref="H47:I47"/>
    <mergeCell ref="J47:K47"/>
    <mergeCell ref="H73:I73"/>
    <mergeCell ref="J73:K73"/>
    <mergeCell ref="H87:I87"/>
    <mergeCell ref="J87:K87"/>
    <mergeCell ref="H63:I63"/>
    <mergeCell ref="J63:K63"/>
    <mergeCell ref="H66:I66"/>
    <mergeCell ref="J66:K66"/>
    <mergeCell ref="H69:I69"/>
    <mergeCell ref="J69:K69"/>
    <mergeCell ref="H88:I88"/>
    <mergeCell ref="J88:K88"/>
    <mergeCell ref="H92:I92"/>
    <mergeCell ref="J92:K92"/>
    <mergeCell ref="H100:I100"/>
    <mergeCell ref="J100:K100"/>
    <mergeCell ref="H107:I107"/>
    <mergeCell ref="J107:K107"/>
    <mergeCell ref="H116:I116"/>
    <mergeCell ref="J116:K116"/>
    <mergeCell ref="H101:I101"/>
    <mergeCell ref="J101:K101"/>
    <mergeCell ref="H104:I104"/>
    <mergeCell ref="J104:K104"/>
    <mergeCell ref="H138:I138"/>
    <mergeCell ref="J138:K138"/>
    <mergeCell ref="H117:I117"/>
    <mergeCell ref="J117:K117"/>
    <mergeCell ref="H130:I130"/>
    <mergeCell ref="J130:K130"/>
    <mergeCell ref="A140:K140"/>
    <mergeCell ref="H150:I150"/>
    <mergeCell ref="J150:K150"/>
    <mergeCell ref="H151:I151"/>
    <mergeCell ref="J151:K151"/>
    <mergeCell ref="H131:I131"/>
    <mergeCell ref="J131:K131"/>
    <mergeCell ref="H135:I135"/>
    <mergeCell ref="J135:K135"/>
    <mergeCell ref="A138:G138"/>
    <mergeCell ref="H154:I154"/>
    <mergeCell ref="J154:K154"/>
    <mergeCell ref="H157:I157"/>
    <mergeCell ref="J157:K157"/>
    <mergeCell ref="H168:I168"/>
    <mergeCell ref="J168:K168"/>
    <mergeCell ref="H182:I182"/>
    <mergeCell ref="J182:K182"/>
    <mergeCell ref="H185:I185"/>
    <mergeCell ref="J185:K185"/>
    <mergeCell ref="H169:I169"/>
    <mergeCell ref="J169:K169"/>
    <mergeCell ref="H181:I181"/>
    <mergeCell ref="J181:K181"/>
    <mergeCell ref="H204:I204"/>
    <mergeCell ref="J204:K204"/>
    <mergeCell ref="H207:I207"/>
    <mergeCell ref="J207:K207"/>
    <mergeCell ref="H188:I188"/>
    <mergeCell ref="J188:K188"/>
    <mergeCell ref="H191:I191"/>
    <mergeCell ref="J191:K191"/>
    <mergeCell ref="H203:I203"/>
    <mergeCell ref="J203:K203"/>
    <mergeCell ref="H226:I226"/>
    <mergeCell ref="J226:K226"/>
    <mergeCell ref="H229:I229"/>
    <mergeCell ref="J229:K229"/>
    <mergeCell ref="H210:I210"/>
    <mergeCell ref="J210:K210"/>
    <mergeCell ref="H213:I213"/>
    <mergeCell ref="J213:K213"/>
    <mergeCell ref="H225:I225"/>
    <mergeCell ref="J225:K225"/>
    <mergeCell ref="H247:I247"/>
    <mergeCell ref="J247:K247"/>
    <mergeCell ref="H250:I250"/>
    <mergeCell ref="J250:K250"/>
    <mergeCell ref="H233:I233"/>
    <mergeCell ref="J233:K233"/>
    <mergeCell ref="H236:I236"/>
    <mergeCell ref="J236:K236"/>
    <mergeCell ref="H246:I246"/>
    <mergeCell ref="J246:K246"/>
    <mergeCell ref="A258:G258"/>
    <mergeCell ref="H258:I258"/>
    <mergeCell ref="J258:K258"/>
    <mergeCell ref="H253:I253"/>
    <mergeCell ref="J253:K253"/>
    <mergeCell ref="A256:G256"/>
    <mergeCell ref="H256:I256"/>
    <mergeCell ref="J256:K25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ЛС 02-01-05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alef</dc:creator>
  <cp:lastModifiedBy>alef</cp:lastModifiedBy>
  <dcterms:created xsi:type="dcterms:W3CDTF">2026-09-09T07:26:36Z</dcterms:created>
  <dcterms:modified xsi:type="dcterms:W3CDTF">2026-09-11T19:02:59Z</dcterms:modified>
</cp:coreProperties>
</file>
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K:\2026\6. БГ\014. СМР Мясницкая д.44 стр.1\"/>
    </mc:Choice>
  </mc:AlternateContent>
  <xr:revisionPtr revIDLastSave="0" documentId="13_ncr:1_{830CDAEF-74B5-480B-9137-14237EAF65CF}" xr6:coauthVersionLast="47" xr6:coauthVersionMax="47" xr10:uidLastSave="{00000000-0000-0000-0000-000000000000}"/>
  <bookViews>
    <workbookView xWindow="-110" yWindow="-110" windowWidth="19420" windowHeight="10420" tabRatio="959" xr2:uid="{00000000-000D-0000-FFFF-FFFF00000000}"/>
  </bookViews>
  <sheets>
    <sheet name="ССРСС" sheetId="30" r:id="rId1"/>
    <sheet name="ОСР 02-01" sheetId="29" r:id="rId2"/>
    <sheet name="ЛС 02-01-01" sheetId="17" r:id="rId3"/>
    <sheet name="ЛС 02-01-02" sheetId="18" r:id="rId4"/>
    <sheet name="ЛС 02-01-03" sheetId="7" r:id="rId5"/>
    <sheet name="ЛС 02-01-04" sheetId="9" r:id="rId6"/>
    <sheet name="ЛС 02-01-05" sheetId="10" r:id="rId7"/>
    <sheet name="ЛС 02-01-06" sheetId="11" r:id="rId8"/>
    <sheet name="ЛС 02-01-07" sheetId="12" r:id="rId9"/>
    <sheet name="ЛС 02-01-08" sheetId="13" r:id="rId10"/>
    <sheet name="ЛС 02-01-09" sheetId="14" r:id="rId11"/>
    <sheet name="ЛС 02-01-10" sheetId="15" r:id="rId12"/>
    <sheet name="ЛС 02-01-11" sheetId="16" r:id="rId13"/>
    <sheet name="ЛС 02-01-12" sheetId="19" r:id="rId14"/>
    <sheet name="ЛС 02-01-13" sheetId="20" r:id="rId15"/>
    <sheet name="ЛС 02-01-14" sheetId="21" r:id="rId16"/>
    <sheet name="ЛС 02-01-15" sheetId="22" r:id="rId17"/>
    <sheet name="ЛС 02-01-16" sheetId="23" r:id="rId18"/>
    <sheet name="ЛС 02-01-17" sheetId="24" r:id="rId19"/>
    <sheet name="ЛС 02-01-18" sheetId="25" r:id="rId20"/>
    <sheet name="ЛС 02-01-19" sheetId="26" r:id="rId21"/>
    <sheet name="ЛС 09-01-01" sheetId="27" r:id="rId22"/>
    <sheet name="Возврат" sheetId="28" r:id="rId23"/>
  </sheets>
  <definedNames>
    <definedName name="_xlnm.Print_Titles" localSheetId="4">'ЛС 02-01-03'!$23:$23</definedName>
    <definedName name="_xlnm.Print_Area" localSheetId="4">'ЛС 02-01-03'!$A$1:$K$1008</definedName>
  </definedNames>
  <calcPr calcId="191029" iterate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9" l="1"/>
  <c r="A3" i="17"/>
  <c r="A3" i="18"/>
  <c r="A3" i="7"/>
  <c r="A3" i="9"/>
  <c r="A3" i="10"/>
  <c r="A3" i="11"/>
  <c r="A3" i="12"/>
  <c r="A3" i="13"/>
  <c r="A3" i="14"/>
  <c r="A3" i="15"/>
  <c r="A3" i="16"/>
  <c r="A3" i="19"/>
  <c r="A3" i="20"/>
  <c r="A3" i="21"/>
  <c r="A3" i="22"/>
  <c r="A3" i="23"/>
  <c r="A3" i="24"/>
  <c r="A3" i="25"/>
  <c r="A3" i="26"/>
  <c r="A3" i="27"/>
  <c r="A3" i="28"/>
  <c r="H33" i="29"/>
  <c r="H34" i="29"/>
  <c r="H32" i="29"/>
  <c r="F34" i="29"/>
  <c r="H15" i="29" l="1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14" i="29"/>
  <c r="G40" i="30" l="1"/>
  <c r="H40" i="30" s="1"/>
  <c r="G28" i="30"/>
  <c r="F32" i="29"/>
  <c r="E32" i="29"/>
  <c r="D32" i="29"/>
  <c r="F31" i="29"/>
  <c r="F30" i="29"/>
  <c r="E30" i="29"/>
  <c r="F29" i="29"/>
  <c r="E29" i="29"/>
  <c r="D29" i="29"/>
  <c r="F28" i="29"/>
  <c r="E28" i="29"/>
  <c r="D28" i="29"/>
  <c r="F27" i="29"/>
  <c r="E27" i="29"/>
  <c r="D27" i="29"/>
  <c r="F26" i="29"/>
  <c r="E26" i="29"/>
  <c r="D26" i="29"/>
  <c r="F25" i="29"/>
  <c r="E25" i="29"/>
  <c r="D25" i="29"/>
  <c r="F24" i="29"/>
  <c r="E24" i="29"/>
  <c r="D24" i="29"/>
  <c r="F23" i="29"/>
  <c r="E23" i="29"/>
  <c r="D23" i="29"/>
  <c r="F22" i="29"/>
  <c r="E22" i="29"/>
  <c r="D22" i="29"/>
  <c r="F21" i="29"/>
  <c r="E21" i="29"/>
  <c r="D21" i="29"/>
  <c r="F20" i="29"/>
  <c r="E20" i="29"/>
  <c r="D20" i="29"/>
  <c r="F19" i="29"/>
  <c r="E19" i="29"/>
  <c r="D19" i="29"/>
  <c r="D18" i="29"/>
  <c r="E17" i="29"/>
  <c r="D17" i="29"/>
  <c r="F16" i="29"/>
  <c r="E16" i="29"/>
  <c r="D16" i="29"/>
  <c r="E15" i="29"/>
  <c r="D15" i="29"/>
  <c r="F14" i="29"/>
  <c r="D14" i="29"/>
  <c r="F19" i="30"/>
  <c r="G29" i="30" l="1"/>
  <c r="G30" i="30" s="1"/>
  <c r="G31" i="30" s="1"/>
  <c r="G33" i="30" s="1"/>
  <c r="H28" i="30"/>
  <c r="F18" i="30"/>
  <c r="E34" i="29"/>
  <c r="E18" i="30" s="1"/>
  <c r="D34" i="29"/>
  <c r="D18" i="30" s="1"/>
  <c r="F29" i="30"/>
  <c r="E29" i="30"/>
  <c r="D29" i="30"/>
  <c r="E24" i="30" l="1"/>
  <c r="E25" i="30" s="1"/>
  <c r="E20" i="30"/>
  <c r="H29" i="30"/>
  <c r="D24" i="30"/>
  <c r="D25" i="30" s="1"/>
  <c r="D20" i="30"/>
  <c r="F20" i="30"/>
  <c r="F21" i="30" s="1"/>
  <c r="F26" i="30" s="1"/>
  <c r="F30" i="30" s="1"/>
  <c r="F31" i="30" s="1"/>
  <c r="F33" i="30" s="1"/>
  <c r="D6" i="29"/>
  <c r="H18" i="30"/>
  <c r="E21" i="30"/>
  <c r="H24" i="30" l="1"/>
  <c r="H25" i="30"/>
  <c r="F34" i="30"/>
  <c r="F35" i="30" s="1"/>
  <c r="G34" i="30"/>
  <c r="G35" i="30" s="1"/>
  <c r="E26" i="30"/>
  <c r="E30" i="30" s="1"/>
  <c r="E31" i="30" s="1"/>
  <c r="E33" i="30" s="1"/>
  <c r="H20" i="30"/>
  <c r="D21" i="30"/>
  <c r="F37" i="30" l="1"/>
  <c r="F38" i="30" s="1"/>
  <c r="F39" i="30" s="1"/>
  <c r="G37" i="30"/>
  <c r="G38" i="30" s="1"/>
  <c r="G39" i="30" s="1"/>
  <c r="E34" i="30"/>
  <c r="E35" i="30" s="1"/>
  <c r="H21" i="30"/>
  <c r="D26" i="30"/>
  <c r="E37" i="30" l="1"/>
  <c r="E38" i="30" s="1"/>
  <c r="E39" i="30" s="1"/>
  <c r="H26" i="30"/>
  <c r="D30" i="30"/>
  <c r="D31" i="30" l="1"/>
  <c r="D33" i="30" s="1"/>
  <c r="H33" i="30" s="1"/>
  <c r="H30" i="30"/>
  <c r="H31" i="30" l="1"/>
  <c r="D34" i="30" l="1"/>
  <c r="H34" i="30" l="1"/>
  <c r="D35" i="30"/>
  <c r="D37" i="30" l="1"/>
  <c r="H35" i="30"/>
  <c r="H37" i="30" l="1"/>
  <c r="D38" i="30"/>
  <c r="H38" i="30" l="1"/>
  <c r="D39" i="30"/>
  <c r="H39" i="30" s="1"/>
  <c r="D8" i="30" s="1"/>
</calcChain>
</file>

<file path=xl/sharedStrings.xml><?xml version="1.0" encoding="utf-8"?>
<sst xmlns="http://schemas.openxmlformats.org/spreadsheetml/2006/main" count="11660" uniqueCount="2128">
  <si>
    <t>Smeta.RU  (495) 974-1589</t>
  </si>
  <si>
    <t/>
  </si>
  <si>
    <t>Система электроснабжения</t>
  </si>
  <si>
    <t>1</t>
  </si>
  <si>
    <t>Монтаж щитов и стеллажей с блоками резисторов (ящиками сопротивлений) высотой свыше 1700 мм, щита, собираемого из отдельных панелей и блоков управления, однорядного или двухрядного, без блоков резисторов глубиной до 800 мм шкафного исполнения</t>
  </si>
  <si>
    <t>1 м ширины по фронту</t>
  </si>
  <si>
    <t>1,1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</si>
  <si>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</si>
  <si>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</si>
  <si>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</si>
  <si>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2</t>
  </si>
  <si>
    <t>ШТ</t>
  </si>
  <si>
    <t>3</t>
  </si>
  <si>
    <t>1,2</t>
  </si>
  <si>
    <t>3,1</t>
  </si>
  <si>
    <t>4</t>
  </si>
  <si>
    <t>Прочие</t>
  </si>
  <si>
    <t>Возврат материалов</t>
  </si>
  <si>
    <t>5</t>
  </si>
  <si>
    <t>5,1</t>
  </si>
  <si>
    <t>6</t>
  </si>
  <si>
    <t>7,1</t>
  </si>
  <si>
    <t>9,1</t>
  </si>
  <si>
    <t>Монтаж пультов и шкафов управления, шкафа (пульта) управления навесного, высотой, шириной, глубиной до 600х600х350 мм</t>
  </si>
  <si>
    <t>1  ШТ.</t>
  </si>
  <si>
    <t>11,1</t>
  </si>
  <si>
    <t>1.1-1-60</t>
  </si>
  <si>
    <t>Болты строительные с шестигранной головкой с гайками, М6</t>
  </si>
  <si>
    <t>т</t>
  </si>
  <si>
    <t>4.8-251-9</t>
  </si>
  <si>
    <t>Монтаж щитка осветительного, устанавливаемого на стене распорными дюбелями, масса щитка до 6 кг</t>
  </si>
  <si>
    <t>19,1</t>
  </si>
  <si>
    <t>1.21-5-1542</t>
  </si>
  <si>
    <t>Втулки полихлорвиниловые</t>
  </si>
  <si>
    <t>100 шт.</t>
  </si>
  <si>
    <t>19,2</t>
  </si>
  <si>
    <t>1.21-5-750</t>
  </si>
  <si>
    <t>Сжим, типа У 739М для проводников магистральных сечением от 4 до 10 мм2 и ответвительных сечением от 1,5 до 2,5 мм2</t>
  </si>
  <si>
    <t>шт.</t>
  </si>
  <si>
    <t>Монтаж неуправляемого линейного светодиодного осветительного прибора с автоподъемника</t>
  </si>
  <si>
    <t>23,1</t>
  </si>
  <si>
    <t>Монтаж неуправляемого линейного светодиодного осветительного прибора с уровня земли</t>
  </si>
  <si>
    <t>24,1</t>
  </si>
  <si>
    <t>СВЕТИЛЬНИКИ ПО ДИЗАЙН ПРОЕКТУ</t>
  </si>
  <si>
    <t>Установка точечных светодиодных светильников, встраиваемых в конструкцию металлических панелей подвесного потолка</t>
  </si>
  <si>
    <t>Установка встраиваемых светодиодных светильников в подвесной потолок решетчатого типа</t>
  </si>
  <si>
    <t>Установка светильников светодиодных накладных линейных длиной до 3 м, устанавливаемых внутри здания</t>
  </si>
  <si>
    <t>37,1</t>
  </si>
  <si>
    <t>37,2</t>
  </si>
  <si>
    <t>Устройство системы снеготаяния и антиобледенения кровли и водосточных желобов с применением электронагревательной ленты (укладка на кровлю)</t>
  </si>
  <si>
    <t>100 м</t>
  </si>
  <si>
    <t>Строительные работы</t>
  </si>
  <si>
    <t>м</t>
  </si>
  <si>
    <t>Монтаж коробки ответвительной для кабельных линий</t>
  </si>
  <si>
    <t>1.21-5-2142</t>
  </si>
  <si>
    <t>Лента монтажная из оцинкованной стали, одинарная, для крепления нагревательного кабеля, ширина 42 мм, толщина 0,4 мм</t>
  </si>
  <si>
    <t>1.1-1-3383</t>
  </si>
  <si>
    <t>Дюбель-гвоздь стальной, диаметр 6 мм, длина 40 мм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</si>
  <si>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</si>
  <si>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1.23-8-1102</t>
  </si>
  <si>
    <t>км</t>
  </si>
  <si>
    <t>1.23-13-241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</si>
  <si>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</si>
  <si>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1.23-8-876</t>
  </si>
  <si>
    <t>1.23-8-1044</t>
  </si>
  <si>
    <t>1.23-1-467</t>
  </si>
  <si>
    <t>1.23-13-243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</si>
  <si>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16 мм2</t>
  </si>
  <si>
    <t>1.23-8-877</t>
  </si>
  <si>
    <t>1.23-8-878</t>
  </si>
  <si>
    <t>1.23-8-1045</t>
  </si>
  <si>
    <t>1.23-8-1061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</si>
  <si>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35 мм2</t>
  </si>
  <si>
    <t>1.23-8-896</t>
  </si>
  <si>
    <t>1.23-8-882</t>
  </si>
  <si>
    <t>1.23-8-883</t>
  </si>
  <si>
    <t>1.23-8-1062</t>
  </si>
  <si>
    <t>1.23-13-244</t>
  </si>
  <si>
    <t>Прокладка кабельного изделия по установленным конструкциям и лоткам, при массе 1 м кабельного изделия до 1,0 кг на высоте до 5 м</t>
  </si>
  <si>
    <t>1.23-8-898</t>
  </si>
  <si>
    <t>Прокладка кабельного изделия по установленным конструкциям и лоткам, при массе 1 м кабельного изделия до 2,0 кг на высоте до 5 м</t>
  </si>
  <si>
    <t>1.23-8-1124</t>
  </si>
  <si>
    <t>1.23-8-1125</t>
  </si>
  <si>
    <t>Прокладка по стальным конструкциям и панелям провода сечением до 120 мм2</t>
  </si>
  <si>
    <t>100 М ТРАССЫ</t>
  </si>
  <si>
    <t>68,1</t>
  </si>
  <si>
    <t>1.21-5-1473</t>
  </si>
  <si>
    <t>Скоба однолапковая стальная оцинкованная, для кабелей диаметром от 48 до 50 мм</t>
  </si>
  <si>
    <t>1000 шт.</t>
  </si>
  <si>
    <t>68,2</t>
  </si>
  <si>
    <t>1.23-13-247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</si>
  <si>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</si>
  <si>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69,1</t>
  </si>
  <si>
    <t>1.12-5-372</t>
  </si>
  <si>
    <t>Трубы электротехнические, гофрированные, из ПВХ, негорючие, с зондом, наружный диаметр 20 мм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</si>
  <si>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</si>
  <si>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70,1</t>
  </si>
  <si>
    <t>1.12-5-373</t>
  </si>
  <si>
    <t>Трубы электротехнические, гофрированные, из ПВХ, негорючие, с зондом, наружный диаметр 25 мм</t>
  </si>
  <si>
    <t>Трубы гофрированные поливинилхлоридные наружным диаметром 32 мм открыто по стенам и потолкам с установкой соединительных коробок</t>
  </si>
  <si>
    <t>71,1</t>
  </si>
  <si>
    <t>1.12-5-374</t>
  </si>
  <si>
    <t>Трубы электротехнические, гофрированные, из ПВХ, негорючие, с зондом, наружный диаметр 32 мм</t>
  </si>
  <si>
    <t>Трубы гофрированные поливинилхлоридные наружным диаметром 40 мм открыто по стенам и потолкам с установкой соединительных коробок</t>
  </si>
  <si>
    <t>72,1</t>
  </si>
  <si>
    <t>1.12-5-375</t>
  </si>
  <si>
    <t>Трубы электротехнические, гофрированные, из ПВХ, негорючие, с зондом, наружный диаметр 40 мм</t>
  </si>
  <si>
    <t>Трубы гофрированные поливинилхлоридные наружным диаметром 50 мм открыто по стенам и потолкам с установкой соединительных коробок</t>
  </si>
  <si>
    <t>73,1</t>
  </si>
  <si>
    <t>1.12-5-376</t>
  </si>
  <si>
    <t>Трубы электротехнические, гофрированные, из ПВХ, негорючие, с зондом, наружный диаметр 50 мм</t>
  </si>
  <si>
    <t>Прокладка по установленным конструкциям, по стенам с креплением скобами стальной трубы диаметром до 25 мм</t>
  </si>
  <si>
    <t>74,1</t>
  </si>
  <si>
    <t>1.12-1-24</t>
  </si>
  <si>
    <t>Заготовка для электропроводки из водогазопроводных труб, диаметр условного прохода 25 мм</t>
  </si>
  <si>
    <t>74,2</t>
  </si>
  <si>
    <t>1.21-5-1661</t>
  </si>
  <si>
    <t>Гайка установочная заземляющая из оцинкованной стали, типа К482, диаметр условного прохода 25 мм</t>
  </si>
  <si>
    <t>Прокладка по установленным конструкциям, по стенам с креплением скобами стальной трубы диаметром до 40 мм</t>
  </si>
  <si>
    <t>75,1</t>
  </si>
  <si>
    <t>1.12-1-26</t>
  </si>
  <si>
    <t>Заготовка для электропроводки из водогазопроводных труб, диаметр условного прохода 40 мм</t>
  </si>
  <si>
    <t>75,2</t>
  </si>
  <si>
    <t>1.21-5-1663</t>
  </si>
  <si>
    <t>Гайка установочная заземляющая из оцинкованной стали, типа К484, диаметр условного прохода 40 мм</t>
  </si>
  <si>
    <t>Прокладка по установленным конструкциям, по стенам с креплением скобами стальной трубы диаметром до 100 мм</t>
  </si>
  <si>
    <t>76,1</t>
  </si>
  <si>
    <t>1.12-1-28</t>
  </si>
  <si>
    <t>Заготовка для электропроводки из водогазопроводных труб, диаметр условного прохода 100 мм</t>
  </si>
  <si>
    <t>76,2</t>
  </si>
  <si>
    <t>1.21-5-1665</t>
  </si>
  <si>
    <t>Гайка установочная заземляющая из оцинкованной стали, типа К486, диаметр условного прохода 70 мм</t>
  </si>
  <si>
    <t>Прокладка пластикового кабель-канала по кирпичному основанию</t>
  </si>
  <si>
    <t>77,1</t>
  </si>
  <si>
    <t>77,2</t>
  </si>
  <si>
    <t>Кабель-канал, размер 100х60 мм, перегородка разделительная</t>
  </si>
  <si>
    <t>77,3</t>
  </si>
  <si>
    <t>77,4</t>
  </si>
  <si>
    <t>77,5</t>
  </si>
  <si>
    <t>77,6</t>
  </si>
  <si>
    <t>Прокладка пластикового кабель-канала по бетонному основанию</t>
  </si>
  <si>
    <t>Прокладка металлического перфорированного лотка по установленным конструкциям, массой погонного метра до 4 кг</t>
  </si>
  <si>
    <t>78,1</t>
  </si>
  <si>
    <t>1.1-1-8008</t>
  </si>
  <si>
    <t>Винты с полукруглой головкой, оцинкованные, диаметр 5 мм, длина 50 мм</t>
  </si>
  <si>
    <t>1.21-5-1727</t>
  </si>
  <si>
    <t>Лоток кабельный замковый стальной, оцинкованный, перфорированный, без крышки, толщина стали 1,0 мм, размер 3000х100х100 мм</t>
  </si>
  <si>
    <t>1.21-5-1775</t>
  </si>
  <si>
    <t>Лоток кабельный замковый стальной, оцинкованный, перфорированный, без крышки, толщина стали 1,5 мм, размер 3000х200х100 мм</t>
  </si>
  <si>
    <t>1.21-5-1777</t>
  </si>
  <si>
    <t>Лоток кабельный замковый стальной, оцинкованный, перфорированный, без крышки, толщина стали 1,5 мм, размер 3000х400х100 мм</t>
  </si>
  <si>
    <t>Установка крышек металлических на лотки металлические перфорированные и неперфорированные массой 1 м свыше 2 до 4 кг</t>
  </si>
  <si>
    <t>82,1</t>
  </si>
  <si>
    <t>1.21-5-1342</t>
  </si>
  <si>
    <t>Крышка для лотка замкового, стальная, оцинкованная, с заземлением, толщина стали 0,6 мм, размер 3000х100х15 мм</t>
  </si>
  <si>
    <t>1.21-5-1343</t>
  </si>
  <si>
    <t>Крышка для лотка замкового, стальная, оцинкованная, с заземлением, толщина стали 0,6 мм, размер 3000х200х15 мм</t>
  </si>
  <si>
    <t>1.21-5-1500</t>
  </si>
  <si>
    <t>Крышка для лотка замкового, стальная, оцинкованная, с заземлением, толщина стали 0,6 мм, размер 3000х400х15 мм</t>
  </si>
  <si>
    <t>Прокладка металлического неперфорированного лотка по установленным конструкциям, массой погонного метра до 4 кг</t>
  </si>
  <si>
    <t>86,1</t>
  </si>
  <si>
    <t>1.21-5-2179</t>
  </si>
  <si>
    <t>1.21-5-1383</t>
  </si>
  <si>
    <t>Лоток кабельный замковый стальной, оцинкованный, неперфорированный, без крышки, толщина стали 0,8 мм, размер 3000х200х100 мм</t>
  </si>
  <si>
    <t>89,1</t>
  </si>
  <si>
    <t>Установка конструкций металлических: консольных кронштейнов по бетонным основаниям</t>
  </si>
  <si>
    <t>92,1</t>
  </si>
  <si>
    <t>1.1-1-2861</t>
  </si>
  <si>
    <t>Анкер-гвоздь из алюминиевого сплава и нержавеющей стали для несъемного крепления профилей и тонколистовых материалов к бетонным и железобетонным конструкциям, диаметр 4,8 мм, длина 30 мм</t>
  </si>
  <si>
    <t>1.21-5-805</t>
  </si>
  <si>
    <t>Кронштейн стальной, оцинкованный, к стене, для лотков, типа PNK-400</t>
  </si>
  <si>
    <t>1.21-5-563</t>
  </si>
  <si>
    <t>Кронштейн стальной, оцинкованный, к стене, для лотков, типа PNK-100</t>
  </si>
  <si>
    <t>Установка конструкций металлических: опоры напольные для монтажа лотка (без консолей)</t>
  </si>
  <si>
    <t>95,1</t>
  </si>
  <si>
    <t>1.21-5-1008</t>
  </si>
  <si>
    <t>Стойка потолочная, для установки кабельных полок и лотков, длина 200 мм, типа СКП</t>
  </si>
  <si>
    <t>95,2</t>
  </si>
  <si>
    <t>Установка конструкций металлических: подвесов из держателя и профиля по бетонным основаниям (без консолей)</t>
  </si>
  <si>
    <t>96,1</t>
  </si>
  <si>
    <t>1.1-1-2626</t>
  </si>
  <si>
    <t>Болты шестигранные для монтажа стальных конструкций, оцинкованные, М8х40 мм</t>
  </si>
  <si>
    <t>96,2</t>
  </si>
  <si>
    <t>1.21-5-2178</t>
  </si>
  <si>
    <t>Монтаж выключателя скрытого типа: одноклавишного</t>
  </si>
  <si>
    <t>99,1</t>
  </si>
  <si>
    <t>1.21-5-1335</t>
  </si>
  <si>
    <t>Выключатель, одноклавишный, скрытой установки, монтажная рама стальная оцинкованная, винтовые зажимы для кабеля сечением до 2,5 мм2, номинальный ток 10 А, напряжение 250 В, цвет белый, габаритные размеры 82х82х38,5 мм</t>
  </si>
  <si>
    <t>Монтаж переключателя скрытого типа: двухклавишного</t>
  </si>
  <si>
    <t>100,1</t>
  </si>
  <si>
    <t>1.21-5-2544</t>
  </si>
  <si>
    <t>Механизм переключателя двухклавишного, скрытой установки, напряжение 250 В, номинальный ток 10 А, степень защиты IP20, с накладками, без рамки</t>
  </si>
  <si>
    <t>100,2</t>
  </si>
  <si>
    <t>1.21-5-2547</t>
  </si>
  <si>
    <t>Рамка двухпостовая для установки на суппортные пластины розеток, выключателей и других электроустановочных изделий при помощи защелок, степень защиты IP20</t>
  </si>
  <si>
    <t>Монтаж розетки штепсельной модульного типа</t>
  </si>
  <si>
    <t>1.21-5-896</t>
  </si>
  <si>
    <t>Коробка установочная, для скрытой проводки, из полистирола, диаметр 65 мм, высота 40 мм, без саморезов</t>
  </si>
  <si>
    <t>Монтаж рамки-суппорта для механизмов модульного типа</t>
  </si>
  <si>
    <t>1.21-5-2548</t>
  </si>
  <si>
    <t>Рамка трехпостовая для установки на суппортные пластины розеток, выключателей и других электроустановочных изделий при помощи защелок, степень защиты IP20</t>
  </si>
  <si>
    <t>1.21-5-935</t>
  </si>
  <si>
    <t>Коробка распаечная, открытой установки, из полистирола, степень защиты IP55, 4 ввода, диаметр 80 мм, высота 50 мм</t>
  </si>
  <si>
    <t>1.21-5-172</t>
  </si>
  <si>
    <t>Коробка протяжная и ответвительная, стальная, типа У995М У3, для выполнения электропроводок в трубах</t>
  </si>
  <si>
    <t>1.21-5-1363</t>
  </si>
  <si>
    <t>Коробка ответвительная пластиковая, 6 вводов для труб и кабеля, крышка с уплотнителем и фиксатором, степень защиты IP55, размер без учета кабельных вводов 100х100х50 мм</t>
  </si>
  <si>
    <t>Герметизация прохода при вводе кабелей во взрывоопасные помещения уплотнительной массой</t>
  </si>
  <si>
    <t>1 проход кабеля</t>
  </si>
  <si>
    <t>121,1</t>
  </si>
  <si>
    <t>Лента с клеевым слоем, ширина 50 мм, толщина 0,5 мм</t>
  </si>
  <si>
    <t>Устройство молниеотвода к опорам высотой до 8,5 м</t>
  </si>
  <si>
    <t>1 молниеотвод</t>
  </si>
  <si>
    <t>1 антенна</t>
  </si>
  <si>
    <t>Монтаж заземляющего проводника открыто по строительным основаниям из круглой стали диаметром 8 мм</t>
  </si>
  <si>
    <t>Монтаж заземляющего проводника открыто по строительным основаниям из полосовой стали сечением 160 мм2</t>
  </si>
  <si>
    <t>131,1</t>
  </si>
  <si>
    <t>1.1-1-1092</t>
  </si>
  <si>
    <t>Полоса из стали углеродистой обыкновенного качества, спокойной</t>
  </si>
  <si>
    <t>1.1-1-2891</t>
  </si>
  <si>
    <t>Трос грозозащитный, диаметр 9,2 мм</t>
  </si>
  <si>
    <t>Монтаж лючка коробки сценической переходной и штепсельной типа ЛП-6</t>
  </si>
  <si>
    <t>133,1</t>
  </si>
  <si>
    <t>Монтаж розетки штепсельной накладного типа</t>
  </si>
  <si>
    <t>чел.-ч.</t>
  </si>
  <si>
    <t>л</t>
  </si>
  <si>
    <t>10 шт.</t>
  </si>
  <si>
    <t>м2</t>
  </si>
  <si>
    <t>1.14-1-330</t>
  </si>
  <si>
    <t>Зажим для троса</t>
  </si>
  <si>
    <t>КОМПЛЕКТ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</si>
  <si>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</si>
  <si>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</si>
  <si>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</si>
  <si>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</si>
  <si>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</si>
  <si>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</si>
  <si>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</si>
  <si>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</si>
  <si>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</si>
  <si>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</si>
  <si>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</si>
  <si>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</si>
  <si>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</si>
  <si>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</si>
  <si>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</si>
  <si>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</si>
  <si>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</si>
  <si>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</si>
  <si>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</si>
  <si>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</si>
  <si>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</si>
  <si>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</si>
  <si>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№220 II квартал 2026 года и Коэффициенты к ТСН-2001.13-2 Дополнение 47 №65 II квартал 2026 года</t>
  </si>
  <si>
    <t>Всего в
ценах на
январь 2000 года,
руб.</t>
  </si>
  <si>
    <r>
      <t>4.8-238-2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</si>
  <si>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</si>
  <si>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</si>
  <si>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</si>
  <si>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</si>
  <si>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</si>
  <si>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</si>
  <si>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</si>
  <si>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</si>
  <si>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</si>
  <si>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</si>
  <si>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</si>
  <si>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</si>
  <si>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1.1-1-8146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</si>
  <si>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4.8-240-4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</si>
  <si>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4.8-251-9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</si>
  <si>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4.8-311-3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</si>
  <si>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4.8-311-1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</si>
  <si>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4.8-323-1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</si>
  <si>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4.8-323-8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</si>
  <si>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4.8-323-2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</si>
  <si>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3.12-48-1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</si>
  <si>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1,2*1,15</t>
  </si>
  <si>
    <t>1,2*1,25</t>
  </si>
  <si>
    <r>
      <t>Коробка с клеммными зажимами КК 1.2.3-6, 113х113х68 мм, IP65-67, комплект клемм, кабельные вводы , УФ-стойкие</t>
    </r>
    <r>
      <rPr>
        <i/>
        <sz val="10"/>
        <rFont val="Arial"/>
        <family val="2"/>
        <charset val="204"/>
      </rPr>
      <t xml:space="preserve">
205,41 = [2 501 / 1,22 /  10,18] +  2% Заг.скл</t>
    </r>
  </si>
  <si>
    <r>
      <t>4.8-175-1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</si>
  <si>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4.8-175-2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</si>
  <si>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4.8-175-3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</si>
  <si>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4.8-175-4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</si>
  <si>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4.8-328-2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</si>
  <si>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4.8-328-3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</si>
  <si>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4.8-168-4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</si>
  <si>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4.8-288-2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</si>
  <si>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4.8-288-3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</si>
  <si>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4.8-288-4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</si>
  <si>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4.8-288-5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</si>
  <si>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4.8-288-6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</si>
  <si>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4.8-170-1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</si>
  <si>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4.8-170-2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</si>
  <si>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4.8-170-5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</si>
  <si>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4.8-280-1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</si>
  <si>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1.1-1-2654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</si>
  <si>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1.1-1-2835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</si>
  <si>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Крышка для парапетного кабель-канала размером 120х55мм</t>
    </r>
    <r>
      <rPr>
        <i/>
        <sz val="10"/>
        <rFont val="Arial"/>
        <family val="2"/>
        <charset val="204"/>
      </rPr>
      <t xml:space="preserve">
11,54 = [140,42 / 1,22 /  10,18] +  2% Заг.скл</t>
    </r>
  </si>
  <si>
    <r>
      <t>4.8-331-2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</si>
  <si>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4.8-331-12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</si>
  <si>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4.8-331-4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</si>
  <si>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4.8-331-14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</si>
  <si>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4.8-331-15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</si>
  <si>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4.8-331-8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</si>
  <si>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Монтажный П-профиль длинной 400мм.</t>
    </r>
    <r>
      <rPr>
        <i/>
        <sz val="10"/>
        <rFont val="Arial"/>
        <family val="2"/>
        <charset val="204"/>
      </rPr>
      <t xml:space="preserve">
31,48 = [383,25 / 1,22 /  10,18] +  2% Заг.скл</t>
    </r>
  </si>
  <si>
    <r>
      <t>4.8-333-1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</si>
  <si>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4.8-333-5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</si>
  <si>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4.8-334-5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</si>
  <si>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Розетка 2-местная СП с/з с крышкой 16А белая с защ. штор. IP44</t>
    </r>
    <r>
      <rPr>
        <i/>
        <sz val="10"/>
        <rFont val="Arial"/>
        <family val="2"/>
        <charset val="204"/>
      </rPr>
      <t xml:space="preserve">
40,15 = [488,87 / 1,22 /  10,18] +  2% Заг.скл</t>
    </r>
  </si>
  <si>
    <r>
      <t>Розетка скрытой установки со шторками с заземлением двойная красная в кабель канал</t>
    </r>
    <r>
      <rPr>
        <i/>
        <sz val="10"/>
        <rFont val="Arial"/>
        <family val="2"/>
        <charset val="204"/>
      </rPr>
      <t xml:space="preserve">
326,54 = [3 976 / 1,22 /  10,18] +  2% Заг.скл</t>
    </r>
  </si>
  <si>
    <r>
      <t>Розетка 1-мест. СП с/з с крышкой 16А бел. с защ. штор.  IP44</t>
    </r>
    <r>
      <rPr>
        <i/>
        <sz val="10"/>
        <rFont val="Arial"/>
        <family val="2"/>
        <charset val="204"/>
      </rPr>
      <t xml:space="preserve">
26,83 = [326,62 / 1,22 /  10,18] +  2% Заг.скл</t>
    </r>
  </si>
  <si>
    <r>
      <t>Розетка 1-местная 16А с зазем</t>
    </r>
    <r>
      <rPr>
        <i/>
        <sz val="10"/>
        <rFont val="Arial"/>
        <family val="2"/>
        <charset val="204"/>
      </rPr>
      <t xml:space="preserve">
32,36 = [394,07 / 1,22 /  10,18] +  2% Заг.скл</t>
    </r>
  </si>
  <si>
    <r>
      <t>Коробка установочная 2 поста</t>
    </r>
    <r>
      <rPr>
        <i/>
        <sz val="10"/>
        <rFont val="Arial"/>
        <family val="2"/>
        <charset val="204"/>
      </rPr>
      <t xml:space="preserve">
17,24 = [209,84 / 1,22 /  10,18] +  2% Заг.скл</t>
    </r>
  </si>
  <si>
    <r>
      <t>4.8-334-6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</si>
  <si>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Коробка клеммная 10 зажимов, IP54 У614 АУ2</t>
    </r>
    <r>
      <rPr>
        <i/>
        <sz val="10"/>
        <rFont val="Arial"/>
        <family val="2"/>
        <charset val="204"/>
      </rPr>
      <t xml:space="preserve">
257,48 = [3 135,03 / 1,22 /  10,18] +  2% Заг.скл</t>
    </r>
  </si>
  <si>
    <r>
      <t>4.8-86-1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</si>
  <si>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4.8-328-4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</si>
  <si>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3.34-38-1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</si>
  <si>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r>
      <t>Молниеприемник стержневой сборный коньковый. Предназначен для перехвата  разряда молнии и отведение ее тока через подключенные к нему токоотводы. 1,5м</t>
    </r>
    <r>
      <rPr>
        <i/>
        <sz val="10"/>
        <rFont val="Arial"/>
        <family val="2"/>
        <charset val="204"/>
      </rPr>
      <t xml:space="preserve">
592,97 = [7 220 / 1,22 /  10,18] +  2% Заг.скл</t>
    </r>
  </si>
  <si>
    <r>
      <t>4.8-187-8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</si>
  <si>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Пруток d 8мм, горячеоцинкованный</t>
    </r>
    <r>
      <rPr>
        <i/>
        <sz val="10"/>
        <rFont val="Arial"/>
        <family val="2"/>
        <charset val="204"/>
      </rPr>
      <t xml:space="preserve">
11,58 = [141 / 1,22 /  10,18] +  2% Заг.скл</t>
    </r>
  </si>
  <si>
    <r>
      <t>4.8-187-7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</si>
  <si>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4.8-269-9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</si>
  <si>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r>
      <t>Крышка металлическая лючка</t>
    </r>
    <r>
      <rPr>
        <i/>
        <sz val="10"/>
        <rFont val="Arial"/>
        <family val="2"/>
        <charset val="204"/>
      </rPr>
      <t xml:space="preserve">
753,08 = [9 169,52 / 1,22 /  10,18] +  2% Заг.скл</t>
    </r>
  </si>
  <si>
    <r>
      <t>4.8-335-6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</si>
  <si>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 xml:space="preserve"> тыс.руб.</t>
  </si>
  <si>
    <t>ЛОКАЛЬНАЯ СМЕТА № 02-01-03</t>
  </si>
  <si>
    <t>Раздел: ВРУ</t>
  </si>
  <si>
    <t>Итого по разделу: ВРУ</t>
  </si>
  <si>
    <t>Раздел: ЩАП на 25А щит автоматического переключения резерва</t>
  </si>
  <si>
    <t>Итого по разделу: ЩАП на 25А щит автоматического переключения резерва</t>
  </si>
  <si>
    <t>Раздел: ЩМК96 для контроля напряжения - 8шт</t>
  </si>
  <si>
    <t>Объем: 3,6=0,45*8</t>
  </si>
  <si>
    <t>Итого по разделу: ЩМК96 для контроля напряжения - 8шт</t>
  </si>
  <si>
    <t>Раздел: Щитовое оборудование</t>
  </si>
  <si>
    <t>Объем: 6=2+2+2</t>
  </si>
  <si>
    <t>Итого по разделу: Щитовое оборудование</t>
  </si>
  <si>
    <t>Раздел: Светильники</t>
  </si>
  <si>
    <t>Объем: 0,33=(10+9+13+1)/100</t>
  </si>
  <si>
    <t>Объем: 1,16=(101+10+5)/100</t>
  </si>
  <si>
    <t>Объем: 0,08=(3+1+4)/100</t>
  </si>
  <si>
    <t>Итого по разделу: Светильники</t>
  </si>
  <si>
    <t>Раздел: Обогрев кровли</t>
  </si>
  <si>
    <t>Объем: 6,55=655/100</t>
  </si>
  <si>
    <t>Объем: 668,1=655*1,02</t>
  </si>
  <si>
    <t>Объем: 500=20*25</t>
  </si>
  <si>
    <t>Объем: 14=1400/100</t>
  </si>
  <si>
    <t>Итого по разделу: Обогрев кровли</t>
  </si>
  <si>
    <t>Раздел: Кабели</t>
  </si>
  <si>
    <t>Объем: 4,5=(420+30)/100</t>
  </si>
  <si>
    <t>Объем: 0,4284=420*1,02/1000</t>
  </si>
  <si>
    <t>Объем: 0,0309=30*1,03/1000</t>
  </si>
  <si>
    <t>Объем: 18,1=(1260+350+100+100)/100</t>
  </si>
  <si>
    <t>Объем: 1,2852=1260*1,02/1000</t>
  </si>
  <si>
    <t>Объем: 0,357=350*1,02/1000</t>
  </si>
  <si>
    <t>Объем: 0,102=100*1,02/1000</t>
  </si>
  <si>
    <t>Объем: 0,103=100*1,03/1000</t>
  </si>
  <si>
    <t>Объем: 23,4=(2150+60+100+30)/100</t>
  </si>
  <si>
    <t>Объем: 2,193=2150*1,02/1000</t>
  </si>
  <si>
    <t>Объем: 0,0612=60*1,02/1000</t>
  </si>
  <si>
    <t>Объем: 0,0306=30*1,02/1000</t>
  </si>
  <si>
    <t>Объем: 6,17=(60+60+377+90+30)/100</t>
  </si>
  <si>
    <t>Объем: 0,38454=377*1,02/1000</t>
  </si>
  <si>
    <t>Объем: 0,0918=90*1,02/1000</t>
  </si>
  <si>
    <t>Объем: 2,83=(540-377+120)/100</t>
  </si>
  <si>
    <t>Объем: 0,16626=((540-377)*1,02)/1000</t>
  </si>
  <si>
    <t>Объем: 0,1224=120*1,02/1000</t>
  </si>
  <si>
    <t>Объем: 0,8=(70+10)/100</t>
  </si>
  <si>
    <t>Объем: 0,0714=70*1,02/1000</t>
  </si>
  <si>
    <t>Объем: 0,0102=10*1,02/1000</t>
  </si>
  <si>
    <t>Объем: 0,02=2/100</t>
  </si>
  <si>
    <t>Итого по разделу: Кабели</t>
  </si>
  <si>
    <t>Раздел: Трубы, лотки</t>
  </si>
  <si>
    <t>Объем: 18=1800/100</t>
  </si>
  <si>
    <t>Объем: 25,8=2580/100</t>
  </si>
  <si>
    <t>Объем: 6,3=630/100</t>
  </si>
  <si>
    <t>Объем: 1,2=120/100</t>
  </si>
  <si>
    <t>Объем: 0,6=60/100</t>
  </si>
  <si>
    <t>Объем: 0,09=9/100</t>
  </si>
  <si>
    <t>Объем: 2,8=280/100</t>
  </si>
  <si>
    <t>Объем: 3,21=(51+51+5)*3/100</t>
  </si>
  <si>
    <t>Объем: 1=(50+50)/100</t>
  </si>
  <si>
    <t>Объем: 3=(50+50)*3/100</t>
  </si>
  <si>
    <t>Объем: 1,61=(6+155)/100</t>
  </si>
  <si>
    <t>Объем: 1,55=(155)/100</t>
  </si>
  <si>
    <t>Объем: 1,53=153/100</t>
  </si>
  <si>
    <t>Итого по разделу: Трубы, лотки</t>
  </si>
  <si>
    <t>Раздел: Электроустановочные изделия</t>
  </si>
  <si>
    <t>Объем: 0,49=(44+5)/100</t>
  </si>
  <si>
    <t>Объем: 0,08=8/100</t>
  </si>
  <si>
    <t>Объем: 0,6=(60)/100</t>
  </si>
  <si>
    <t>Объем: 0,2=(20)/100</t>
  </si>
  <si>
    <t>Объем: 0,04=4/100</t>
  </si>
  <si>
    <t>Итого по разделу: Электроустановочные изделия</t>
  </si>
  <si>
    <t>Раздел: Электрообогрев воронок над входами</t>
  </si>
  <si>
    <t>Объем: 61,2=60*1,02</t>
  </si>
  <si>
    <t>Объем: 0,06=6/100</t>
  </si>
  <si>
    <t>Итого по разделу: Электрообогрев воронок над входами</t>
  </si>
  <si>
    <t>Раздел: Молниезащита и заземление</t>
  </si>
  <si>
    <t>Объем: 2=200/100</t>
  </si>
  <si>
    <t>Объем: 204=200*1,02</t>
  </si>
  <si>
    <t>Объем: 0,5=50/100</t>
  </si>
  <si>
    <t>Объем: 0,022=50*0,44/1000</t>
  </si>
  <si>
    <t>Итого по разделу: Молниезащита и заземление</t>
  </si>
  <si>
    <t>Раздел: Лючки в полу</t>
  </si>
  <si>
    <t>Объем: 0,16=16/100</t>
  </si>
  <si>
    <t>Итого по разделу: Лючки в полу</t>
  </si>
  <si>
    <t>ЭОМ</t>
  </si>
  <si>
    <t>Прайс-лист</t>
  </si>
  <si>
    <r>
      <t>ОБОРУДОВАНИЕ:_x000D_
Вводная панель 800х450х1800</t>
    </r>
    <r>
      <rPr>
        <i/>
        <sz val="10"/>
        <rFont val="Arial"/>
        <family val="2"/>
        <charset val="204"/>
      </rPr>
      <t xml:space="preserve">
37 841,08 = [333 946,55 / 1,22 /  7,54] +  3% Трансп +  1,2% Заг.скл</t>
    </r>
  </si>
  <si>
    <r>
      <t>ОБОРУДОВАНИЕ:
Распределительная панель (на два ввода) 450х450х1800</t>
    </r>
    <r>
      <rPr>
        <i/>
        <sz val="10"/>
        <rFont val="Arial"/>
        <family val="2"/>
        <charset val="204"/>
      </rPr>
      <t xml:space="preserve">
14 665,86 = [129 425,83 / 1,22 /  7,54] +  3% Трансп +  1,2% Заг.скл</t>
    </r>
  </si>
  <si>
    <r>
      <t>ОБОРУДОВАНИЕ:_x000D_
Распределительная панель (от ЩАП) 450х450х2000</t>
    </r>
    <r>
      <rPr>
        <i/>
        <sz val="10"/>
        <rFont val="Arial"/>
        <family val="2"/>
        <charset val="204"/>
      </rPr>
      <t xml:space="preserve">
11 421,94 = [100 798,38 / 1,22 /  7,54] +  3% Трансп +  1,2% Заг.скл</t>
    </r>
  </si>
  <si>
    <r>
      <t>ОБОРУДОВАНИЕ:
Распределительная панель (АВР) ПЭ СПЗ 450х450х2000, РП3</t>
    </r>
    <r>
      <rPr>
        <i/>
        <sz val="10"/>
        <rFont val="Arial"/>
        <family val="2"/>
        <charset val="204"/>
      </rPr>
      <t xml:space="preserve">
10 856,46 = [95 807,98 / 1,22 /  7,54] +  3% Трансп +  1,2% Заг.скл</t>
    </r>
  </si>
  <si>
    <r>
      <t>ОБОРУДОВАНИЕ:_x000D_
Щит групповой (CC)распределительный , навесной, с замком, IP31, 24 модуля (ШТ1, ШТ2)</t>
    </r>
    <r>
      <rPr>
        <i/>
        <sz val="10"/>
        <rFont val="Arial"/>
        <family val="2"/>
        <charset val="204"/>
      </rPr>
      <t xml:space="preserve">
1 198,32 = [10 575,09 / 1,22 /  7,54] +  3% Трансп +  1,2% Заг.скл</t>
    </r>
  </si>
  <si>
    <r>
      <t>ОБОРУДОВАНИЕ:_x000D_
Щит групповой (CC) распределительный , навесной, с замком, IP44, 24 модул. (ЩР-СС)</t>
    </r>
    <r>
      <rPr>
        <i/>
        <sz val="10"/>
        <rFont val="Arial"/>
        <family val="2"/>
        <charset val="204"/>
      </rPr>
      <t xml:space="preserve">
1 207,69 = [10 657,86 / 1,22 /  7,54] +  3% Трансп +  1,2% Заг.скл</t>
    </r>
  </si>
  <si>
    <r>
      <t>ОБОРУДОВАНИЕ:_x000D_
Щит групповой распределительный, навесной, с замком, IP31, 60модул., ЩР-1, ЩР-2</t>
    </r>
    <r>
      <rPr>
        <i/>
        <sz val="10"/>
        <rFont val="Arial"/>
        <family val="2"/>
        <charset val="204"/>
      </rPr>
      <t xml:space="preserve">
33 627,86 = [296 764,93 / 1,22 /  7,54] +  3% Трансп +  1,2% Заг.скл</t>
    </r>
  </si>
  <si>
    <r>
      <t>ОБОРУДОВАНИЕ:_x000D_
Щит групповой распределительный, навесной, с замком, IP31, 36модул., ЩК-1</t>
    </r>
    <r>
      <rPr>
        <i/>
        <sz val="10"/>
        <rFont val="Arial"/>
        <family val="2"/>
        <charset val="204"/>
      </rPr>
      <t xml:space="preserve">
20 994,58 = [185 276,65 / 1,22 /  7,54] +  3% Трансп +  1,2% Заг.скл</t>
    </r>
  </si>
  <si>
    <r>
      <t>ОБОРУДОВАНИЕ:_x000D_
Щит групповой распределительный, навесной, с замком, IP31, 60модул., ЩК-2</t>
    </r>
    <r>
      <rPr>
        <i/>
        <sz val="10"/>
        <rFont val="Arial"/>
        <family val="2"/>
        <charset val="204"/>
      </rPr>
      <t xml:space="preserve">
33 627,86 = [296 764,93 / 1,22 /  7,54] +  3% Трансп +  1,2% Заг.скл</t>
    </r>
  </si>
  <si>
    <r>
      <t>ОБОРУДОВАНИЕ:_x000D_
Щит групповой освещение распределительный , навесной, с замком, IP31, 24 модуля, ЩО-1, ЩО-2</t>
    </r>
    <r>
      <rPr>
        <i/>
        <sz val="10"/>
        <rFont val="Arial"/>
        <family val="2"/>
        <charset val="204"/>
      </rPr>
      <t xml:space="preserve">
2 089,46 = [18 439,35 / 1,22 /  7,54] +  3% Трансп +  1,2% Заг.скл</t>
    </r>
  </si>
  <si>
    <r>
      <t>ОБОРУДОВАНИЕ:_x000D_
Щит электрический обогрева кровли, IP31</t>
    </r>
    <r>
      <rPr>
        <i/>
        <sz val="10"/>
        <rFont val="Arial"/>
        <family val="2"/>
        <charset val="204"/>
      </rPr>
      <t xml:space="preserve">
4 578,46 = [40 404,79 / 1,22 /  7,54] +  3% Трансп +  1,2% Заг.скл</t>
    </r>
  </si>
  <si>
    <r>
      <t>ОБОРУДОВАНИЕ:
Ящик переключение сервера, 220в, IP31. с пластиковым распределительным боксом, 12 модулей,степень защиты IP65</t>
    </r>
    <r>
      <rPr>
        <i/>
        <sz val="10"/>
        <rFont val="Arial"/>
        <family val="2"/>
        <charset val="204"/>
      </rPr>
      <t xml:space="preserve">
840,28 = [7 415,52 / 1,22 /  7,54] +  3% Трансп +  1,2% Заг.скл</t>
    </r>
  </si>
  <si>
    <r>
      <t>ОБОРУДОВАНИЕ:
Щиток с понижающим трансформатором, 220В/36В ЯТП-0,25/36</t>
    </r>
    <r>
      <rPr>
        <i/>
        <sz val="10"/>
        <rFont val="Arial"/>
        <family val="2"/>
        <charset val="204"/>
      </rPr>
      <t xml:space="preserve">
1 005,11 = [8 870,01 / 1,22 /  7,54] +  3% Трансп +  1,2% Заг.скл</t>
    </r>
  </si>
  <si>
    <r>
      <t>ОБОРУДОВАНИЕ:
Щит групповой освещение распределительный , навесной, с замком, IP31, 24 модуля, ЩАО-1, ЩАО-2</t>
    </r>
    <r>
      <rPr>
        <i/>
        <sz val="10"/>
        <rFont val="Arial"/>
        <family val="2"/>
        <charset val="204"/>
      </rPr>
      <t xml:space="preserve">
2 244,50 = [19 807,66 / 1,22 /  7,54] +  3% Трансп +  1,2% Заг.скл</t>
    </r>
  </si>
  <si>
    <r>
      <t xml:space="preserve">Светодиодный указатель улицы и номера дома IP65,светодиодный модуль,мощность 30 Вт,напряжение 220 В, 50 Гц. </t>
    </r>
    <r>
      <rPr>
        <i/>
        <sz val="10"/>
        <rFont val="Arial"/>
        <family val="2"/>
        <charset val="204"/>
      </rPr>
      <t xml:space="preserve">
2 508,53 = [30 544 / 1,22 /  10,18] +  2% Заг.скл</t>
    </r>
  </si>
  <si>
    <r>
      <t>ОБОРУДОВАНИЕ:
Щит групповой освещение распределительный , навесной, с замком, IP31, 24 модуля, Щконди1, Щконди2</t>
    </r>
    <r>
      <rPr>
        <i/>
        <sz val="10"/>
        <rFont val="Arial"/>
        <family val="2"/>
        <charset val="204"/>
      </rPr>
      <t xml:space="preserve">
1 380,16 = [12 179,89 / 1,22 /  7,54] +  3% Трансп +  1,2% Заг.скл</t>
    </r>
  </si>
  <si>
    <r>
      <t>Указатель пожарного гидранта светодиодный (ПГ 150х150), IP65, мощность 5 Вт,напряжение 220-230 В,настенный</t>
    </r>
    <r>
      <rPr>
        <i/>
        <sz val="10"/>
        <rFont val="Arial"/>
        <family val="2"/>
        <charset val="204"/>
      </rPr>
      <t xml:space="preserve">
1 059,32 = [12 898,4 / 1,22 /  10,18] +  2% Заг.скл</t>
    </r>
  </si>
  <si>
    <r>
      <t>Нагревательный кабель резистивный, 230 В, 30Вт/ м,класс пылевлагозащиты — IPX7,в комплекте трехжильный соединительный кабель</t>
    </r>
    <r>
      <rPr>
        <i/>
        <sz val="10"/>
        <rFont val="Arial"/>
        <family val="2"/>
        <charset val="204"/>
      </rPr>
      <t xml:space="preserve">
39,91 = [486 / 1,22 /  10,18] +  2% Заг.скл</t>
    </r>
  </si>
  <si>
    <t>Кабель-канал, размер 105х50 мм, угол плоский на кабель-канал 120х55мм</t>
  </si>
  <si>
    <r>
      <t>Парапетный кабель-канал размером 120х55мм,перфорированный,длина отрезка 2 метра,поливинилхлоридный</t>
    </r>
    <r>
      <rPr>
        <i/>
        <sz val="10"/>
        <rFont val="Arial"/>
        <family val="2"/>
        <charset val="204"/>
      </rPr>
      <t xml:space="preserve">
43,36 = [528 / 1,22 /  10,18] +  2% Заг.скл</t>
    </r>
  </si>
  <si>
    <r>
      <t>Соединитель на стык лицевой,универсальный,накладной,ширина 120 мм, глубина 55 мм.</t>
    </r>
    <r>
      <rPr>
        <i/>
        <sz val="10"/>
        <rFont val="Arial"/>
        <family val="2"/>
        <charset val="204"/>
      </rPr>
      <t xml:space="preserve">
5,89 = [71,61 / 1,22 /  10,18] +  2% Заг.скл</t>
    </r>
  </si>
  <si>
    <r>
      <t>Заглушка торцевая,универсальная,поливинилхлоридная,ширина 120 мм,глубина 55 мм,накладная</t>
    </r>
    <r>
      <rPr>
        <i/>
        <sz val="10"/>
        <rFont val="Arial"/>
        <family val="2"/>
        <charset val="204"/>
      </rPr>
      <t xml:space="preserve">
4,45 = [54,1 / 1,22 /  10,18] +  2% Заг.скл</t>
    </r>
  </si>
  <si>
    <r>
      <t>Саморегулирующийся нагревательный кабель, сеч. 0,5 - 1,0 мм2, IP67,17 Вт/м</t>
    </r>
    <r>
      <rPr>
        <i/>
        <sz val="10"/>
        <rFont val="Arial"/>
        <family val="2"/>
        <charset val="204"/>
      </rPr>
      <t xml:space="preserve">
26,95 = [328,18 / 1,22 /  10,18] +  2% Заг.скл</t>
    </r>
  </si>
  <si>
    <r>
      <t>Держатель проводника кровельный ,85ГЦ</t>
    </r>
    <r>
      <rPr>
        <i/>
        <sz val="10"/>
        <rFont val="Arial"/>
        <family val="2"/>
        <charset val="204"/>
      </rPr>
      <t xml:space="preserve">
16,34 = [199 / 1,22 /  10,18] +  2% Заг.скл</t>
    </r>
  </si>
  <si>
    <r>
      <t>Держатель проводника универсальный,30ГЦ</t>
    </r>
    <r>
      <rPr>
        <i/>
        <sz val="10"/>
        <rFont val="Arial"/>
        <family val="2"/>
        <charset val="204"/>
      </rPr>
      <t xml:space="preserve">
21,02 = [256 / 1,22 /  10,18] +  2% Заг.скл</t>
    </r>
  </si>
  <si>
    <t xml:space="preserve">Итого по смете: </t>
  </si>
  <si>
    <t>Соединитель П-образный продольный из оцинкованной стали, габаритные размеры 180х51х45 мм, для профиля монтажного С-образного, монтажный П профиль длиной 100мм</t>
  </si>
  <si>
    <t>Лоток кабельный замковый стальной, оцинкованный, неперфорированный, без крышки, толщина стали 1,0 мм, размер 3000х100х80 мм,3000х100х100 мм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</si>
  <si>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1х1,5 мм2</t>
  </si>
  <si>
    <t>Провод установочный с медной жилой повышенной гибкости, с изоляцией из ПВХ пластиката пониженной пожароопасности, с пониженным дымо- и газовыделением, типа ПуГВнг(А)-LS, напряжение 450/750 В, число жил и сечение 1х2,5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</si>
  <si>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3х1,5 мм2</t>
  </si>
  <si>
    <t>Кабель силовой с медными жилами огнестойкий, не распространяющий горение, с изоляцией и оболочкой из полимерных композиций, не содержащих галогенов, типа ППГнг(А)-FRHF, напряжение 660 В, число жил и сечение 3х1,5 мм2</t>
  </si>
  <si>
    <t>Кабель контрольный с медными жилами, с изоляцией и оболочкой из полимерных композиций, не содержащих галогенов, типа КППГнг(А)-HF, напряжение 660 В, число жил и сечение 4х1,5 мм2</t>
  </si>
  <si>
    <t>Провод установочный с медной жилой повышенной гибкости, с изоляцией из ПВХ пластиката пониженной пожароопасности, с пониженным дымо- и газовыделением, типа ПуГВнг(А)-LS, напряжение 450/750 В, число жил и сечение 1х6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</si>
  <si>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3х2,5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</si>
  <si>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3х4 мм2</t>
  </si>
  <si>
    <t>Кабель силовой с медными жилами огнестойкий, не распространяющий горение, с изоляцией и оболочкой из полимерных композиций, не содержащих галогенов, типа ППГнг(А)-FRHF, напряжение 660 В, число жил и сечение 3х2,5 мм2</t>
  </si>
  <si>
    <t>Кабель силовой с медными жилами огнестойкий, не распространяющий горение, с изоляцией и оболочкой из полимерных композиций, не содержащих галогенов, типа ППГнг(А)-FRHF, напряжение 660 В, число жил и сечение 5х2,5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</si>
  <si>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3х6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</si>
  <si>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5х4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</si>
  <si>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5х6 мм2</t>
  </si>
  <si>
    <t>Кабель силовой с медными жилами огнестойкий, не распространяющий горение, с изоляцией и оболочкой из полимерных композиций, не содержащих галогенов, типа ППГнг(А)-FRHF, напряжение 660 В, число жил и сечение 5х4 мм2</t>
  </si>
  <si>
    <t>Провод установочный с медной жилой повышенной гибкости, с изоляцией из ПВХ пластиката пониженной пожароопасности, с пониженным дымо- и газовыделением, типа ПуГВнг(А)-LS, напряжение 450/750 В, число жил и сечение 1х25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</si>
  <si>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5х10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</si>
  <si>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5х25 мм2</t>
  </si>
  <si>
    <t>Кабель силовой с медными жилами, не распространяющий горение, с изоляцией и оболочкой из полимерных композиций, не содержащих галогенов, типа ППГнг(А)-HF, напряжение 660 В, число жил и сечение 5х35 мм2</t>
  </si>
  <si>
    <t>Провод установочный с медной жилой повышенной гибкости, с изоляцией из ПВХ пластиката пониженной пожароопасности, с пониженным дымо- и газовыделением, типа ПуГВнг(А)-LS, напряжение 450/750 В, число жил и сечение 1х95 мм2</t>
  </si>
  <si>
    <t>№ и период сборника коэффициентов (индексов) пересчета: Коэффициенты к ТСН-2001 МГЭ Дополнение 81, ремонт №220 II квартал 2026 года и Коэффициенты к ТСН-2001.13-2 Дополнение 47 №65 II квартал 2026 года</t>
  </si>
  <si>
    <r>
      <t>3.16-38-1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</si>
  <si>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из стальных труб на бессварных разъемных муфтовых соединениях диаметром до 25 мм</t>
  </si>
  <si>
    <t>1,15*1,2</t>
  </si>
  <si>
    <t>1,25*1,2</t>
  </si>
  <si>
    <t>Узел трубопровода из стальных водогазопроводных оцинкованных труб, с гильзами, для водоснабжения, диаметр условного прохода 15 мм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</si>
  <si>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</si>
  <si>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</si>
  <si>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Болты строительные анкерные с гайками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</si>
  <si>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</si>
  <si>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Кран шаровой, латунный, полнопроходной, муфтовый, 11б27п1, номинальное давление PN 1,6 МПа, номинальный диаметр DN 15 мм</t>
  </si>
  <si>
    <t>Кран шаровой, латунный, полнопроходной, муфтовый, 11б27п1, номинальное давление PN 1,6 МПа, номинальный диаметр DN 20 мм</t>
  </si>
  <si>
    <t>Кран шаровой, латунный, полнопроходной, муфтовый, 11б27п1, номинальное давление PN 1,6 МПа, номинальный диаметр DN 25 мм</t>
  </si>
  <si>
    <r>
      <t>3.16-40-1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</si>
  <si>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</si>
  <si>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13,1</t>
  </si>
  <si>
    <t>Трубы напорные многослойные, армированные стекловолокном из полипропилена PPR100/PPRGF/PPR100, ГОСТ 32415-2013, диаметр 20 мм, толщина стенки 2,8 мм</t>
  </si>
  <si>
    <t>13,2</t>
  </si>
  <si>
    <t>Сверло победитовое, диаметр 8 мм, длина 80 мм</t>
  </si>
  <si>
    <r>
      <t>3.16-41-1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</si>
  <si>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</si>
  <si>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Муфта из полипропилена PP-R, ГОСТ 32415-2013, комбинированная с металлом, номинальное давление PN 25, номинальный диаметр DN 20 мм, наружная резьба 1/2''</t>
  </si>
  <si>
    <t>Тройник из полипропилена PP-R, ГОСТ 32415-2013, комбинированный с металлом, номинальное давление PN 25, номинальный диаметр DN 20 мм, внутренняя резьба 1/2"</t>
  </si>
  <si>
    <t>Угольник из полипропилена PP-R80, для трубопроводов холодного и горячего водоснабжения и отопления, диаметр 20 мм</t>
  </si>
  <si>
    <r>
      <t>3.16-40-2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</si>
  <si>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</si>
  <si>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18,1</t>
  </si>
  <si>
    <t>Трубы напорные многослойные, армированные стекловолокном из полипропилена PPR100/PPRGF/PPR100, ГОСТ 32415-2013, диаметр 25 мм, толщина стенки 3,5 мм</t>
  </si>
  <si>
    <t>18,2</t>
  </si>
  <si>
    <r>
      <t>3.16-41-2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</si>
  <si>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</si>
  <si>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Муфта из полипропилена PP-R, ГОСТ 32415-2013, комбинированная с металлом, номинальное давление PN 25, номинальный диаметр DN 25 мм, наружная резьба 3/4''</t>
  </si>
  <si>
    <t>Тройник из полипропилена PP-R тип 3 (PRC-R), ГОСТ 32415-2013, переходной, диаметр 25-20-25 мм</t>
  </si>
  <si>
    <t>Угольник из полипропилена PP-R80, для трубопроводов холодного и горячего водоснабжения и отопления, диаметр 25 мм</t>
  </si>
  <si>
    <r>
      <t>3.26-16-1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</si>
  <si>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Изоляция трубопроводов изделиями из вспененного каучука, вспененного полиэтилена, трубками</t>
  </si>
  <si>
    <t>Лента армированная с клеевым слоем, универсального применения, типа ТПЛ, ширина 50 мм, серая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</si>
  <si>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t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</si>
  <si>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</si>
  <si>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прибора на резьбовых соединениях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</si>
  <si>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</si>
  <si>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r>
      <t>3.16-29-1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</si>
  <si>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Гидравлическое испытание трубопроводов систем отопления, водопровода и горячего водоснабжения диаметром до 50 мм</t>
  </si>
  <si>
    <r>
      <t>3.16-27-3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</si>
  <si>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Врезки в действующие внутренние сети трубопроводов отопления и водоснабжения диаметром 25 мм</t>
  </si>
  <si>
    <t>32,1</t>
  </si>
  <si>
    <t>32,2</t>
  </si>
  <si>
    <t>Гайка шестигранная соединительная стальная, оцинкованная, М8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</si>
  <si>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20 мм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</si>
  <si>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</si>
  <si>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t>
  </si>
  <si>
    <r>
      <t>3.17-8-1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</si>
  <si>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нагревателей индивидуальных водоводяных</t>
  </si>
  <si>
    <r>
      <t>Электроводонагреватель накопительный 50л напряжение 220в/380в 1,5кВт</t>
    </r>
    <r>
      <rPr>
        <i/>
        <sz val="10"/>
        <rFont val="Arial"/>
        <family val="2"/>
        <charset val="204"/>
      </rPr>
      <t xml:space="preserve">
813,07 = [9 900 / 1,22 /  10,18] +  2% Заг.скл</t>
    </r>
  </si>
  <si>
    <t>Клапан предохранительный, латунный, мембранный, муфтовый, прямого действия, с возможностью ручного открывания, размер присоединения 1/2", давление срабатывания 6 бар, рабочая среда: горячая и холодная вода, воздух, диапазон рабочих температур от +5 до +110°С, номинальное давление РN 1,0 МПа, номинальный диаметр DN 15 мм</t>
  </si>
  <si>
    <t>Термостат-смеситель, латунный, центральный, без комплекта верхней монтажной части, для скрытого монтажа, встроенный термоэлемент, отводы 1/2"</t>
  </si>
  <si>
    <r>
      <t>3.17-2-10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</si>
  <si>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смесителей: набортных сенсорных</t>
  </si>
  <si>
    <t>50,1</t>
  </si>
  <si>
    <t>Смеситель для хирургического умывальника, локтевой</t>
  </si>
  <si>
    <r>
      <t>3.17-2-9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</si>
  <si>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смесителей: набортных</t>
  </si>
  <si>
    <t>51,1</t>
  </si>
  <si>
    <t>Смеситель водоразборный, для умывальника, с керамическим затвором и гибкой подводкой</t>
  </si>
  <si>
    <r>
      <t>Кран шаровой муфтовый угловой ду 15 (1/2") (подключение унитаза)</t>
    </r>
    <r>
      <rPr>
        <i/>
        <sz val="10"/>
        <rFont val="Arial"/>
        <family val="2"/>
        <charset val="204"/>
      </rPr>
      <t xml:space="preserve">
41,72 = [508 / 1,22 /  10,18] +  2% Заг.скл</t>
    </r>
  </si>
  <si>
    <r>
      <t>3.16-23-1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</si>
  <si>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водомерных узлов, поставляемых на место монтажа собранными в блоки, без обводной линии диаметром ввода, мм, до 65 диаметром водомера до 40 мм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</si>
  <si>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39 м3/ч, номинальное давление PN 4,0 МПа, номинальный диаметр DN 25 мм</t>
  </si>
  <si>
    <t>Клапан обратный, латунный, подъемный, муфтовый, 16б1бк, номинальное давление PN 1,6 МПа, номинальный диаметр DN 25 мм</t>
  </si>
  <si>
    <r>
      <t>3.16-26-1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</si>
  <si>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счетчиков (водомеров) диаметром до 40 мм</t>
  </si>
  <si>
    <t>57,1</t>
  </si>
  <si>
    <t>Счетчик холодной воды крыльчатый одноструйный механический, с импульсным выходом, номинальный диаметр DN 15 мм</t>
  </si>
  <si>
    <r>
      <t>3.18-19-1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</si>
  <si>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фильтров диаметром до 25 мм</t>
  </si>
  <si>
    <t>58,1</t>
  </si>
  <si>
    <t>Фильтр сетчатый, латунный, муфтовый, со сливной пробкой, температура рабочей среды от -10 до +130°С, пропускная способность 11,2 м3/ч, номинальное давление PN 2,5 МПа, номинальный диаметр DN 25 мм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</si>
  <si>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15 мм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</si>
  <si>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25 мм</t>
  </si>
  <si>
    <t>Муфта с конической резьбой, стальная, переходная, для механического сращивания арматуры диаметром 25/16 мм</t>
  </si>
  <si>
    <t>Клапан запорный, латунный, проходной, муфтовый, 15Б1п, номинальное давление PN 1,6 (2,5) МПа, номинальный диаметр DN 15 мм / вентиль запорный муфтовый 15ч8р2  ду 15мм</t>
  </si>
  <si>
    <r>
      <t>3.18-20-2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</si>
  <si>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манометров с трехходовым краном</t>
  </si>
  <si>
    <t>Кран трехходовой, латунный, с наружной и внутренней резьбой, для манометра, номинальное давление PN 1,6 МПа, номинальный диаметр DN 15 мм</t>
  </si>
  <si>
    <t>Манометр показывающий, для измерения избыточного давления, в пылебрызгозащищенном исполнении, типа МП-3У, с трубчатой пружиной, радиальное присоединение снизу, диаметр корпуса 100 мм, присоединение резьбовое М20х1,5, класс точности 1,5, диапазон измерения от 0 до 1,6 МПа</t>
  </si>
  <si>
    <t>ЛОКАЛЬНАЯ СМЕТА № 02-01-04</t>
  </si>
  <si>
    <t>Раздел: Внутренние сети холодного водоснабжения</t>
  </si>
  <si>
    <t>Объем: 0,66=(5+21+40)/100</t>
  </si>
  <si>
    <t>1.12-1-52</t>
  </si>
  <si>
    <t>1.12-2-1163</t>
  </si>
  <si>
    <t>1.12-1-53</t>
  </si>
  <si>
    <t>1.1-1-59</t>
  </si>
  <si>
    <t>Объем: 0,00072=0,018*40/1000</t>
  </si>
  <si>
    <t>1.12-1-54</t>
  </si>
  <si>
    <t>1.12-2-1164</t>
  </si>
  <si>
    <t>1.13-4-125</t>
  </si>
  <si>
    <t>1.13-4-126</t>
  </si>
  <si>
    <t>1.13-4-127</t>
  </si>
  <si>
    <t>1.12-5-573</t>
  </si>
  <si>
    <t>1.7-3-8</t>
  </si>
  <si>
    <t>100 сварных соединений</t>
  </si>
  <si>
    <t>Объем: 2,11=(50*2+17*3+30*2)/100</t>
  </si>
  <si>
    <t>1.12-5-879</t>
  </si>
  <si>
    <t>1.12-5-898</t>
  </si>
  <si>
    <t>1.12-5-347</t>
  </si>
  <si>
    <t>1.12-5-574</t>
  </si>
  <si>
    <t>Объем: 0,45=(5*2+5*3+5*2+5*2)/100</t>
  </si>
  <si>
    <t>1.12-5-205</t>
  </si>
  <si>
    <t>1.12-5-348</t>
  </si>
  <si>
    <t>1.12-5-904</t>
  </si>
  <si>
    <t>10 м изоляции</t>
  </si>
  <si>
    <t>Объем: 6,6=(5+21+40)/10</t>
  </si>
  <si>
    <t>1.1-1-2543</t>
  </si>
  <si>
    <t>1.1-1-3132</t>
  </si>
  <si>
    <t>Объем: 5,25=5*1,05</t>
  </si>
  <si>
    <t>Объем: 22,05=21*1,05</t>
  </si>
  <si>
    <t>Объем: 42=40*1,05</t>
  </si>
  <si>
    <t>1.18-6-143</t>
  </si>
  <si>
    <t>100 м трубопровода</t>
  </si>
  <si>
    <t>1 врезка</t>
  </si>
  <si>
    <t>Итого по разделу: Внутренние сети холодного водоснабжения</t>
  </si>
  <si>
    <t>Раздел: Внутренние сети горячего водоснабжения</t>
  </si>
  <si>
    <t>Объем: 0,2=20/100</t>
  </si>
  <si>
    <t>Объем: 1,21=(32*2+3*3+24*2)/100</t>
  </si>
  <si>
    <t>1.7-5-386</t>
  </si>
  <si>
    <t>Объем: 1,4=140/100</t>
  </si>
  <si>
    <t>1.13-3-38</t>
  </si>
  <si>
    <t>1.13-3-37</t>
  </si>
  <si>
    <t>1.13-4-61</t>
  </si>
  <si>
    <t>1 комплект</t>
  </si>
  <si>
    <t>1.18-3-53</t>
  </si>
  <si>
    <t>1.17-2-44</t>
  </si>
  <si>
    <t>Итого по разделу: Внутренние сети горячего водоснабжения</t>
  </si>
  <si>
    <t>Раздел: Смесители</t>
  </si>
  <si>
    <t>Объем: 0,01=1/100</t>
  </si>
  <si>
    <t>1.17-2-22</t>
  </si>
  <si>
    <t>Объем: 0,05=5/100</t>
  </si>
  <si>
    <t>1.17-2-17</t>
  </si>
  <si>
    <t>Итого по разделу: Смесители</t>
  </si>
  <si>
    <t>Раздел: Водомерный узел</t>
  </si>
  <si>
    <t>1 УЗЕЛ</t>
  </si>
  <si>
    <t>1.13-4-73</t>
  </si>
  <si>
    <t>1.13-3-35</t>
  </si>
  <si>
    <t>Итого по разделу: Водомерный узел</t>
  </si>
  <si>
    <t>Раздел: Водомерная вставка</t>
  </si>
  <si>
    <t>1 счетчик (водомер)</t>
  </si>
  <si>
    <t>1.17-6-12</t>
  </si>
  <si>
    <t>1 фильтр</t>
  </si>
  <si>
    <t>1.18-7-25</t>
  </si>
  <si>
    <t>1.12-10-18</t>
  </si>
  <si>
    <t>1.12-10-20</t>
  </si>
  <si>
    <t>1.7-5-324</t>
  </si>
  <si>
    <t>1.13-1-7</t>
  </si>
  <si>
    <t>1.13-4-256</t>
  </si>
  <si>
    <t>1.18-5-2</t>
  </si>
  <si>
    <t>Итого по разделу: Водомерная вставка</t>
  </si>
  <si>
    <t>Водоснабжение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</si>
  <si>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мм, диам.15мм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</si>
  <si>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мм,диам.25мм</t>
  </si>
  <si>
    <t>Хомуты из оцинкованной стали с резиновыми прокладками для жесткого и скользящего крепления полипропиленовых труб, наружный диаметр 20 мм/15мм</t>
  </si>
  <si>
    <t>Хомуты из оцинкованной стали с резиновыми прокладками для жесткого и скользящего крепления полипропиленовых труб, наружный диаметр 32 мм /25мм</t>
  </si>
  <si>
    <t>Муфта из полипропилена PP-R, ГОСТ 32415-2013, переходная, номинальное давление PN 25, номинальный диаметр DN 25х20 мм/25х15</t>
  </si>
  <si>
    <r>
      <t>3.16-2-3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</si>
  <si>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по стенам зданий и в каналах труб чугунных напорных раструбных диаметром 100 мм</t>
  </si>
  <si>
    <t>Узлы трубопроводов из чугунных канализационных труб с фасонными частями, диаметр условного прохода 100 мм</t>
  </si>
  <si>
    <t>Ревизия чугунная, диаметр условного прохода 100 мм</t>
  </si>
  <si>
    <r>
      <t>3.16-28-2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</si>
  <si>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Врезки в действующие внутренние сети трубопроводов канализации диаметром 100 мм</t>
  </si>
  <si>
    <r>
      <t>3.16-13-2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</si>
  <si>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канализации из ПВХ труб диаметром 100 мм - 150 мм</t>
  </si>
  <si>
    <t>4,1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</si>
  <si>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</si>
  <si>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4,2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</si>
  <si>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</si>
  <si>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4,3</t>
  </si>
  <si>
    <t>Ревизия из полиэтилена, диаметр 110 мм</t>
  </si>
  <si>
    <t>Крышка ревизии из полиэтилена, диаметр 110 мм</t>
  </si>
  <si>
    <t>Ревизия из полиэтилена, диаметр 110 мм / прочистка</t>
  </si>
  <si>
    <r>
      <t>3.16-13-1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</si>
  <si>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канализации из ПВХ труб диаметром до 50 мм</t>
  </si>
  <si>
    <t>8,1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</si>
  <si>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</si>
  <si>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8,2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</si>
  <si>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</si>
  <si>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8,3</t>
  </si>
  <si>
    <t>Ревизия из полиэтилена низкого давления, с крышкой, для канализации, диаметр 50 мм / прочистка</t>
  </si>
  <si>
    <r>
      <t>3.16-33-1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</si>
  <si>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</si>
  <si>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Муфта противопожарная из нержавеющей стали, с вкладышем из терморасширяющейся резины, для трубы диаметром 50 мм</t>
  </si>
  <si>
    <t>Муфта противопожарная из нержавеющей стали, с вкладышем из терморасширяющейся резины, для трубы диаметром 110 мм</t>
  </si>
  <si>
    <r>
      <t>3.22-27-3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</si>
  <si>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Промывка без дезинфекции трубопроводов диаметром 100 мм / промывка сущ.выпусков канализации диам100мм гидродинамическим способом</t>
  </si>
  <si>
    <t>14,1</t>
  </si>
  <si>
    <t>14,2</t>
  </si>
  <si>
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</si>
  <si>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133 мм, толщина 13 мм</t>
  </si>
  <si>
    <r>
      <t>3.17-14-3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</si>
  <si>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подвесного унитаза</t>
  </si>
  <si>
    <t>16,1</t>
  </si>
  <si>
    <t>Унитаз керамический, подвесной для систем инсталляции, безободковый, с сидением микролифт, с горизонтальным выпуском</t>
  </si>
  <si>
    <t>Отвод из поливинилхлорида гофрированный для унитаза, диаметр 110 мм</t>
  </si>
  <si>
    <t>Манжета резиновая, ступенчатая или конусная, для унитазов</t>
  </si>
  <si>
    <r>
      <t>3.17-14-1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</si>
  <si>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комплекта инсталляции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</si>
  <si>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</si>
  <si>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r>
      <t>3.17-3-7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</si>
  <si>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унитазов с бачком непосредственно присоединенным</t>
  </si>
  <si>
    <t>20,1</t>
  </si>
  <si>
    <t>Унитаз-компакт керамический нестандартной высоты для маломобильных групп населения с горизонтальным выпуском</t>
  </si>
  <si>
    <t>Сиденье пластиковое с крышкой к унитазам</t>
  </si>
  <si>
    <r>
      <t>3.17-1-20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</si>
  <si>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раковин (умывальников) керамических</t>
  </si>
  <si>
    <t>Сифон бутылочный латунный</t>
  </si>
  <si>
    <r>
      <t>Умывальник для маломобильных граждан. Форма прямоугольная с выемкой на фронтальной поверхности</t>
    </r>
    <r>
      <rPr>
        <i/>
        <sz val="10"/>
        <rFont val="Arial"/>
        <family val="2"/>
        <charset val="204"/>
      </rPr>
      <t xml:space="preserve">
1 109,56 = [13 510 / 1,22 /  10,18] +  2% Заг.скл</t>
    </r>
  </si>
  <si>
    <t>Выпуск пластмассовый к санитарно-техническим приборам</t>
  </si>
  <si>
    <t>Кронштейн стальной для умывальников и моек, скрытый, большой, длина 320 мм</t>
  </si>
  <si>
    <t>28,1</t>
  </si>
  <si>
    <r>
      <t>Умывальник фаянсовый с отверстием для предотвращения перелива</t>
    </r>
    <r>
      <rPr>
        <i/>
        <sz val="10"/>
        <rFont val="Arial"/>
        <family val="2"/>
        <charset val="204"/>
      </rPr>
      <t xml:space="preserve">
432,82 = [5 270 / 1,22 /  10,18] +  2% Заг.скл</t>
    </r>
  </si>
  <si>
    <r>
      <t>3.16-21-2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</si>
  <si>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Установка воронок сливных диаметром 50 мм</t>
  </si>
  <si>
    <r>
      <t>Капельная воронка с гидрозатвором по типу ТП-21 для отвода конденсата от кондиционеров</t>
    </r>
    <r>
      <rPr>
        <i/>
        <sz val="10"/>
        <rFont val="Arial"/>
        <family val="2"/>
        <charset val="204"/>
      </rPr>
      <t xml:space="preserve">
105,11 = [1 279,89 / 1,22 /  10,18] +  2% Заг.скл</t>
    </r>
  </si>
  <si>
    <r>
      <t>Сифон с воронкой с разрывом струи</t>
    </r>
    <r>
      <rPr>
        <i/>
        <sz val="10"/>
        <rFont val="Arial"/>
        <family val="2"/>
        <charset val="204"/>
      </rPr>
      <t xml:space="preserve">
133,38 = [1 624 / 1,22 /  10,18] +  2% Заг.скл</t>
    </r>
  </si>
  <si>
    <t>ЛОКАЛЬНАЯ СМЕТА № 02-01-05</t>
  </si>
  <si>
    <t>Раздел: Канализация хозяйственно-бытовая (К1)</t>
  </si>
  <si>
    <t>100 м труб</t>
  </si>
  <si>
    <t>1.12-1-69</t>
  </si>
  <si>
    <t>1.12-10-16</t>
  </si>
  <si>
    <t>Объем: 0,62=62/100</t>
  </si>
  <si>
    <t>1.12-1-80</t>
  </si>
  <si>
    <t>1.12-5-134</t>
  </si>
  <si>
    <t>1.12-5-133</t>
  </si>
  <si>
    <t>Объем: 0,045=0,3*150/1000</t>
  </si>
  <si>
    <t>Объем: 0,17=17/100</t>
  </si>
  <si>
    <t>1.12-1-79</t>
  </si>
  <si>
    <t>Объем: 0,0138=0,3*46/1000</t>
  </si>
  <si>
    <t>Объем: 0,15=(3+12)/100</t>
  </si>
  <si>
    <t>1.12-5-542</t>
  </si>
  <si>
    <t>1.12-5-456</t>
  </si>
  <si>
    <t>1 КМ</t>
  </si>
  <si>
    <t>Объем: 0,01=10/1000</t>
  </si>
  <si>
    <t>Объем: 1,5=15/10</t>
  </si>
  <si>
    <t>1.1-1-3853</t>
  </si>
  <si>
    <t>Объем: 15,75=15*1,05</t>
  </si>
  <si>
    <t>Итого по разделу: Канализация хозяйственно-бытовая (К1)</t>
  </si>
  <si>
    <t>Раздел: Санитарно-техническое оборудование</t>
  </si>
  <si>
    <t>1.17-1-85</t>
  </si>
  <si>
    <t>1.17-2-45</t>
  </si>
  <si>
    <t>1.12-8-50</t>
  </si>
  <si>
    <t>1.17-1-83</t>
  </si>
  <si>
    <t>10 комплектов</t>
  </si>
  <si>
    <t>Объем: 0,1=1/10</t>
  </si>
  <si>
    <t>1.17-1-79</t>
  </si>
  <si>
    <t>1.17-3-1</t>
  </si>
  <si>
    <t>1.17-2-8</t>
  </si>
  <si>
    <t>1.17-2-25</t>
  </si>
  <si>
    <t>1.17-2-31</t>
  </si>
  <si>
    <t>Объем: 0,5=5/10</t>
  </si>
  <si>
    <t>Объем: 10=5*2</t>
  </si>
  <si>
    <t>1 воронка</t>
  </si>
  <si>
    <t>Итого по разделу: Санитарно-техническое оборудование</t>
  </si>
  <si>
    <t>Водоотведение</t>
  </si>
  <si>
    <r>
      <t>3.18-26-1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
Поправка: 3-18. О.П. п.1.8</t>
    </r>
  </si>
  <si>
    <t>Установка радиаторов алюминиевых и биметаллических с креплением к стене с числом секций до 4 шт.</t>
  </si>
  <si>
    <t>1,15*1,2*1,03</t>
  </si>
  <si>
    <t>1,25*1,2*1,03</t>
  </si>
  <si>
    <t>Радиатор отопительный, биметаллический, секционный, ГОСТ 31311, размер секции 80х95х360 мм, межосевое расстояние 300 мм, 4 секции, теплоотдача 0,484 кВт</t>
  </si>
  <si>
    <r>
      <t>3.18-26-2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
Поправка: 3-18. О.П. п.1.8</t>
    </r>
  </si>
  <si>
    <t>Установка радиаторов алюминиевых и биметаллических с креплением к стене с числом секций свыше 4 до 10 шт.</t>
  </si>
  <si>
    <t>Радиатор отопительный, биметаллический, секционный, ГОСТ 31311, размер секции 80х95х360 мм, межосевое расстояние 300 мм, 5 секций, теплоотдача 0,605 кВт</t>
  </si>
  <si>
    <t>Радиатор отопительный, биметаллический, секционный, ГОСТ 31311, размер секции 80х95х360 мм, межосевое расстояние 300 мм, 6 секций, теплоотдача 0,726 кВт</t>
  </si>
  <si>
    <t>Радиатор отопительный, биметаллический, секционный, ГОСТ 31311, размер секции 80х95х360 мм, межосевое расстояние 300 мм, 7 секций, теплоотдача 0,847 кВт</t>
  </si>
  <si>
    <t>Радиатор отопительный, биметаллический, секционный, ГОСТ 31311, размер секции 80х95х360 мм, межосевое расстояние 300 мм, 8 секций, теплоотдача 0,968 кВт</t>
  </si>
  <si>
    <t>Радиатор отопительный, биметаллический, секционный, ГОСТ 31311, размер секции 80х95х360 мм, межосевое расстояние 300 мм, 9 секций, теплоотдача 1,089 кВт</t>
  </si>
  <si>
    <t>Радиатор отопительный, биметаллический, секционный, ГОСТ 31311, размер секции 80х95х360 мм, межосевое расстояние 300 мм, 10 секций, теплоотдача 1,210 кВт</t>
  </si>
  <si>
    <r>
      <t>3.18-26-3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
Поправка: 3-18. О.П. п.1.8</t>
    </r>
  </si>
  <si>
    <t>Установка радиаторов алюминиевых и биметаллических с креплением к стене с числом секций свыше 10 до 16 шт.</t>
  </si>
  <si>
    <t>Радиатор отопительный, биметаллический, секционный, ГОСТ 31311, размер секции 80х95х360 мм, межосевое расстояние 300 мм, 11 секций, теплоотдача 1,331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</si>
  <si>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4 секции, теплоотдача 0,740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</si>
  <si>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5 секций, теплоотдача 0,925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</si>
  <si>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7 секций, теплоотдача 1,295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</si>
  <si>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8 секций, теплоотдача 1,480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</si>
  <si>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9 секций, теплоотдача 1,665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</si>
  <si>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12 секций, теплоотдача 2,220 кВт</t>
  </si>
  <si>
    <t>Радиатор отопительный, биметаллический, секционный, ГОСТ 31311, с двумя секциями нижнего подключения соединенными глухим и проходным ниппелями, распределителем потока и клапанной вставкой, размер секции 80х95х560 мм, межосевое расстояние 500 мм, 13 секций, теплоотдача 2,405 кВт</t>
  </si>
  <si>
    <r>
      <t>4.8-254-2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</si>
  <si>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приборов нагревательных, электропечь мощностью до 1 кВт</t>
  </si>
  <si>
    <t>ОБОРУДОВАНИЕ:_x000D_
Конвектор электрический, номинальная мощность 1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725x405x80 мм</t>
  </si>
  <si>
    <t>Кран двойной регулировки, латунный, проходной, муфтовый, КРДП (11б25бк), номинальное давление PN 1,0 МПа, номинальный диаметр DN 15 мм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</si>
  <si>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</si>
  <si>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12,1 м3/ч, номинальное давление PN 1,0 МПа, номинальный диаметр DN 25 мм</t>
  </si>
  <si>
    <t>Кран шаровой, латунный, полнопроходной, муфтовый, 11б27п1, номинальное давление PN 1,6 МПа, номинальный диаметр DN 40 мм</t>
  </si>
  <si>
    <r>
      <t>3.16-6-1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</si>
  <si>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15 мм</t>
  </si>
  <si>
    <t>30,1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</si>
  <si>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</si>
  <si>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r>
      <t>3.16-6-2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</si>
  <si>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20 мм</t>
  </si>
  <si>
    <t>31,1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</si>
  <si>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</si>
  <si>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r>
      <t>3.16-6-3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</si>
  <si>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25 мм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</si>
  <si>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</si>
  <si>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r>
      <t>3.16-6-4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</si>
  <si>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32 мм</t>
  </si>
  <si>
    <t>33,1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</si>
  <si>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</si>
  <si>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r>
      <t>3.16-6-5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</si>
  <si>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40 мм</t>
  </si>
  <si>
    <t>34,1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</si>
  <si>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</si>
  <si>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r>
      <t>3.16-6-6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</si>
  <si>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из стальных водогазопроводных неоцинкованных труб диаметром 50 мм</t>
  </si>
  <si>
    <t>35,1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</si>
  <si>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</si>
  <si>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r>
      <t>3.16-10-4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</si>
  <si>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Прокладка трубопроводов отопления и водоснабжения из стальных электросварных труб диаметром 80 мм</t>
  </si>
  <si>
    <t>36,1</t>
  </si>
  <si>
    <t>Узел трубопровода отопления, водоснабжения из стальных электросварных труб, с гильзами, наружный диаметр (толщина стенки) 89х3,5 мм</t>
  </si>
  <si>
    <r>
      <t>3.16-29-2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</si>
  <si>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Гидравлическое испытание трубопроводов систем отопления, водопровода и горячего водоснабжения диаметром до 100 мм</t>
  </si>
  <si>
    <r>
      <t>3.26-1-1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</si>
  <si>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Изоляция трубопроводов цилиндрами, полуцилиндрами из минеральной ваты на синтетическом связующем</t>
  </si>
  <si>
    <t>Цилиндр теплоизоляционный на основе базальтового волокна, кашированный алюминиевой фольгой, негорючий (НГ), плотность 120 кг/м3, внутренний диаметр 15 мм, толщина 20 мм</t>
  </si>
  <si>
    <t>Цилиндр теплоизоляционный на основе базальтового волокна, кашированный алюминиевой фольгой, негорючий (НГ), плотность 100 кг/м3, внутренний диаметр 89 мм, толщина 20 мм</t>
  </si>
  <si>
    <r>
      <t>3.13-9-2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</si>
  <si>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Огрунтовка металлических поверхностей грунтовкой ГФ-021 за один раз</t>
  </si>
  <si>
    <t>46,1</t>
  </si>
  <si>
    <t>Грунтовка глифталевая, типа ГФ-021</t>
  </si>
  <si>
    <r>
      <t>3.13-11-1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</si>
  <si>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Окраска огрунтованных металлических поверхностей эмалью ЭП-140 / в 2 слоя с К=2</t>
  </si>
  <si>
    <t>1,15*1,2*2</t>
  </si>
  <si>
    <t>1,25*1,2*2</t>
  </si>
  <si>
    <t>47,1</t>
  </si>
  <si>
    <t>Состав (грунт-эмаль) двухкомпонентный, эпоксидный, цинконаполненный, коррозионно-защитный, химически стойкий, гидрофобный, механизированного и ручного нанесения, сухой остаток 65%, характеристики при температуре +20°С: плотность от 2,7 до 2,9 г/см3, для устройства промежуточного/покрывного слоев металлических конструкций</t>
  </si>
  <si>
    <t>ЛОКАЛЬНАЯ СМЕТА № 02-01-06</t>
  </si>
  <si>
    <t>Раздел: Устакновка радиаторов</t>
  </si>
  <si>
    <t>1.18-4-1270</t>
  </si>
  <si>
    <t>Объем: 0,23=(3+3+9+3+4+1)/100</t>
  </si>
  <si>
    <t>1.18-4-1271</t>
  </si>
  <si>
    <t>1.18-4-1272</t>
  </si>
  <si>
    <t>1.18-4-1273</t>
  </si>
  <si>
    <t>1.18-4-1274</t>
  </si>
  <si>
    <t>1.18-4-1275</t>
  </si>
  <si>
    <t>1.18-4-1276</t>
  </si>
  <si>
    <t>1.18-4-1277</t>
  </si>
  <si>
    <t>1.18-4-1296</t>
  </si>
  <si>
    <t>Объем: 0,06=(1+1+2+2)/100</t>
  </si>
  <si>
    <t>1.18-4-1297</t>
  </si>
  <si>
    <t>1.18-4-1299</t>
  </si>
  <si>
    <t>1.18-4-1300</t>
  </si>
  <si>
    <t>1.18-4-1301</t>
  </si>
  <si>
    <t>1.18-4-1304</t>
  </si>
  <si>
    <t>1.18-4-1305</t>
  </si>
  <si>
    <t>13.1-11-143</t>
  </si>
  <si>
    <t>1.13-4-26</t>
  </si>
  <si>
    <t>1.13-4-137</t>
  </si>
  <si>
    <t>1.13-4-139</t>
  </si>
  <si>
    <t>1.13-4-129</t>
  </si>
  <si>
    <t>Объем: 1=100/100</t>
  </si>
  <si>
    <t>1.12-1-40</t>
  </si>
  <si>
    <t>Объем: 0,1=10/100</t>
  </si>
  <si>
    <t>1.12-1-41</t>
  </si>
  <si>
    <t>1.12-1-42</t>
  </si>
  <si>
    <t>1.12-1-43</t>
  </si>
  <si>
    <t>Объем: 0,14=14/100</t>
  </si>
  <si>
    <t>1.12-1-44</t>
  </si>
  <si>
    <t>1.12-1-45</t>
  </si>
  <si>
    <t>1.12-1-48</t>
  </si>
  <si>
    <t>Объем: 1,5=(100+10+10+6+14+10)/100</t>
  </si>
  <si>
    <t>1 м3</t>
  </si>
  <si>
    <t>Объем: 0,188714=3,14*(0,0178*51+0,0282*10+0,0352*6+0,0435*14+0,0535*10+0,092*5)*0,02</t>
  </si>
  <si>
    <t>1.1-1-8301</t>
  </si>
  <si>
    <t>Объем: 53,55=51*1,05</t>
  </si>
  <si>
    <t>1.1-1-8304</t>
  </si>
  <si>
    <t>Объем: 10,5=10*1,05</t>
  </si>
  <si>
    <t>1.1-1-8305</t>
  </si>
  <si>
    <t>Объем: 6,3=6*1,05</t>
  </si>
  <si>
    <t>1.1-1-8306</t>
  </si>
  <si>
    <t>Объем: 14,7=14*1,05</t>
  </si>
  <si>
    <t>1.1-1-8307</t>
  </si>
  <si>
    <t>1.1-1-8310</t>
  </si>
  <si>
    <t>100 м2</t>
  </si>
  <si>
    <t>Объем: 0,11=11/100</t>
  </si>
  <si>
    <t>1.1-1-165</t>
  </si>
  <si>
    <t>Объем: 0,035=3,5/100</t>
  </si>
  <si>
    <t>1.1-1-4319</t>
  </si>
  <si>
    <t>Итого по разделу: Устакновка радиаторов</t>
  </si>
  <si>
    <t>Отопление</t>
  </si>
  <si>
    <t>Цилиндр теплоизоляционный на основе базальтового волокна, кашированный алюминиевой фольгой, негорючий (НГ), плотность 100 кг/м3, внутренний диаметр 28 мм, толщина 20 мм /  диам.25мм</t>
  </si>
  <si>
    <t>Цилиндр теплоизоляционный на основе базальтового волокна, кашированный алюминиевой фольгой, негорючий (НГ), плотность 100 кг/м3, внутренний диаметр 35 мм, толщина 20 мм / диам.32мм</t>
  </si>
  <si>
    <t>Цилиндр теплоизоляционный на основе базальтового волокна, кашированный алюминиевой фольгой, негорючий (НГ), плотность 100 кг/м3, внутренний диаметр 42 мм, толщина 20 мм / диам. 40мм</t>
  </si>
  <si>
    <t>Цилиндр теплоизоляционный на основе базальтового волокна, кашированный алюминиевой фольгой, негорючий (НГ), плотность 100 кг/м3, внутренний диаметр 48 мм, толщина 20 мм /  диам.50мм</t>
  </si>
  <si>
    <r>
      <t>3.20-59-1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</si>
  <si>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Установка наружного блока сплит-системы мощностью до 6,5 кВт на кронштейны</t>
  </si>
  <si>
    <r>
      <t>3.20-58-1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</si>
  <si>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Установка внутреннего блока сплит-системы настенного типа мощностью до 6,5 кВт</t>
  </si>
  <si>
    <r>
      <t>1.12-5-61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</si>
  <si>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Трубка дренажная из ПВХ, диаметр 16 мм</t>
  </si>
  <si>
    <r>
      <t>1.12-7-186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</si>
  <si>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Трубы медные для отопления и водоснабжения, наружный диаметр 6,35 мм, толщина стенки 0,76 мм</t>
  </si>
  <si>
    <r>
      <t>1.12-7-188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</si>
  <si>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Трубы медные для отопления и водоснабжения, наружный диаметр 12,7 мм, толщина стенки 0,81 мм</t>
  </si>
  <si>
    <r>
      <t>4.11-3-1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</si>
  <si>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прибора массой до 5 кг на металлоконструкциях или щитах</t>
  </si>
  <si>
    <r>
      <t>3.20-58-3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</si>
  <si>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Добавлять/уменьшать на каждый 1 м трассы систем до 6,5 кВт</t>
  </si>
  <si>
    <t>Хладагент типа R404А, R22</t>
  </si>
  <si>
    <t>Трубы медные для отопления и водоснабжения, наружный диаметр 9,52 мм, толщина стенки 0,81 мм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</si>
  <si>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22 мм, толщина 13 мм</t>
  </si>
  <si>
    <t>Трубы напорные из полипропилена PP-R тип 3 (PRC-R), ГОСТ 32415-2013, номинальное давление PN10, наружный диаметр 20 мм</t>
  </si>
  <si>
    <t>Трубы напорные из полипропилена PP-R тип 3 (PRC-R), ГОСТ 32415-2013, номинальное давление PN10, наружный диаметр 25 мм</t>
  </si>
  <si>
    <t>Трубы напорные из полипропилена PP-R тип 3 (PRC-R), ГОСТ 32415-2013, номинальное давление PN10, наружный диаметр 32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</si>
  <si>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</si>
  <si>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</si>
  <si>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</si>
  <si>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ЛОКАЛЬНАЯ СМЕТА № 02-01-07</t>
  </si>
  <si>
    <t>Раздел: Кондиционирование</t>
  </si>
  <si>
    <t>1 блок</t>
  </si>
  <si>
    <t>Объем: 25=2+2+2+1+1+1+1+1+1+1+1+1+1+1+1+1+1+1+1+1+1+1</t>
  </si>
  <si>
    <t>Объем: -76,875=25*-3,075</t>
  </si>
  <si>
    <t>Объем: 6=1+5</t>
  </si>
  <si>
    <t>1 м трассы</t>
  </si>
  <si>
    <t>Объем: -2,5=(50+95-25*6)/2</t>
  </si>
  <si>
    <t>1.1-1-3984</t>
  </si>
  <si>
    <t>1.23-8-564</t>
  </si>
  <si>
    <t>1.12-7-186</t>
  </si>
  <si>
    <t>Объем: 52=50*1,04</t>
  </si>
  <si>
    <t>1.12-7-187</t>
  </si>
  <si>
    <t>Объем: 98,8=95*1,04</t>
  </si>
  <si>
    <t>1.1-1-3125</t>
  </si>
  <si>
    <t>1.12-5-150</t>
  </si>
  <si>
    <t>1.12-5-151</t>
  </si>
  <si>
    <t>1.12-5-152</t>
  </si>
  <si>
    <t>1.1-1-1273</t>
  </si>
  <si>
    <t>Объем: 105=100*1,05</t>
  </si>
  <si>
    <t>1.1-1-1274</t>
  </si>
  <si>
    <t>Объем: 26,25=25*1,05</t>
  </si>
  <si>
    <t>1.1-1-1275</t>
  </si>
  <si>
    <t>Итого по разделу: Кондиционирование</t>
  </si>
  <si>
    <t>Кондиционирование</t>
  </si>
  <si>
    <t>Кабель силовой с медными жилами, с изоляцией и оболочкой из ПВХ композиций пониженной пожароопасности, с пониженным дымо- и газовыделением, типа ВВГнг(А)-LS, напряжение 1000 В, число жил и сечение 2х1,5 мм2</t>
  </si>
  <si>
    <r>
      <t>4.10-80-1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</si>
  <si>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Аппараты приемные, приборы ПС приемно-контрольные, пусковые, концентратор, блок базовый на 10 лучей</t>
  </si>
  <si>
    <r>
      <t>4.10-170-2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</si>
  <si>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информационно-управляющего (БИУ) в диспетчерской</t>
  </si>
  <si>
    <r>
      <t>4.10-80-13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</si>
  <si>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Аппараты приемные, устройства промежуточные на 1 луч</t>
  </si>
  <si>
    <r>
      <t>4.10-81-2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</si>
  <si>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Извещатели ПС автоматические, дымовой, фотоэлектрический, радиоизотопный, световой в нормальном исполнении</t>
  </si>
  <si>
    <r>
      <t>4.10-81-6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</si>
  <si>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Конструкция для установки извещателя</t>
  </si>
  <si>
    <r>
      <t>4.10-76-10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</si>
  <si>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ключа или кнопки на панели</t>
  </si>
  <si>
    <r>
      <t>4.8-245-10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</si>
  <si>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светильников с лампами накаливания, светового настенного указателя</t>
  </si>
  <si>
    <r>
      <t>4.10-173-2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</si>
  <si>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бесперебойного питания (ББП) в диспетчерской</t>
  </si>
  <si>
    <t>ОБОРУДОВАНИЕ:_x000D_
Батарея аккумуляторная, емкость 40 А·ч, напряжение 12 В</t>
  </si>
  <si>
    <r>
      <t>4.10-185-3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</si>
  <si>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кабеля связи огнестойкого в трубах гофрированных с использованием скобы СМО: по бетонным поверхностям</t>
  </si>
  <si>
    <t>26,1</t>
  </si>
  <si>
    <t>26,2</t>
  </si>
  <si>
    <t>Скоба однолапковая стальная оцинкованная, для кабелей диаметром от 19 до 20 мм</t>
  </si>
  <si>
    <t>26,3</t>
  </si>
  <si>
    <t>Муфта из полипропилена PP-R тип 3 (PRC-R), ГОСТ 32415-2013, соединительная, наружный диаметр 20 мм</t>
  </si>
  <si>
    <t>26,4</t>
  </si>
  <si>
    <t>Коробка монтажная огнестойкая, корпус стальной оцинкованный, крышка пластиковая, с керамическими клеммными колодками, 4 контакта, степень защиты IP 41, габаритные размеры 50х50х23 мм</t>
  </si>
  <si>
    <r>
      <t>4.8-172-6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</si>
  <si>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по основанию пола винипластовой трубы диаметром до 25 мм</t>
  </si>
  <si>
    <t>27,1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</si>
  <si>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</si>
  <si>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27,2</t>
  </si>
  <si>
    <r>
      <t>1.21-5-1470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</si>
  <si>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Скоба двухлапковая стальная оцинкованная, для кабелей диаметром от 25 до 26 мм</t>
  </si>
  <si>
    <r>
      <t>4.11-7-1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</si>
  <si>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аппарата настольного массой до 0,015 т</t>
  </si>
  <si>
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</si>
  <si>
    <t>31,2</t>
  </si>
  <si>
    <t>ОБОРУДОВАНИЕ:_x000D_
Мышь компьютерная проводная оптическая, интерфейс USB</t>
  </si>
  <si>
    <r>
      <t>4.8-170-7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</si>
  <si>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в готовых бороздах по основанию пола стальной трубы диаметром до 40 мм/ гильза</t>
  </si>
  <si>
    <t>Заготовка для электропроводки из водогазопроводных труб, диаметр условного прохода 32 мм</t>
  </si>
  <si>
    <t>35,2</t>
  </si>
  <si>
    <t>Мастика тиоколовая, герметизирующая, нетвердеющая, типа АМ-05</t>
  </si>
  <si>
    <r>
      <t>4.8-123-7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</si>
  <si>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элемента системы подвески контактных сетей и продольно-несущих тросов, троса продольно-несущего</t>
  </si>
  <si>
    <t>Трос из стальной латунированной проволоки в оболочке из ПВХ, диаметр 2 мм</t>
  </si>
  <si>
    <t>36,2</t>
  </si>
  <si>
    <t>ЛОКАЛЬНАЯ СМЕТА № 02-01-08</t>
  </si>
  <si>
    <t>Раздел: Монтаж оборудования</t>
  </si>
  <si>
    <t>Объем: 85=22+63</t>
  </si>
  <si>
    <t>13.1-1-451</t>
  </si>
  <si>
    <t>Объем: 9=7+1+1</t>
  </si>
  <si>
    <t>Итого по разделу: Монтаж оборудования</t>
  </si>
  <si>
    <t>Раздел: Прокладка кабельных линий</t>
  </si>
  <si>
    <t>Объем: 9,7=970/100</t>
  </si>
  <si>
    <t>1.21-5-1469</t>
  </si>
  <si>
    <t>1.12-5-169</t>
  </si>
  <si>
    <t>1.21-5-2487</t>
  </si>
  <si>
    <t>1.12-5-43</t>
  </si>
  <si>
    <t>Итого по разделу: Прокладка кабельных линий</t>
  </si>
  <si>
    <t>Раздел: Оборудование АРМ диспетчера</t>
  </si>
  <si>
    <t>13.1-14-104</t>
  </si>
  <si>
    <t>13.1-14-105</t>
  </si>
  <si>
    <t>Итого по разделу: Оборудование АРМ диспетчера</t>
  </si>
  <si>
    <t>Раздел: Материалы</t>
  </si>
  <si>
    <t>1.12-1-25</t>
  </si>
  <si>
    <t>1.1-1-617</t>
  </si>
  <si>
    <t>1.1-1-8040</t>
  </si>
  <si>
    <t>Итого по разделу: Материалы</t>
  </si>
  <si>
    <t>Автоматическая пожарная сигнализация</t>
  </si>
  <si>
    <r>
      <t>Кабель симметричный парной скрутки низкотоксичный, сеч. 1x2x0,75 типа КПСнг(А)-FRHF</t>
    </r>
    <r>
      <rPr>
        <i/>
        <sz val="10"/>
        <rFont val="Arial"/>
        <family val="2"/>
        <charset val="204"/>
      </rPr>
      <t xml:space="preserve">
2,85 = [34,66 / 1,22 /  10,18] +  2% Заг.скл</t>
    </r>
  </si>
  <si>
    <r>
      <t>Кабель симметричный парной скрутки низкотоксичный, сеч. 1x2x1,5 типа КПСнг(А)-FRHF</t>
    </r>
    <r>
      <rPr>
        <i/>
        <sz val="10"/>
        <rFont val="Arial"/>
        <family val="2"/>
        <charset val="204"/>
      </rPr>
      <t xml:space="preserve">
5,06 = [61,65 / 1,22 /  10,18] +  2% Заг.скл</t>
    </r>
  </si>
  <si>
    <t>Итого по смете:</t>
  </si>
  <si>
    <r>
      <t>4.10-75-9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</si>
  <si>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аппаратуры настенной</t>
  </si>
  <si>
    <r>
      <t>4.10-76-7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</si>
  <si>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громкоговорителя или звуковой колонки в помещении</t>
  </si>
  <si>
    <r>
      <t>4.10-118-12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</si>
  <si>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для трубных проводок коробки оконечной</t>
  </si>
  <si>
    <r>
      <t>4.8-237-17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</si>
  <si>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Кожух металлический для защиты вводов и электрооборудования</t>
  </si>
  <si>
    <t>15,1</t>
  </si>
  <si>
    <t>15,2</t>
  </si>
  <si>
    <t>15,3</t>
  </si>
  <si>
    <t>15,4</t>
  </si>
  <si>
    <t>Коробка ответвительная пластиковая, огнестойкая, 6 вводов для труб и кабеля, крышка с уплотнителем и фиксатором, с керамическими клеммными колодками, 4 контакта, степень защиты IP 55, габаритные размеры без учета кабельных вводов 100х100х50 мм</t>
  </si>
  <si>
    <t>Прокладка по установленным конструкциям, в готовых бороздах по основанию пола стальной трубы диаметром до 40 мм/ гильзы</t>
  </si>
  <si>
    <t>ЛОКАЛЬНАЯ СМЕТА № 02-01-09</t>
  </si>
  <si>
    <t>1 кг</t>
  </si>
  <si>
    <t>1.21-5-2488</t>
  </si>
  <si>
    <t>Объем: 0,03=3/100</t>
  </si>
  <si>
    <t>Система оповещения и управления эвакуацией</t>
  </si>
  <si>
    <r>
      <t>4.11-7-2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</si>
  <si>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аппарата настольного массой до 0,03 т</t>
  </si>
  <si>
    <r>
      <t>4.10-81-4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</si>
  <si>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Извещатели ОС автоматические, контактный, магнито-контактный на открывание окон, дверей</t>
  </si>
  <si>
    <r>
      <t>4.10-81-5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</si>
  <si>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Извещатели ОС автоматические, ударно-контактный, бесконтактный электромагнитный или пьезоэлектрический, устанавливаемый на стекле</t>
  </si>
  <si>
    <r>
      <t>4.10-176-1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</si>
  <si>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контроля датчиков (контроллер)</t>
  </si>
  <si>
    <r>
      <t>4.10-167-1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</si>
  <si>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питания сети (БПС) в диспетчерской</t>
  </si>
  <si>
    <t>ОБОРУДОВАНИЕ:_x000D_
Батарея аккумуляторная, емкость 7 А·ч, напряжение 12 В</t>
  </si>
  <si>
    <r>
      <t>4.10-80-5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</si>
  <si>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Аппараты приемные, приборы ПС приемно-контрольные, пусковые, прибор ПС на 1 луч</t>
  </si>
  <si>
    <r>
      <t>4.8-288-1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</si>
  <si>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</si>
  <si>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40,1</t>
  </si>
  <si>
    <t>Трубы электротехнические, гофрированные, из ПВХ, негорючие, с зондом, наружный диаметр 16 мм</t>
  </si>
  <si>
    <t>40,2</t>
  </si>
  <si>
    <t>40,3</t>
  </si>
  <si>
    <t>Скоба однолапковая стальная оцинкованная, для кабелей диаметром от 16 до 17 мм</t>
  </si>
  <si>
    <r>
      <t>4.8-170-6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</si>
  <si>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в готовых бороздах по основанию пола стальной трубы диаметром до 25 мм /гильза</t>
  </si>
  <si>
    <t>41,1</t>
  </si>
  <si>
    <t>Заготовка для электропроводки из водогазопроводных труб, диаметр условного прохода 20 мм</t>
  </si>
  <si>
    <r>
      <t>4.8-175-9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</si>
  <si>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</si>
  <si>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ЛОКАЛЬНАЯ СМЕТА № 02-01-10</t>
  </si>
  <si>
    <t>Раздел: АРМ СОТС</t>
  </si>
  <si>
    <t>Итого по разделу: АРМ СОТС</t>
  </si>
  <si>
    <t>Раздел: Монтажные работы</t>
  </si>
  <si>
    <t>13.1-2-611</t>
  </si>
  <si>
    <t>13.1-2-588</t>
  </si>
  <si>
    <t>13.1-1-20</t>
  </si>
  <si>
    <t>Итого по разделу: Монтажные работы</t>
  </si>
  <si>
    <t>Раздел: Материалы и кабельные изделия</t>
  </si>
  <si>
    <t>Объем: 3=300/100</t>
  </si>
  <si>
    <t>1.12-5-371</t>
  </si>
  <si>
    <t>1.21-5-1468</t>
  </si>
  <si>
    <t>1.12-1-23</t>
  </si>
  <si>
    <t>Объем: 38=(50+50+3500+500-300)/100</t>
  </si>
  <si>
    <t>Итого по разделу: Материалы и кабельные изделия</t>
  </si>
  <si>
    <t>Система охранно-тревожной сигнализации</t>
  </si>
  <si>
    <r>
      <t>Кабель типа КСВВнг(А)- HF 1х2х0,8</t>
    </r>
    <r>
      <rPr>
        <i/>
        <sz val="10"/>
        <rFont val="Arial"/>
        <family val="2"/>
        <charset val="204"/>
      </rPr>
      <t xml:space="preserve">
2,17 = [26,41 / 1,22 /  10,18] +  2% Заг.скл</t>
    </r>
  </si>
  <si>
    <r>
      <t>4.10-75-1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</si>
  <si>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шкафа или статива (стойки) радиотрансляционных узлов массой до 100 кг</t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</si>
  <si>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</si>
  <si>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съемных и выдвижных блоков (модулей, ячеек, ТЭЗ) массой до 5 кг</t>
  </si>
  <si>
    <r>
      <t>4.8-333-7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</si>
  <si>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розетки штепсельной скрытого типа</t>
  </si>
  <si>
    <t>10,1</t>
  </si>
  <si>
    <t>Розетка радиотрансляционная, скрытой установки, типа РПВ-2</t>
  </si>
  <si>
    <t>Коробка радиотрансляционная, универсальная, для подключения радиотрансляционной сети, типа РОН</t>
  </si>
  <si>
    <r>
      <t>4.10-134-3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</si>
  <si>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металлоконструкций для телевизионных антенн</t>
  </si>
  <si>
    <t>12,1</t>
  </si>
  <si>
    <t>ОБОРУДОВАНИЕ:_x000D_
Мачта для телевизионной антенны, высота не более 6 м, без защелок-натяжителей и проволоки для оттяжек. Максимальное количество устанавливаемых антенн не более 3 шт.</t>
  </si>
  <si>
    <r>
      <t>4.10-134-7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</si>
  <si>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антенны дополнительной для приема ТВ на ранее установленной опоре, с действующими ТВ антеннами</t>
  </si>
  <si>
    <r>
      <t>4.10-134-4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</si>
  <si>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антенны коллективной для приема ТВ на антенной опоре высотой до 9 м с одним ярусом оттяжек</t>
  </si>
  <si>
    <r>
      <t>4.10-136-1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</si>
  <si>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коробки телевизионной (ответвители, разветвители магистральные, домовые, абонентские), УСС, БФТК</t>
  </si>
  <si>
    <t>Разъем телевизионный F для коаксиального кабеля стандарта RG11</t>
  </si>
  <si>
    <t>Коннектор (вилка) телекоммуникационный 8P8C, RJ45, категория 5E</t>
  </si>
  <si>
    <t>25,1</t>
  </si>
  <si>
    <t>25,2</t>
  </si>
  <si>
    <t>Коробка установочная, полиэтиленовая, типа Л256 УЗ, размеры 93х93х60 мм</t>
  </si>
  <si>
    <r>
      <t>4.8-174-1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</si>
  <si>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металлического рукава, наружный диаметр до 48 мм</t>
  </si>
  <si>
    <t>Рукав металлополимерный гибкий герметичный, внутренний слой из оцинкованной стальной ленты, наружный из полимерного материала, категория НГ-LS HF, степень защиты IP 65, диаметр условного прохода 20 мм, для защиты кабеля при прокладке</t>
  </si>
  <si>
    <t>ЛОКАЛЬНАЯ СМЕТА № 02-01-11</t>
  </si>
  <si>
    <t>Раздел: Оборудование</t>
  </si>
  <si>
    <t>Итого по разделу: Оборудование</t>
  </si>
  <si>
    <t>Раздел: Изделия</t>
  </si>
  <si>
    <t>1.14-1-23</t>
  </si>
  <si>
    <t>1.14-1-13</t>
  </si>
  <si>
    <t>1 Т</t>
  </si>
  <si>
    <t>13.1-2-575</t>
  </si>
  <si>
    <t>1.14-1-281</t>
  </si>
  <si>
    <t>1.14-1-283</t>
  </si>
  <si>
    <t>Объем: 4=3+1</t>
  </si>
  <si>
    <t>1.14-1-582</t>
  </si>
  <si>
    <t>Итого по разделу: Изделия</t>
  </si>
  <si>
    <t>Раздел: Кабельные изделия и материалы</t>
  </si>
  <si>
    <t>Объем: 0,15=15/100</t>
  </si>
  <si>
    <t>1.21-5-200</t>
  </si>
  <si>
    <t>Объем: 0,3=30/100</t>
  </si>
  <si>
    <t>1.21-5-1413</t>
  </si>
  <si>
    <t>Объем: 0,35=35/100</t>
  </si>
  <si>
    <t>Объем: 1,1=110/100</t>
  </si>
  <si>
    <t>Итого по разделу: Кабельные изделия и материалы</t>
  </si>
  <si>
    <t>Радиотрансляционная сеть</t>
  </si>
  <si>
    <r>
      <t>ОБОРУДОВАНИЕ:_x000D_
Модуль для приема потокового вещания «Радио Москвы»</t>
    </r>
    <r>
      <rPr>
        <i/>
        <sz val="10"/>
        <rFont val="Arial"/>
        <family val="2"/>
        <charset val="204"/>
      </rPr>
      <t xml:space="preserve">
3 467,44 = [30 600 / 1,22 /  7,54] +  3% Трансп +  1,2% Заг.скл</t>
    </r>
  </si>
  <si>
    <r>
      <t>Кабель витая пара UTP кат. 5е типа КВПнг(А)-HF -5e 4х2х0.52</t>
    </r>
    <r>
      <rPr>
        <i/>
        <sz val="10"/>
        <rFont val="Arial"/>
        <family val="2"/>
        <charset val="204"/>
      </rPr>
      <t xml:space="preserve">
7,76 = [94,56 / 1,22 /  10,18] +  2% Заг.скл</t>
    </r>
  </si>
  <si>
    <r>
      <t>Кабель коаксиальный типа RG-6 РК 75-4,8-331фнг(С)-HF</t>
    </r>
    <r>
      <rPr>
        <i/>
        <sz val="10"/>
        <rFont val="Arial"/>
        <family val="2"/>
        <charset val="204"/>
      </rPr>
      <t xml:space="preserve">
10,60 = [129,08 / 1,22 /  10,18] +  2% Заг.скл</t>
    </r>
  </si>
  <si>
    <r>
      <t>Кабель сопряжения с СОУЭ типа КПСЭнг(А)-FRHF 2х2х0,75</t>
    </r>
    <r>
      <rPr>
        <i/>
        <sz val="10"/>
        <rFont val="Arial"/>
        <family val="2"/>
        <charset val="204"/>
      </rPr>
      <t xml:space="preserve">
5,01 = [61 / 1,22 /  10,18] +  2% Заг.скл</t>
    </r>
  </si>
  <si>
    <r>
      <t>Кабель коаксиальный для объектовой станции типа РК 50-7-37нг( А)-HF</t>
    </r>
    <r>
      <rPr>
        <i/>
        <sz val="10"/>
        <rFont val="Arial"/>
        <family val="2"/>
        <charset val="204"/>
      </rPr>
      <t xml:space="preserve">
13,76 = [167,53 / 1,22 /  10,18] +  2% Заг.скл</t>
    </r>
  </si>
  <si>
    <t>Установка флагодержателей стальных</t>
  </si>
  <si>
    <t>Флагодержатель из листовой стали, для двух флагов, окрашенный, размер 145х300х80 мм</t>
  </si>
  <si>
    <t>Установка номерных табличек с номерами подъезда и квартир / установка домового знака</t>
  </si>
  <si>
    <t>2,1</t>
  </si>
  <si>
    <t>ОБОРУДОВАНИЕ:_x000D_
Табло фасадное, габаритные размеры 300х400 мм. Материал анодированный алюминий</t>
  </si>
  <si>
    <t>Устройство настенных желобов из листовой стали</t>
  </si>
  <si>
    <t>Поковки строительные (скобы, закрепы, хомуты) оцинкованные, масса 1,8 кг</t>
  </si>
  <si>
    <t>3,2</t>
  </si>
  <si>
    <t>Лист стальной, оцинкованный, толщина от 0,55 до 0,65 мм</t>
  </si>
  <si>
    <t>Ограждение кровель перилами</t>
  </si>
  <si>
    <t>Ограждения из прокатных и гнутых профилей полосовой и круглой стали</t>
  </si>
  <si>
    <t>Навеска водосточных труб с вышек съемных монтажных</t>
  </si>
  <si>
    <t>Деталь устройства кровли и водостока по фасаду здания из оцинкованной кровельной стали для водосточных наружных труб, диаметр от 120 до 250 мм, звенья</t>
  </si>
  <si>
    <t>Устройство коньковых флюгарок из оцинкованной стали, толщина 1 мм / продухов</t>
  </si>
  <si>
    <r>
      <t>Кровельный аэратор</t>
    </r>
    <r>
      <rPr>
        <i/>
        <sz val="10"/>
        <rFont val="Arial"/>
        <family val="2"/>
        <charset val="204"/>
      </rPr>
      <t xml:space="preserve">
196,29 = [2 390 / 1,22 /  10,18] +  2% Заг.скл</t>
    </r>
  </si>
  <si>
    <t>Монтаж конструкций дверей и люков</t>
  </si>
  <si>
    <t>Блок дверной металлический противопожарный с заполнением минеральной ватой, остекленный стеклом толщиной 17 мм (0,12 м2), окрашенный порошковой краской, предел огнестойкости EI 30, однопольный, 1100х2100 мм, масса 116,5 кг, с замком-защелкой, без доводчика</t>
  </si>
  <si>
    <t>Установка врезных дверных замков с ручками в готовые гнезда</t>
  </si>
  <si>
    <t>Замок врезной, цилиндровый, с защелкой, фалевыми ручками и с засовом из трех стержней, повышенной пожаростойкости, типа ЗВ4-13П 01.00</t>
  </si>
  <si>
    <t>Установка дверного доводчика или синхронизатора к металлическим дверям</t>
  </si>
  <si>
    <t>Доводчик дверной, универсальный, с механизмом "шестерня-рейка", регулируемый, масса двери до 160 кг</t>
  </si>
  <si>
    <t>Монтаж конструкций дверей и люков / монтаж люка выхода на чердак</t>
  </si>
  <si>
    <t>Люк металлический противопожарный, дымогазонепроницаемый, теплоизолированный плитами на основе базальтового волокна, окрашенный порошковой краской, типа ЛПМ-01/60, 900х1100 мм, масса 60 кг, с замком-защелкой, без доводчика</t>
  </si>
  <si>
    <t>Установка блоков внутренних дверных проемов в перегородках и деревянных нерубленых стенах площадь проема до 3 м2</t>
  </si>
  <si>
    <t>Наличники твердолиственных пород, покрытые нитролаком, сечение 74х13 мм</t>
  </si>
  <si>
    <t>Замок врезной, типа ЗВ4-14</t>
  </si>
  <si>
    <t>Установка решеток на окна массой до 25 кг/м2</t>
  </si>
  <si>
    <t>Решетка оконная, стальная, сварная из горячекатаных профилей</t>
  </si>
  <si>
    <t>Установка подоконных досок из ПВХ в каменных стенах толщиной до 0,51 м</t>
  </si>
  <si>
    <t>29,1</t>
  </si>
  <si>
    <t>Доска подоконная из ПВХ, ламинированная декоративными ПВХ пленками, цвет: белый, мрамор, размеры 20х500х6000 мм</t>
  </si>
  <si>
    <t>29,2</t>
  </si>
  <si>
    <t>Заглушка торцевая двусторонняя к подоконной доске из ПВХ, цвет: белый, мрамор, размеры 40х480 мм объём=(18+1+16+2+2+1+1)*2=82шт</t>
  </si>
  <si>
    <t>Устройство плинтусов поливинилхлоридных на клее КН-2 / монтаж уголка из ПВХ</t>
  </si>
  <si>
    <t>Клей на основе хлоропреновых каучуков, для приклеивания холодным способом вулканизированных резин, в том числе и губчатых, полихлоропрена и других каучуков к металлам, в том числе и окрашенным, стеклу и другим материалам, а также резины к резине</t>
  </si>
  <si>
    <t>30,2</t>
  </si>
  <si>
    <t>Шпонка гидроизоляционная, из ПВХ, симметричная, для деформационных и рабочих швов, ширина 120 мм</t>
  </si>
  <si>
    <t>Устройство перегородок с заделкой стыков водостойкой шпатлевкой для жилых и общественных зданий с обшивкой гипсокартонными листами в два слоя без изоляционной прокладки толщина перегородки 106 мм / зашивка инженерных коммуникаций</t>
  </si>
  <si>
    <t>Лист гипсокартонный влагостойкий с кромкой типа ПЛУК/УК, размер 2500х1200х12,5 мм</t>
  </si>
  <si>
    <t>Герметизация швов герметиком силиконовым</t>
  </si>
  <si>
    <t>Улучшенная окраска водно-дисперсионными составами стен по сборным конструкциям, подготовленным под окраску, внутри помещений</t>
  </si>
  <si>
    <t>Краска водно-дисперсионная акрилатная, паропроницаемая, моющаяся, механизированного и ручного нанесения, для наружных и внутренних работ, для окрашивания штукатурок, бетонных поверхностей, гипсокартонных и цементностружечных плит</t>
  </si>
  <si>
    <t>33,2</t>
  </si>
  <si>
    <t>Грунтовка акрилатная, водно-дисперсионная, с высокой проникающей способностью, паропроницаемая, для всех видов впитывающих оснований, светло-желтая</t>
  </si>
  <si>
    <t>33,3</t>
  </si>
  <si>
    <t>Смесь сухая тонкодисперсная, известково-цементная, шпаклевочная, финишная, механизированного и ручного нанесения, прочность на сжатие 2 МПа, плотность растворной смеси 1400 кг/м3, прочность сцепления с основанием 0,2 МПа</t>
  </si>
  <si>
    <t>Облицовка стен по одинарному металлическому каркасу из потолочного профиля гипсоволокнистыми листами (С 663) одним слоем с оконным проемом / одноэтажной пристройки</t>
  </si>
  <si>
    <t>Лента уплотнительная, полимерная, микропористая, самоклеящаяся, ширина 95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</si>
  <si>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34,2</t>
  </si>
  <si>
    <t>35,3</t>
  </si>
  <si>
    <t>Улучшенная штукатурка поверхностей стен по камню и бетону известковым раствором</t>
  </si>
  <si>
    <t>Вода</t>
  </si>
  <si>
    <t>Смесь сухая штукатурная гипсовая с минеральными модифицирующими добавками, ручного нанесения, для внутренних работ, толщина наносимого слоя от 5 до 50 мм, водоудерживающей способностью свыше 99%, без содержания SiO2, содержание гипсового вяжущего марки не ниже Г5 более 80%, белизна не менее 80%</t>
  </si>
  <si>
    <t>36,3</t>
  </si>
  <si>
    <t>Раствор цементно-известковый, марка М75</t>
  </si>
  <si>
    <t>36,4</t>
  </si>
  <si>
    <t>Раствор известковый, марка М4</t>
  </si>
  <si>
    <t>Облицовка стен внутренних керамическими крупноразмерными плитами типа керамогранит на цементном растворе с затиркой швов фуговочной смесью</t>
  </si>
  <si>
    <t>Клин пластиковый для системы выравнивания плитки</t>
  </si>
  <si>
    <t>Смесь сухая, цементная, фуговочная, для наружных и внутренних работ, В7,5 (М100), F50, крупность заполнителя 0,63 мм, для заполнения швов между плитками из натурального, искусственного камня и керамогранита, цветная</t>
  </si>
  <si>
    <t>37,3</t>
  </si>
  <si>
    <t>Плитка керамическая, типа керамогранит, полированная, универсальная, размер 600х600х10 мм, цвет: зеленый, вишневый, голубой, черный</t>
  </si>
  <si>
    <t>38,1</t>
  </si>
  <si>
    <t>38,2</t>
  </si>
  <si>
    <t>38,3</t>
  </si>
  <si>
    <t>39,1</t>
  </si>
  <si>
    <t>39,2</t>
  </si>
  <si>
    <t>39,3</t>
  </si>
  <si>
    <t>Гладкая облицовка стен (без карнизных, плинтусных и угловых плиток) на клее из сухих смесей по дереву и гипсовым плитам</t>
  </si>
  <si>
    <t>Смесь сухая, цементная, клеевая, для крепления крупноформатного керамогранита, клинкерной плитки, натурального и искусственного камня</t>
  </si>
  <si>
    <t>Гладкая облицовка стен (без карнизных, плинтусных и угловых плиток) на клее из сухих смесей по дереву и гипсовым плитам / "фартука" помещения приёма пищи</t>
  </si>
  <si>
    <t>41,2</t>
  </si>
  <si>
    <t>Смесь сухая, цементно-песчаная, клеевая, высокоадгезионная, для наружных и внутренних работ, В12,5 (М150), F50, крупность заполнителя не более 0,315 мм, для плиточных работ</t>
  </si>
  <si>
    <t>41,3</t>
  </si>
  <si>
    <t>Плитка керамическая, для внутренней облицовки стен, глазурованная, гладкая, одноцветная, размер 200х500х8 мм</t>
  </si>
  <si>
    <t>42,1</t>
  </si>
  <si>
    <t>42,2</t>
  </si>
  <si>
    <t>42,3</t>
  </si>
  <si>
    <t>Облицовка пластиком или листами из синтетических материалов стен по деревянной обрешетке</t>
  </si>
  <si>
    <t>Ограждение лестничных площадок перилами</t>
  </si>
  <si>
    <t>Поручень из древесины твердых лиственных пород (дуб), сечение 70х70 мм</t>
  </si>
  <si>
    <t>Очистка поверхности щетками / чугунного декоративного ограждения</t>
  </si>
  <si>
    <t>Окраска суриком металлических решеток, переплетов, радиаторов, труб диаметром менее 50 мм и т.п. за два раза / покраска ограждения лестниц алкидной краской за 2 раза</t>
  </si>
  <si>
    <t>48,1</t>
  </si>
  <si>
    <t>Краска алкидная, с антикоррозионными пигментами, полуглянцевая/глянцевая, механизированного нанесения, быстросохнущая, сухой остаток по объему/весу 45-47/62-64%, для стальных поверхностей</t>
  </si>
  <si>
    <t>48,2</t>
  </si>
  <si>
    <t>Краска алкидная, с антикоррозионными пигментами, полуматовая, механизированного нанесения, быстросохнущая, сухой остаток по объему/весу 50/64%, для однослойных систем окраски и в качестве грунтовки в алкидных системах</t>
  </si>
  <si>
    <t>Установка металлических ограждений с поручнями из твердолиственных пород</t>
  </si>
  <si>
    <t>49,1</t>
  </si>
  <si>
    <t>49,2</t>
  </si>
  <si>
    <t>49,3</t>
  </si>
  <si>
    <t>Цемент общестроительный ГОСТ 31108-2020, ГОСТ 30515-2013, портландцемент с минеральными добавками, типа ЦЕМ II/А 32,5 (марка 400)</t>
  </si>
  <si>
    <t>Грунтовка акриловая концентрированная универсальная с высокой клеевой и проникающей способностью</t>
  </si>
  <si>
    <t>Устройство покрытий из рулонного линолеума на теплозвукоизолирующей основе / виниловая плитка на клею</t>
  </si>
  <si>
    <t>Клей водно-дисперсионный, винилацетатный, токопроводящий, контактный, для укладки поливинилхлоридных и каучуковых покрытий</t>
  </si>
  <si>
    <t>51,2</t>
  </si>
  <si>
    <t>52,1</t>
  </si>
  <si>
    <t>Устройство полов из плиток керамогранитных на клее из сухих смесей толщиной слоя 5 мм с затиркой швов, площадь одной плитки свыше 0,4 до 0,8 м2</t>
  </si>
  <si>
    <t>53,1</t>
  </si>
  <si>
    <t>53,2</t>
  </si>
  <si>
    <t>53,3</t>
  </si>
  <si>
    <t>53,4</t>
  </si>
  <si>
    <t>53,5</t>
  </si>
  <si>
    <t>Плитка керамогранитная неполированная, размер 600х1200х9 мм</t>
  </si>
  <si>
    <t>Добавлять или исключать на каждый 1 мм толщины клеевого слоя к позициям 3.70-198-4; 3.70-198-5; 3.70-198-6; 3.70-198-7 (толщ.10мм с К=5)</t>
  </si>
  <si>
    <t>1,15*1,2*5</t>
  </si>
  <si>
    <t>1,25*1,2*5</t>
  </si>
  <si>
    <t>54,1</t>
  </si>
  <si>
    <t>к нр 5</t>
  </si>
  <si>
    <t>Устройство стяжек цементных толщиной 20 мм</t>
  </si>
  <si>
    <t>55,1</t>
  </si>
  <si>
    <t>Раствор цементный, марка М150</t>
  </si>
  <si>
    <t>Добавляется или исключается на каждые 5 мм изменения толщины стяжки к позиции 3.70-159-1</t>
  </si>
  <si>
    <t>1,15*1,2*6</t>
  </si>
  <si>
    <t>1,25*1,2*6</t>
  </si>
  <si>
    <t>56,1</t>
  </si>
  <si>
    <t>к нр 6</t>
  </si>
  <si>
    <t>57,2</t>
  </si>
  <si>
    <t>57,3</t>
  </si>
  <si>
    <t>57,4</t>
  </si>
  <si>
    <t>57,5</t>
  </si>
  <si>
    <t>59,1</t>
  </si>
  <si>
    <t>60,1</t>
  </si>
  <si>
    <t>60,2</t>
  </si>
  <si>
    <t>60,3</t>
  </si>
  <si>
    <t>60,4</t>
  </si>
  <si>
    <t>60,5</t>
  </si>
  <si>
    <t>61,1</t>
  </si>
  <si>
    <t>Устройство систем дренажа и гидроизоляции ПВП мембраной, защитная система дренажа полов</t>
  </si>
  <si>
    <t>62,1</t>
  </si>
  <si>
    <t>Мембрана гидро-ветрозащитная, паропроницаемая, толщина не более 0,2 мм</t>
  </si>
  <si>
    <t>Утепление покрытий теплоизоляционными плитами из минеральной ваты насухо в 1 слой</t>
  </si>
  <si>
    <t>63,1</t>
  </si>
  <si>
    <t>Маты теплоизоляционные на основе базальтового волокна без добавления связующих веществ, в обкладке неармированной алюминиевой фольгой с одной стороны, негорючие (НГ), плотность 50 кг/м3, толщина 60 мм</t>
  </si>
  <si>
    <t>Добавлять на каждый последующий слой к позиции 3.70-177-6 / толщ.300мм, толщ. 1 слоя каменной ваты 60мм, до толщ. 300м с К=4</t>
  </si>
  <si>
    <t>1,15*1,2*4</t>
  </si>
  <si>
    <t>1,25*1,2*4</t>
  </si>
  <si>
    <t>64,1</t>
  </si>
  <si>
    <t>65,1</t>
  </si>
  <si>
    <t>66,1</t>
  </si>
  <si>
    <t>Дюбель-гвоздь пластиковый с цилиндрическим бортиком, с оцинкованным шурупом с плоской головкой, шлиц PZ2, диаметр 5 мм, длина 25 мм</t>
  </si>
  <si>
    <t>к нр 2</t>
  </si>
  <si>
    <t>66,2</t>
  </si>
  <si>
    <t>Мастика клеящая каучуковая, типа КН-2</t>
  </si>
  <si>
    <t>66,3</t>
  </si>
  <si>
    <t>Листы гипсоволокнистые влагостойкие ГВЛВ, размеры 1500х1200х10 мм</t>
  </si>
  <si>
    <t>Устройство покрытий из плит древесноволокнистых / 2 слоя с К=2</t>
  </si>
  <si>
    <t>67,1</t>
  </si>
  <si>
    <t>Плита цементно-стружечная, нешлифованная, размер 3600х1200х10 мм</t>
  </si>
  <si>
    <t>67,2</t>
  </si>
  <si>
    <t>Мастика полиизобутиленовая</t>
  </si>
  <si>
    <t>Мембрана гидро-ветрозащитная, паропроницаемая, толщина не более 0,2 мм / мамбрана НГ</t>
  </si>
  <si>
    <t>73,2</t>
  </si>
  <si>
    <t>73,3</t>
  </si>
  <si>
    <t>Устройство покрытий из плит древесноволокнистых / плит ЦСП 2 слоя с К=2</t>
  </si>
  <si>
    <t>76,3</t>
  </si>
  <si>
    <t>76,4</t>
  </si>
  <si>
    <t>76,5</t>
  </si>
  <si>
    <t>79,1</t>
  </si>
  <si>
    <t>80,1</t>
  </si>
  <si>
    <t>80,2</t>
  </si>
  <si>
    <t>80,3</t>
  </si>
  <si>
    <t>80,4</t>
  </si>
  <si>
    <t>80,5</t>
  </si>
  <si>
    <t>81,1</t>
  </si>
  <si>
    <t>83,1</t>
  </si>
  <si>
    <t>Плита тепло- и звукоизоляционная на основе базальтового волокна, жесткая, гидрофобизированная,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</si>
  <si>
    <t>84,1</t>
  </si>
  <si>
    <t>Плита теплоизоляционная на основе базальтового волокна, жесткая, плотность 130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</si>
  <si>
    <t>85,1</t>
  </si>
  <si>
    <t>85,2</t>
  </si>
  <si>
    <t>85,3</t>
  </si>
  <si>
    <t>Устройство покрытий дощатых толщиной 28 мм / ходовых мостиков</t>
  </si>
  <si>
    <t>Доска строганная в четверть, для покрытия пола, из древесины хвойных пород (сосна, ель), толщина от 21 до 35 мм</t>
  </si>
  <si>
    <t>Устройство тепло и звукоизоляции засыпной керамзитовой 400мм 46,2м2*0,4м=18,48м3</t>
  </si>
  <si>
    <t>Проливка подстилающих слоев раствором</t>
  </si>
  <si>
    <t>88,1</t>
  </si>
  <si>
    <t>Молоко цементное</t>
  </si>
  <si>
    <t>Устройство полов из плиток керамогранитных на клее из сухих смесей толщиной слоя 5 мм с затиркой швов, площадь одной плитки свыше 0,3 до 0,4 м2</t>
  </si>
  <si>
    <t>89,2</t>
  </si>
  <si>
    <t>89,3</t>
  </si>
  <si>
    <t>89,4</t>
  </si>
  <si>
    <t>89,5</t>
  </si>
  <si>
    <t>90,1</t>
  </si>
  <si>
    <t>Улучшенная окраска водно-дисперсионными составами потолков по сборным конструкциям, подготовленным под окраску, внутри помещений</t>
  </si>
  <si>
    <t>91,1</t>
  </si>
  <si>
    <t>91,2</t>
  </si>
  <si>
    <t>91,3</t>
  </si>
  <si>
    <t>Смесь сухая шпатлевочная гипсовая финишная с минеральными модифицирующими добавками, для внутренних работ, толщина наносимого слоя от 0,2 до 3 мм, содержание гипсового вяжущего марки не ниже Г5 более 80%, прочность сцепления не менее 0,3 МПа, белизна не менее 80%</t>
  </si>
  <si>
    <t>Устройство потолков: реечных алюминиевых</t>
  </si>
  <si>
    <t>Панель фасадная типа сайдинг из оцинкованной стали с полимерным покрытием для навесных вентилируемых фасадов, толщина 0,5 мм</t>
  </si>
  <si>
    <t>Устройство подвесных потолков из гипсоволокнистых листов (ГВЛ) одноуровневых (П 213)</t>
  </si>
  <si>
    <t>93,1</t>
  </si>
  <si>
    <t>93,2</t>
  </si>
  <si>
    <t>Тяги подвесов из оцинкованной стали для монтажа подвесных потолков, длина 500 мм</t>
  </si>
  <si>
    <t>93,3</t>
  </si>
  <si>
    <t>Устройство дополнительного слоя из гипсокартонных листов (ГКЛ)</t>
  </si>
  <si>
    <t>94,1</t>
  </si>
  <si>
    <t>95,3</t>
  </si>
  <si>
    <t>Устройство плинтусов из плиток керамических</t>
  </si>
  <si>
    <t>Раствор цементный, марка М200</t>
  </si>
  <si>
    <t>Плитка керамогранитная плинтусная, неполированная, размер 600х95х9 мм</t>
  </si>
  <si>
    <t>Устройство плинтусов поливинилхлоридных на клее КН-2</t>
  </si>
  <si>
    <t>97,1</t>
  </si>
  <si>
    <t>97,2</t>
  </si>
  <si>
    <t>Профили декоративные (карнизы, плинтусы) из экструдированного полистирола, белые, размеры более 70 мм</t>
  </si>
  <si>
    <t>ЛОКАЛЬНЫЙ СМЕТНЫЙ РАСЧЕТ № 02-01-01</t>
  </si>
  <si>
    <t>Подраздел: Фасад</t>
  </si>
  <si>
    <t>3.9-66-1</t>
  </si>
  <si>
    <t>1 флагодержатель</t>
  </si>
  <si>
    <t>1.7-8-7</t>
  </si>
  <si>
    <t>3.9-65-3</t>
  </si>
  <si>
    <t>13.3-2-63</t>
  </si>
  <si>
    <t>Итого по подразделу: Фасад</t>
  </si>
  <si>
    <t>Подраздел: Кровля</t>
  </si>
  <si>
    <t>6.58-18-2</t>
  </si>
  <si>
    <t>Объем: 0,583=58,3/100</t>
  </si>
  <si>
    <t>1.1-1-925</t>
  </si>
  <si>
    <t>1.1-1-1086</t>
  </si>
  <si>
    <t>3.12-16-1</t>
  </si>
  <si>
    <t>100 м ограждения</t>
  </si>
  <si>
    <t>Объем: 0,81=81/100</t>
  </si>
  <si>
    <t>1.6-1-218</t>
  </si>
  <si>
    <t>6.58-19-2</t>
  </si>
  <si>
    <t>Объем: 0,596=59,6/100</t>
  </si>
  <si>
    <t>1.7-1-2</t>
  </si>
  <si>
    <t>6.58-29-1</t>
  </si>
  <si>
    <t>Итого по подразделу: Кровля</t>
  </si>
  <si>
    <t>Подраздел: Наружные двери</t>
  </si>
  <si>
    <t>3.9-36-1</t>
  </si>
  <si>
    <t>1 т конструкций</t>
  </si>
  <si>
    <t>Объем: 0,1733=0,052+0,1213</t>
  </si>
  <si>
    <t>1.7-2-93</t>
  </si>
  <si>
    <t>1.7-2-132</t>
  </si>
  <si>
    <t>3.10-79-1</t>
  </si>
  <si>
    <t>Объем: 0,2=2/10</t>
  </si>
  <si>
    <t>1.8-3-17</t>
  </si>
  <si>
    <t>3.9-90-1</t>
  </si>
  <si>
    <t>1.8-1-83</t>
  </si>
  <si>
    <t>1.7-2-141</t>
  </si>
  <si>
    <t>Итого по подразделу: Наружные двери</t>
  </si>
  <si>
    <t>Подраздел: Двери внутренние. деревянные с врезными замками</t>
  </si>
  <si>
    <t>3.70-82-3</t>
  </si>
  <si>
    <t>100 м2 проемов</t>
  </si>
  <si>
    <t>Объем: 1,3419=(8*2,1*5+0,9*2,1+1*2,1*23)/100</t>
  </si>
  <si>
    <t>1.9-12-52</t>
  </si>
  <si>
    <t>1.9-7-13</t>
  </si>
  <si>
    <t>Объем: 8,4=0,8*2,1*5</t>
  </si>
  <si>
    <t>1.9-7-21</t>
  </si>
  <si>
    <t>Объем: 1,89=0,9*2,1</t>
  </si>
  <si>
    <t>1.9-7-32</t>
  </si>
  <si>
    <t>Объем: 48,3=1*2,1*23</t>
  </si>
  <si>
    <t>3.70-92-1</t>
  </si>
  <si>
    <t>Объем: 2,9=(5+1+23)/10</t>
  </si>
  <si>
    <t>1.8-3-8</t>
  </si>
  <si>
    <t>Итого по подразделу: Двери внутренние. деревянные с врезными замками</t>
  </si>
  <si>
    <t>Подраздел: Двери внутренние метеллические огнестойкие с доводчиками и врезными замками</t>
  </si>
  <si>
    <t>3.70-35-1</t>
  </si>
  <si>
    <t>Объем: 0,579=0,096+0,146+0,127+0,105*2</t>
  </si>
  <si>
    <t>1.7-2-118</t>
  </si>
  <si>
    <t>Объем: 0,096=96/1000</t>
  </si>
  <si>
    <t>1.7-2-119</t>
  </si>
  <si>
    <t>Объем: 0,21=105*2/1000</t>
  </si>
  <si>
    <t>1.7-2-126</t>
  </si>
  <si>
    <t>1.7-2-124</t>
  </si>
  <si>
    <t>Объем: 0,5=(5)/10</t>
  </si>
  <si>
    <t>3.70-434-1</t>
  </si>
  <si>
    <t>Итого по подразделу: Двери внутренние метеллические огнестойкие с доводчиками и врезными замками</t>
  </si>
  <si>
    <t>Итого по разделу: Наружные работы</t>
  </si>
  <si>
    <t>Раздел: Окна</t>
  </si>
  <si>
    <t>3.70-47-1</t>
  </si>
  <si>
    <t>1.7-2-41</t>
  </si>
  <si>
    <t>Объем: 36,0468=1,02*1,86*19</t>
  </si>
  <si>
    <t>3.70-114-1</t>
  </si>
  <si>
    <t>Объем: 0,603333333=(36,2/0,6)/100</t>
  </si>
  <si>
    <t>1.9-12-116</t>
  </si>
  <si>
    <t>1.9-12-112</t>
  </si>
  <si>
    <t>Итого по разделу: Окна</t>
  </si>
  <si>
    <t>Раздел: Монтаж перегородок 1-2 этажей</t>
  </si>
  <si>
    <t>3.70-207-1</t>
  </si>
  <si>
    <t>100 м плинтусов</t>
  </si>
  <si>
    <t>Объем: 0,274=27,4/100</t>
  </si>
  <si>
    <t>1.1-1-399</t>
  </si>
  <si>
    <t>1.1-1-3553</t>
  </si>
  <si>
    <t>3.70-108-3</t>
  </si>
  <si>
    <t>100 м2 перегородок</t>
  </si>
  <si>
    <t>Объем: 0,123=12,3/100</t>
  </si>
  <si>
    <t>1.1-1-4067</t>
  </si>
  <si>
    <t>3.17-13-1</t>
  </si>
  <si>
    <t>Объем: 0,096=9,6/100</t>
  </si>
  <si>
    <t>Итого по разделу: Монтаж перегородок 1-2 этажей</t>
  </si>
  <si>
    <t>Раздел: Отделка стен и перегородок 1 и 2 этажей</t>
  </si>
  <si>
    <t>3.70-300-7</t>
  </si>
  <si>
    <t>Объем: 4,258=425,8/100</t>
  </si>
  <si>
    <t>1.1-1-2843</t>
  </si>
  <si>
    <t>1.1-1-3108</t>
  </si>
  <si>
    <t>1.3-2-243</t>
  </si>
  <si>
    <t>3.70-133-1</t>
  </si>
  <si>
    <t>Объем: 0,19=19/100</t>
  </si>
  <si>
    <t>1.1-1-3721</t>
  </si>
  <si>
    <t>3.70-264-5</t>
  </si>
  <si>
    <t>100 м2 оштукатуриваемой поверхности</t>
  </si>
  <si>
    <t>Объем: 0,8=80/100</t>
  </si>
  <si>
    <t>1.1-1-118</t>
  </si>
  <si>
    <t>м3</t>
  </si>
  <si>
    <t>1.3-2-221</t>
  </si>
  <si>
    <t>1.3-2-13</t>
  </si>
  <si>
    <t>1.3-2-15</t>
  </si>
  <si>
    <t>3.70-229-2</t>
  </si>
  <si>
    <t>Объем: 0,18=18/100</t>
  </si>
  <si>
    <t>1.1-1-8209</t>
  </si>
  <si>
    <t>1.3-2-50</t>
  </si>
  <si>
    <t>1.1-1-2401</t>
  </si>
  <si>
    <t>Объем: 0,12=12/100</t>
  </si>
  <si>
    <t>3.70-224-2</t>
  </si>
  <si>
    <t>Объем: 0,44=44/100</t>
  </si>
  <si>
    <t>1.3-2-136</t>
  </si>
  <si>
    <t>Объем: 0,032=3,2/100</t>
  </si>
  <si>
    <t>1.3-2-36</t>
  </si>
  <si>
    <t>1.1-1-4102</t>
  </si>
  <si>
    <t>Объем: 7,2389=723,89/100</t>
  </si>
  <si>
    <t>3.70-248-1</t>
  </si>
  <si>
    <t>100 м2 облицовки</t>
  </si>
  <si>
    <t>Объем: 3,396=339,6/100</t>
  </si>
  <si>
    <t>Объем: 344,3544=3,396*101,4</t>
  </si>
  <si>
    <t>Итого по разделу: Отделка стен и перегородок 1 и 2 этажей</t>
  </si>
  <si>
    <t>Раздел: Ограждения лестниц</t>
  </si>
  <si>
    <t>3.10-66-1</t>
  </si>
  <si>
    <t>100 м перил</t>
  </si>
  <si>
    <t>Объем: 0,113=11,3/100</t>
  </si>
  <si>
    <t>1.9-12-120</t>
  </si>
  <si>
    <t>Объем: 11,526=11,3*1,02</t>
  </si>
  <si>
    <t>3.70-390-1</t>
  </si>
  <si>
    <t>1 м2</t>
  </si>
  <si>
    <t>3.70-310-4</t>
  </si>
  <si>
    <t>100 м2 окрашиваемой поверхности</t>
  </si>
  <si>
    <t>Объем: 0,102=10,2/100</t>
  </si>
  <si>
    <t>1.1-1-3191</t>
  </si>
  <si>
    <t>1.1-1-3190</t>
  </si>
  <si>
    <t>3.70-27-1</t>
  </si>
  <si>
    <t>100 м ограждений</t>
  </si>
  <si>
    <t>Объем: 0,139=13,9/100</t>
  </si>
  <si>
    <t>1.1-1-1328</t>
  </si>
  <si>
    <t>Итого по разделу: Ограждения лестниц</t>
  </si>
  <si>
    <t>Раздел: Монтаж полов 1-го этажа</t>
  </si>
  <si>
    <t>Подраздел: Пол Тип 1</t>
  </si>
  <si>
    <t>3.70-299-1</t>
  </si>
  <si>
    <t>Объем: 0,468=46,8/100</t>
  </si>
  <si>
    <t>1.1-1-3552</t>
  </si>
  <si>
    <t>3.70-202-1</t>
  </si>
  <si>
    <t>100 м2 покрытия</t>
  </si>
  <si>
    <t>1.1-1-3260</t>
  </si>
  <si>
    <t>1.1-1-8325</t>
  </si>
  <si>
    <t>Итого по подразделу: Пол Тип 1</t>
  </si>
  <si>
    <t>Подраздел: Пол Тип 2</t>
  </si>
  <si>
    <t>Объем: 0,522=52,2/100</t>
  </si>
  <si>
    <t>3.70-198-7</t>
  </si>
  <si>
    <t>1.1-1-8279</t>
  </si>
  <si>
    <t>3.70-198-8</t>
  </si>
  <si>
    <t>Итого по подразделу: Пол Тип 2</t>
  </si>
  <si>
    <t>Подраздел: Пол Тип 3</t>
  </si>
  <si>
    <t>3.70-159-1</t>
  </si>
  <si>
    <t>100 м2 стяжки</t>
  </si>
  <si>
    <t>Объем: 0,314=31,4/100</t>
  </si>
  <si>
    <t>1.3-2-6</t>
  </si>
  <si>
    <t>3.70-159-2</t>
  </si>
  <si>
    <t>Итого по подразделу: Пол Тип 3</t>
  </si>
  <si>
    <t>Подраздел: Тип 4</t>
  </si>
  <si>
    <t>Объем: 0,225=22,5/100</t>
  </si>
  <si>
    <t>Итого по подразделу: Тип 4</t>
  </si>
  <si>
    <t>Итого по разделу: Монтаж полов 1-го этажа</t>
  </si>
  <si>
    <t>Раздел: Монтаж полов 2-го этажа</t>
  </si>
  <si>
    <t>3.70-4-1</t>
  </si>
  <si>
    <t>Объем: 2,037=203,7/100</t>
  </si>
  <si>
    <t>1.1-1-2134</t>
  </si>
  <si>
    <t>3.70-177-6</t>
  </si>
  <si>
    <t>100 м2 утепляемого покрытия</t>
  </si>
  <si>
    <t>1.1-1-8291</t>
  </si>
  <si>
    <t>3.70-177-7</t>
  </si>
  <si>
    <t>3.70-164-1</t>
  </si>
  <si>
    <t>1.1-1-3728</t>
  </si>
  <si>
    <t>1.1-1-394</t>
  </si>
  <si>
    <t>1.1-1-3760</t>
  </si>
  <si>
    <t>3.70-196-2</t>
  </si>
  <si>
    <t>1.9-14-1</t>
  </si>
  <si>
    <t>1.1-1-1601</t>
  </si>
  <si>
    <t>Объем: 0,312=31,2/100</t>
  </si>
  <si>
    <t>Объем: 0,587=58,7/100</t>
  </si>
  <si>
    <t>Итого по разделу: Монтаж полов 2-го этажа</t>
  </si>
  <si>
    <t>Раздел: Монтаж перекрытия над 2-м этажом</t>
  </si>
  <si>
    <t>Объем: 3,2=320/100</t>
  </si>
  <si>
    <t>Объем: 3,073=307,3/100</t>
  </si>
  <si>
    <t>1.1-1-2922</t>
  </si>
  <si>
    <t>1.1-1-2925</t>
  </si>
  <si>
    <t>Объем: 3,202=320,2/100</t>
  </si>
  <si>
    <t>3.70-194-1</t>
  </si>
  <si>
    <t>1.9-12-10</t>
  </si>
  <si>
    <t>Итого по разделу: Монтаж перекрытия над 2-м этажом</t>
  </si>
  <si>
    <t>Раздел: Монтаж полов пристройки</t>
  </si>
  <si>
    <t>3.70-174-2</t>
  </si>
  <si>
    <t>1 м3 изоляции</t>
  </si>
  <si>
    <t>3.70-156-1</t>
  </si>
  <si>
    <t>1.3-2-181</t>
  </si>
  <si>
    <t>3.70-198-6</t>
  </si>
  <si>
    <t>Объем: 0,049=4,9/100</t>
  </si>
  <si>
    <t>Итого по разделу: Монтаж полов пристройки</t>
  </si>
  <si>
    <t>Раздел: Монтаж потолков 1го и 2го этажей</t>
  </si>
  <si>
    <t>3.70-300-8</t>
  </si>
  <si>
    <t>Объем: 4,029=402,9/100</t>
  </si>
  <si>
    <t>1.3-2-224</t>
  </si>
  <si>
    <t>3.70-257-1</t>
  </si>
  <si>
    <t>Объем: 0,112=11,2/100</t>
  </si>
  <si>
    <t>1.7-1-91</t>
  </si>
  <si>
    <t>Итого по разделу: Монтаж потолков 1го и 2го этажей</t>
  </si>
  <si>
    <t>Раздел: Монтаж потолков пристройки</t>
  </si>
  <si>
    <t>3.70-136-2</t>
  </si>
  <si>
    <t>100 м2 потолка</t>
  </si>
  <si>
    <t>1.7-4-39</t>
  </si>
  <si>
    <t>3.70-447-1</t>
  </si>
  <si>
    <t>Итого по разделу: Монтаж потолков пристройки</t>
  </si>
  <si>
    <t>Раздел: Плинтусы</t>
  </si>
  <si>
    <t>3.70-206-4</t>
  </si>
  <si>
    <t>Объем: 2,42=242/100</t>
  </si>
  <si>
    <t>1.3-2-7</t>
  </si>
  <si>
    <t>1.1-1-8280</t>
  </si>
  <si>
    <t>Объем: 2,78=278/100</t>
  </si>
  <si>
    <t>1.1-1-3498</t>
  </si>
  <si>
    <t>Итого по разделу: Плинтусы</t>
  </si>
  <si>
    <t>Архитектурные решения</t>
  </si>
  <si>
    <t>Блок дверной, деревянный, внутренний, однопольный, глухой, со сплошным заполнением щита, облицованный шпоном строганным твердолиственной и ценной породы, с петлями, ручками, врезной защелкой, размер дверного проема 2070х810 мм, площадь 1,59 м2 / 800х2100</t>
  </si>
  <si>
    <t>Блок дверной, деревянный, внутренний, однопольный, глухой, со сплошным заполнением щита, облицованные шпоном строганным твердолиственных и ценных пород, с петлями, ручками, врезной защелкой, размер дверного проема 2070х910 мм, площадь 1,8 м2 / 900*2100</t>
  </si>
  <si>
    <t>Блок дверной деревянный, внутренний, однопольный, глухой, со сплошным заполнением щита, облицованный шпоном строганным твердолиственных и ценных пород, с петлями, ручками, врезной защелкой, размер дверного проема 2070х1010 мм, площадь 2,01 м2 / 1000х2100</t>
  </si>
  <si>
    <t>Плитка керамическая, типа керамогранит, полированная, универсальная, размер 600х600х10 мм, цвет: зеленый, вишневый, голубой, черный /  600х1200</t>
  </si>
  <si>
    <t>Плитка керамическая, типа керамогранит, полированная, универсальная, размер 600х600х10 мм, цвет: зеленый, вишневый, голубой, черный /800х1600</t>
  </si>
  <si>
    <t>Обработка поверхностей стен грунтовкой глубокого проникновения внутри помещения / полов</t>
  </si>
  <si>
    <t>Плитка напольная из ПВХ, высокой износостойкости, толщина 2,2 мм, защитный слой 0,45 мм, габаритные размеры 500х500 мм / 600х600</t>
  </si>
  <si>
    <t>Обработка поверхностей стен грунтовкой глубокого проникновения внутри помещения /полов</t>
  </si>
  <si>
    <t>Устройство тепло - и звукоизоляции пола из фанеры / ГВЛ в 2 слоя с К=2</t>
  </si>
  <si>
    <t>Устройство тепло - и звукоизоляции пола из фанеры /  ГВЛ в 2 слоя с К=2</t>
  </si>
  <si>
    <t>Обработка поверхностей стен грунтовкой глубокого проникновения внутри помещения /  полов</t>
  </si>
  <si>
    <t>1,2*0,3</t>
  </si>
  <si>
    <t>Демонтаж электропроводки скрытой</t>
  </si>
  <si>
    <t>Разборка трубопроводов из водогазопроводных труб диаметром до 25 мм</t>
  </si>
  <si>
    <t>Разборка трубопроводов из чугунных канализационных труб диаметром до 100 мм</t>
  </si>
  <si>
    <t>Демонтаж задвижки фланцевой диаметром 100 мм</t>
  </si>
  <si>
    <t>6.67-4-1</t>
  </si>
  <si>
    <t>Объем: 3,92=392/100</t>
  </si>
  <si>
    <t>6.65-1-1</t>
  </si>
  <si>
    <t>6.65-2-2</t>
  </si>
  <si>
    <t>Объем: 0,3327=33,27/100</t>
  </si>
  <si>
    <t>6.65-3-4</t>
  </si>
  <si>
    <t>Демонтажные работы</t>
  </si>
  <si>
    <t xml:space="preserve">Раздел: Водоснабжение и водоотведение </t>
  </si>
  <si>
    <t xml:space="preserve">Итого по разделу: Водоснабжение и водоотведение </t>
  </si>
  <si>
    <t xml:space="preserve">Итого по разделу: Электроснабжение </t>
  </si>
  <si>
    <t xml:space="preserve">Раздел: Электроснабжение </t>
  </si>
  <si>
    <r>
      <t>4.10-136-5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</si>
  <si>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базового блока головной станции настенного типа</t>
  </si>
  <si>
    <r>
      <t>4.10-136-3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</si>
  <si>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антенного ТВ усилителя на мачте (без измерений) без повала мачты</t>
  </si>
  <si>
    <r>
      <t>4.11-13-47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</si>
  <si>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разъема штепсельного с разделкой и включением радиочастотного коаксиального кабеля диаметром оболочки до 6 мм</t>
  </si>
  <si>
    <t>10,2</t>
  </si>
  <si>
    <t>Разъем телевизионный F для коаксиального кабеля стандарта RG6</t>
  </si>
  <si>
    <t>10,3</t>
  </si>
  <si>
    <t>Заглушка коаксиальной линии, номинальное волновое сопротивление 75 Ом, с емкостной развязкой, разъем типа F</t>
  </si>
  <si>
    <r>
      <t>ТВ розетка, оконечная 1Дб</t>
    </r>
    <r>
      <rPr>
        <i/>
        <sz val="10"/>
        <rFont val="Arial"/>
        <family val="2"/>
        <charset val="204"/>
      </rPr>
      <t xml:space="preserve">
47,80 = [582 / 1,22 /  10,18] +  2% Заг.скл</t>
    </r>
  </si>
  <si>
    <t>17,1</t>
  </si>
  <si>
    <t>17,2</t>
  </si>
  <si>
    <t>Держатель пластиковый с защелкой для крепления труб, рукавов и гибких вводов диаметром 20 мм</t>
  </si>
  <si>
    <t>Рукав металлический, типа РЗ-ЦХ, из стальной оцинкованной ленты, негерметичный, с уплотнением хлопчатобумажной нитью, условный диаметр 20 мм</t>
  </si>
  <si>
    <t>ЛОКАЛЬНАЯ СМЕТА № 02-01-12</t>
  </si>
  <si>
    <t>1.14-1-249</t>
  </si>
  <si>
    <t>Объем: 64=20+15+29</t>
  </si>
  <si>
    <t>1.14-1-280</t>
  </si>
  <si>
    <t>1.14-1-219</t>
  </si>
  <si>
    <t>Объем: 0,48=48/100</t>
  </si>
  <si>
    <t>1.21-5-1136</t>
  </si>
  <si>
    <t>1.21-5-435</t>
  </si>
  <si>
    <t>Система кабельного телевидения</t>
  </si>
  <si>
    <r>
      <t xml:space="preserve">Коробка установочная </t>
    </r>
    <r>
      <rPr>
        <i/>
        <sz val="10"/>
        <rFont val="Arial"/>
        <family val="2"/>
        <charset val="204"/>
      </rPr>
      <t xml:space="preserve">
0,69 = [8,45 / 1,22 /  10,18] +  2% Заг.скл</t>
    </r>
  </si>
  <si>
    <r>
      <t>Кабель коаксиальный типа  RG-11 РК 75-7-327нг(А)-HF</t>
    </r>
    <r>
      <rPr>
        <i/>
        <sz val="10"/>
        <rFont val="Arial"/>
        <family val="2"/>
        <charset val="204"/>
      </rPr>
      <t xml:space="preserve">
12,44 = [151,57 / 1,22 /  10,18] +  2% Заг.скл</t>
    </r>
  </si>
  <si>
    <r>
      <t>Кабель коаксиальный типа RG-6 РК 75-3,7-319 нг(А)-HF</t>
    </r>
    <r>
      <rPr>
        <i/>
        <sz val="10"/>
        <rFont val="Arial"/>
        <family val="2"/>
        <charset val="204"/>
      </rPr>
      <t xml:space="preserve">
8,79 = [107 / 1,22 /  10,18] +  2% Заг.скл</t>
    </r>
  </si>
  <si>
    <r>
      <t>4.10-32-1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</si>
  <si>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стойки, полустойки, каркаса стойки или шкафа массой до 100 кг</t>
  </si>
  <si>
    <r>
      <t>4.10-1-13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</si>
  <si>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рамки со штифтами на винтах и гайках с шайбами</t>
  </si>
  <si>
    <r>
      <t>4.10-1-12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</si>
  <si>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рамки со штифтами на винтах в нарезных отверстиях</t>
  </si>
  <si>
    <r>
      <t>Полка стационарная регулируемая 1U до 50кг,370мм, для 600мм</t>
    </r>
    <r>
      <rPr>
        <i/>
        <sz val="10"/>
        <rFont val="Arial"/>
        <family val="2"/>
        <charset val="204"/>
      </rPr>
      <t xml:space="preserve">
315,68 = [3 843,7 / 1,22 /  10,18] +  2% Заг.скл</t>
    </r>
  </si>
  <si>
    <r>
      <t>4.10-181-7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</si>
  <si>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оптического кросса с учетом измерений на волоконно-оптическом кабеле с числом волокон: 16</t>
  </si>
  <si>
    <r>
      <t>4.8-332-1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</si>
  <si>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установочной коробки скрытого типа</t>
  </si>
  <si>
    <t>Коробка, типа КУВ-1М УХЛЗ, для установки выключателей, переключателей и штепсельных розеток при скрытой электропроводке</t>
  </si>
  <si>
    <r>
      <t>Фальш-панель 1U</t>
    </r>
    <r>
      <rPr>
        <i/>
        <sz val="10"/>
        <rFont val="Arial"/>
        <family val="2"/>
        <charset val="204"/>
      </rPr>
      <t xml:space="preserve">
30,30 = [369 / 1,22 /  10,18] +  2% Заг.скл</t>
    </r>
  </si>
  <si>
    <r>
      <t>4.10-34-5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</si>
  <si>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коммутатора служебной связи</t>
  </si>
  <si>
    <r>
      <t>4.10-142-4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</si>
  <si>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и настройка электронных АТС типа Миником DX-500, станция с количеством номеров до 500, монтаж кросса</t>
  </si>
  <si>
    <r>
      <t>4.10-21-1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</si>
  <si>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телефонного аппарата настольного системы ЦБ или АТС</t>
  </si>
  <si>
    <r>
      <t>4.10-27-4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</si>
  <si>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и включение перемычки кабельной между секциями одного статива без укладки в кабельном канале</t>
  </si>
  <si>
    <r>
      <t>4.8-172-1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</si>
  <si>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по стенам и колоннам с креплением скобами винипластовой трубы диаметром до 25 мм</t>
  </si>
  <si>
    <t>43,1</t>
  </si>
  <si>
    <t>43,2</t>
  </si>
  <si>
    <t>Держатель пластиковый с защелкой для крепления труб, рукавов и гибких вводов диаметром 25 мм</t>
  </si>
  <si>
    <t>44,1</t>
  </si>
  <si>
    <t>Лоток кабельный замковый стальной, оцинкованный, перфорированный, без крышки, толщина стали 0,7 мм, размер 3000х200х100 мм</t>
  </si>
  <si>
    <t>44,2</t>
  </si>
  <si>
    <t>Лоток кабельный замковый стальной, оцинкованный, перфорированный, без крышки, толщина стали 1,0 мм, размер 3000х400х100 мм</t>
  </si>
  <si>
    <r>
      <t>4.8-172-2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</si>
  <si>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по стенам и колоннам с креплением скобами винипластовой трубы диаметром до 50 мм</t>
  </si>
  <si>
    <t>Трубы из непластифицированного вторичного ПВХ, гладкие, самозатухающие, усиленного типа, наружный диаметр 32 мм, толщина стенки 1,8 мм, для электропроводок</t>
  </si>
  <si>
    <r>
      <t>4.8-172-4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</si>
  <si>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установленным конструкциям, по потолкам с креплением винипластовой трубы диаметром до 50 мм</t>
  </si>
  <si>
    <t>Трубы из непластифицированного вторичного ПВХ, гладкие, самозатухающие, усиленного типа, наружный диаметр 50 мм, толщина стенки 2,4 мм, для электропроводок</t>
  </si>
  <si>
    <r>
      <t>4.8-328-1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</si>
  <si>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</si>
  <si>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ЛОКАЛЬНАЯ СМЕТА № 02-01-13</t>
  </si>
  <si>
    <t>1 рамка</t>
  </si>
  <si>
    <t>КОМПЛ</t>
  </si>
  <si>
    <t>Раздел: Источники электропитания</t>
  </si>
  <si>
    <t>Итого по разделу: Источники электропитания</t>
  </si>
  <si>
    <t>Объем: 0,76=(22+54)/100</t>
  </si>
  <si>
    <t>Объем: 1,3=130/100</t>
  </si>
  <si>
    <t>1.21-5-192</t>
  </si>
  <si>
    <t>100 номеров</t>
  </si>
  <si>
    <t>100 перемычек</t>
  </si>
  <si>
    <t>Объем: 5,8=580/100</t>
  </si>
  <si>
    <t>1.21-5-1725</t>
  </si>
  <si>
    <t>1.21-5-1731</t>
  </si>
  <si>
    <t>1.12-5-44</t>
  </si>
  <si>
    <t>1.12-5-46</t>
  </si>
  <si>
    <t>Объем: 42,9=4290/100</t>
  </si>
  <si>
    <t>Структурированная кабельная сеть</t>
  </si>
  <si>
    <t>Раздел: Кабель, трубы и фасонные изделия</t>
  </si>
  <si>
    <r>
      <t xml:space="preserve">Соединитель проволочного лотка перфорированный 30х250 </t>
    </r>
    <r>
      <rPr>
        <i/>
        <sz val="10"/>
        <rFont val="Arial"/>
        <family val="2"/>
        <charset val="204"/>
      </rPr>
      <t xml:space="preserve">
18,32 = [223 / 1,22 /  10,18] +  2% Заг.скл</t>
    </r>
  </si>
  <si>
    <r>
      <t>Кабель "витая пара" негорючий с низким выделением газа,дыма типа U\UTPнг(А)-HF-4х2х0,52cat.5e</t>
    </r>
    <r>
      <rPr>
        <i/>
        <sz val="10"/>
        <rFont val="Arial"/>
        <family val="2"/>
        <charset val="204"/>
      </rPr>
      <t xml:space="preserve">
5,31 = [64,72 / 1,22 /  10,18] +  2% Заг.скл</t>
    </r>
  </si>
  <si>
    <t>Итого по разделу: Кабель, трубы и фасонные изделия</t>
  </si>
  <si>
    <r>
      <t>4.10-174-2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</si>
  <si>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наружной камеры видеонаблюдения</t>
  </si>
  <si>
    <r>
      <t>4.10-174-1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</si>
  <si>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внутренней камеры видеонаблюдения</t>
  </si>
  <si>
    <r>
      <t>4.10-72-14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</si>
  <si>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устройства цифровой регистрации</t>
  </si>
  <si>
    <r>
      <t>4.10-32-4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</si>
  <si>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платы дополнительной, устанавливаемой на готовом месте стойки</t>
  </si>
  <si>
    <r>
      <t>4.10-186-5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</si>
  <si>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</si>
  <si>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r>
      <t>4.8-280-2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</si>
  <si>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Кабель-канал, размер 10х15 мм/10х12мм</t>
  </si>
  <si>
    <r>
      <t>4.8-162-1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</si>
  <si>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в коробах провода сечением до 6 мм2</t>
  </si>
  <si>
    <t>ЛОКАЛЬНАЯ СМЕТА № 02-01-14</t>
  </si>
  <si>
    <t>Объем: 1,7=17/10</t>
  </si>
  <si>
    <t>1 устройство</t>
  </si>
  <si>
    <t>Объем: 2=1+1</t>
  </si>
  <si>
    <t>Объем: 0,27=27/100</t>
  </si>
  <si>
    <t>Раздел: Кабельные изделия</t>
  </si>
  <si>
    <t>Объем: 10=1000/100</t>
  </si>
  <si>
    <t>1.1-1-1962</t>
  </si>
  <si>
    <t>Итого по разделу: Кабельные изделия</t>
  </si>
  <si>
    <t>Раздел: Телекамукационный шкаф СОТ</t>
  </si>
  <si>
    <t>Итого по разделу: Телекамукационный шкаф СОТ</t>
  </si>
  <si>
    <t>Система охранного теленаблюдения</t>
  </si>
  <si>
    <r>
      <t>ОБОРУДОВАНИЕ:
Цилиндрическая IP-видеокамера с фиксированным объективом IP 4 Мп; размер матрицы 1/2.9"; встроенный микрофон; Дальность ИК подсветки 80м; режим "день/ночь"; PoE 7 Вт; -40 ~ +60°C, (2/8-12)</t>
    </r>
    <r>
      <rPr>
        <i/>
        <sz val="10"/>
        <rFont val="Arial"/>
        <family val="2"/>
        <charset val="204"/>
      </rPr>
      <t xml:space="preserve">
1 236,60 = [10 913 / 1,22 /  7,54] +  3% Трансп +  1,2% Заг.скл</t>
    </r>
  </si>
  <si>
    <r>
      <t xml:space="preserve">ОБОРУДОВАНИЕ:
Коммутатор сетевой </t>
    </r>
    <r>
      <rPr>
        <i/>
        <sz val="10"/>
        <rFont val="Arial"/>
        <family val="2"/>
        <charset val="204"/>
      </rPr>
      <t xml:space="preserve">
4 798,88 = [42 350 / 1,22 /  7,54] +  3% Трансп +  1,2% Заг.скл</t>
    </r>
  </si>
  <si>
    <r>
      <t>ОБОРУДОВАНИЕ:
Универсальный корпус 19"</t>
    </r>
    <r>
      <rPr>
        <i/>
        <sz val="10"/>
        <rFont val="Arial"/>
        <family val="2"/>
        <charset val="204"/>
      </rPr>
      <t xml:space="preserve">
363,07 = [3 204 / 1,22 /  7,54] +  3% Трансп +  1,2% Заг.скл</t>
    </r>
  </si>
  <si>
    <r>
      <t>Mонтажная коробка для цилиндрических камер на стену, white</t>
    </r>
    <r>
      <rPr>
        <i/>
        <sz val="10"/>
        <rFont val="Arial"/>
        <family val="2"/>
        <charset val="204"/>
      </rPr>
      <t xml:space="preserve">
231,11 = [2 814 / 1,22 /  10,18] +  2% Заг.скл</t>
    </r>
  </si>
  <si>
    <t>Демонтаж щитка осветительного, устанавливаемого на стене распорными дюбелями, масса щитка до 6 кг / демонтаж</t>
  </si>
  <si>
    <r>
      <t>ОБОРУДОВАНИЕ:
Вентиляторный модуль 19", 4 вентилятора серый</t>
    </r>
    <r>
      <rPr>
        <i/>
        <sz val="10"/>
        <rFont val="Arial"/>
        <family val="2"/>
        <charset val="204"/>
      </rPr>
      <t xml:space="preserve">
1 681,48 = [14 839 / 1,22 /  7,54] +  3% Трансп +  1,2% Заг.скл</t>
    </r>
  </si>
  <si>
    <r>
      <t xml:space="preserve">ОБОРУДОВАНИЕ:
Органайзер для кабеля 1U с крышкой </t>
    </r>
    <r>
      <rPr>
        <i/>
        <sz val="10"/>
        <rFont val="Arial"/>
        <family val="2"/>
        <charset val="204"/>
      </rPr>
      <t xml:space="preserve">
94,73 = [836 / 1,22 /  7,54] +  3% Трансп +  1,2% Заг.скл</t>
    </r>
  </si>
  <si>
    <r>
      <t>ОБОРУДОВАНИЕ:
Фальш-панель</t>
    </r>
    <r>
      <rPr>
        <i/>
        <sz val="10"/>
        <rFont val="Arial"/>
        <family val="2"/>
        <charset val="204"/>
      </rPr>
      <t xml:space="preserve">
36,48 = [322 / 1,22 /  7,54] +  3% Трансп +  1,2% Заг.скл</t>
    </r>
  </si>
  <si>
    <r>
      <t>ОБОРУДОВАНИЕ:
Выдвижная полка 19" для клавиатуры, серая</t>
    </r>
    <r>
      <rPr>
        <i/>
        <sz val="10"/>
        <rFont val="Arial"/>
        <family val="2"/>
        <charset val="204"/>
      </rPr>
      <t xml:space="preserve">
261,99 = [2 312 / 1,22 /  7,54] +  3% Трансп +  1,2% Заг.скл</t>
    </r>
  </si>
  <si>
    <r>
      <t xml:space="preserve">Набор кабелей заземления </t>
    </r>
    <r>
      <rPr>
        <i/>
        <sz val="10"/>
        <rFont val="Arial"/>
        <family val="2"/>
        <charset val="204"/>
      </rPr>
      <t xml:space="preserve">
95,02 = [1 157 / 1,22 /  10,18] +  2% Заг.скл</t>
    </r>
  </si>
  <si>
    <r>
      <t>Блок евророзеток для 19" шкафов 16А ,8 розеток</t>
    </r>
    <r>
      <rPr>
        <i/>
        <sz val="10"/>
        <rFont val="Arial"/>
        <family val="2"/>
        <charset val="204"/>
      </rPr>
      <t xml:space="preserve">
233,16 = [2 839 / 1,22 /  10,18] +  2% Заг.скл</t>
    </r>
  </si>
  <si>
    <r>
      <t>Кабель витая пара U/UTP в общем экране, cat 5e, 4х2х0.52,  оболочка из ПВХ пластиката пониженной пожарной опасности с  низким дымо- и газовыделением, цвет оболочки зеленый  U/UTP Cat5e типа  PVCLS нг(A)-HFx4x2x0.52</t>
    </r>
    <r>
      <rPr>
        <i/>
        <sz val="10"/>
        <rFont val="Arial"/>
        <family val="2"/>
        <charset val="204"/>
      </rPr>
      <t xml:space="preserve">
7,81 = [95,09 / 1,22 /  10,18] +  2% Заг.скл</t>
    </r>
  </si>
  <si>
    <r>
      <t>4.10-80-9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</si>
  <si>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Аппараты приемные, приборы приемно-контрольные объектовые на 2 луча</t>
  </si>
  <si>
    <r>
      <t>4.11-16-1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</si>
  <si>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механизма исполнительного массой до 20 кг</t>
  </si>
  <si>
    <t>7,2</t>
  </si>
  <si>
    <r>
      <t>4.10-168-1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</si>
  <si>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считывания кода (БСК) и считыватель в диспетчерской</t>
  </si>
  <si>
    <t>24,2</t>
  </si>
  <si>
    <t>Держатель пластиковый с защелкой для крепления труб, рукавов и гибких вводов диаметром 16 мм</t>
  </si>
  <si>
    <r>
      <t>4.10-70-23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</si>
  <si>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устройства видеоконтрольного аппаратуры цветного телевидения</t>
  </si>
  <si>
    <r>
      <t>4.10-177-1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</si>
  <si>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устройства связи с согласующим устройством (вызывная панель)</t>
  </si>
  <si>
    <t>ЛОКАЛЬНАЯ СМЕТА № 02-01-15</t>
  </si>
  <si>
    <t>Объем: 0,7=7/10</t>
  </si>
  <si>
    <t>Объем: 24=2+22</t>
  </si>
  <si>
    <t>13.1-2-598</t>
  </si>
  <si>
    <t>13.1-2-599</t>
  </si>
  <si>
    <t>Объем: 43=20+23</t>
  </si>
  <si>
    <t>13.1-2-492</t>
  </si>
  <si>
    <t>1.21-5-1135</t>
  </si>
  <si>
    <t>Объем: 5,4=540/100</t>
  </si>
  <si>
    <t>Объем: 2=(80+70+50)/100</t>
  </si>
  <si>
    <t>1.23-9-83</t>
  </si>
  <si>
    <t>Объем: 5,4=(270+270)/100</t>
  </si>
  <si>
    <t>Раздел: Видеодомофон</t>
  </si>
  <si>
    <t>Подраздел: Оборудование</t>
  </si>
  <si>
    <t>Итого по подразделу: Оборудование</t>
  </si>
  <si>
    <t>Подраздел: Кабельные изделия и материалы</t>
  </si>
  <si>
    <t>Итого по подразделу: Кабельные изделия и материалы</t>
  </si>
  <si>
    <t>Итого по разделу: Видеодомофон</t>
  </si>
  <si>
    <t>Система контроля и управления доступом</t>
  </si>
  <si>
    <r>
      <t>ОБОРУДОВАНИЕ:
Сетевой коммутатор, 16 портов</t>
    </r>
    <r>
      <rPr>
        <i/>
        <sz val="10"/>
        <rFont val="Arial"/>
        <family val="2"/>
        <charset val="204"/>
      </rPr>
      <t xml:space="preserve">
1 698,59 = [14 990 / 1,22 /  7,54] +  3% Трансп +  1,2% Заг.скл</t>
    </r>
  </si>
  <si>
    <r>
      <t>Кабель типа КПСВВнг(А)-HF -1х2х0.75мм</t>
    </r>
    <r>
      <rPr>
        <i/>
        <sz val="10"/>
        <rFont val="Arial"/>
        <family val="2"/>
        <charset val="204"/>
      </rPr>
      <t xml:space="preserve">
2,85 = [34,66 / 1,22 /  10,18] +  2% Заг.скл</t>
    </r>
  </si>
  <si>
    <r>
      <t>Кабель U\UTP нг типа (А)-HF-4 х2х0,52 cat.5e</t>
    </r>
    <r>
      <rPr>
        <i/>
        <sz val="10"/>
        <rFont val="Arial"/>
        <family val="2"/>
        <charset val="204"/>
      </rPr>
      <t xml:space="preserve">
5,45 = [66,26 / 1,22 /  10,18] +  2% Заг.скл</t>
    </r>
  </si>
  <si>
    <r>
      <t>Кабель типа ВВГнг(А)-HF-1х2х1.5мм</t>
    </r>
    <r>
      <rPr>
        <i/>
        <sz val="10"/>
        <rFont val="Arial"/>
        <family val="2"/>
        <charset val="204"/>
      </rPr>
      <t xml:space="preserve">
5,26 = [64,07 / 1,22 /  10,18] +  2% Заг.скл</t>
    </r>
  </si>
  <si>
    <r>
      <t xml:space="preserve">ОБОРУДОВАНИЕ:
Вызывная Full HD IP-панель для видеодомофонов с углом обзора 146° врезной установки. </t>
    </r>
    <r>
      <rPr>
        <i/>
        <sz val="10"/>
        <rFont val="Arial"/>
        <family val="2"/>
        <charset val="204"/>
      </rPr>
      <t xml:space="preserve">
1 811,91 = [15 990 / 1,22 /  7,54] +  3% Трансп +  1,2% Заг.скл</t>
    </r>
  </si>
  <si>
    <r>
      <t>Кабель "витая пара" негорючий с низким выделением газа,дыма типа КПСВВнг(А)-LSLTx -4х2х0.5мм</t>
    </r>
    <r>
      <rPr>
        <i/>
        <sz val="10"/>
        <rFont val="Arial"/>
        <family val="2"/>
        <charset val="204"/>
      </rPr>
      <t xml:space="preserve">
4,12 = [50,14 / 1,22 /  10,18] +  2% Заг.скл</t>
    </r>
  </si>
  <si>
    <r>
      <t>Кабель электрический негорючий с низким выделением газа,дыма типа ВВГнг(А)-LSLTx -1х2х1.5мм</t>
    </r>
    <r>
      <rPr>
        <i/>
        <sz val="10"/>
        <rFont val="Arial"/>
        <family val="2"/>
        <charset val="204"/>
      </rPr>
      <t xml:space="preserve">
3,08 = [37,5 / 1,22 /  10,18] +  2% Заг.скл</t>
    </r>
  </si>
  <si>
    <t>Кабель для адресных систем пожарной сигнализации с однопроволочными медными жилами, с изоляцией и оболочкой из ПВХ пластиката, типа КПСВВ, число пар и сечение 1х2х1,0 мм2</t>
  </si>
  <si>
    <r>
      <t>4.10-151-1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</si>
  <si>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пульта или табло вызывной сигнализации с количеством сигналов до 5</t>
  </si>
  <si>
    <r>
      <t>4.10-58-1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</si>
  <si>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фидера воздушного однопроводного с установкой специальных изоляторов в установленном экранирующем коробе из медной трубы диаметром до 10 мм, изготовляемого на месте</t>
  </si>
  <si>
    <t>ЛОКАЛЬНАЯ СМЕТА № 02-01-16</t>
  </si>
  <si>
    <t>1 М</t>
  </si>
  <si>
    <t>Система двусторонней связи</t>
  </si>
  <si>
    <r>
      <t>ОБОРУДОВАНИЕ:
Пульт громкой связи на 1 абонента</t>
    </r>
    <r>
      <rPr>
        <i/>
        <sz val="10"/>
        <rFont val="Arial"/>
        <family val="2"/>
        <charset val="204"/>
      </rPr>
      <t xml:space="preserve">
2 262,61 = [19 967,5 / 1,22 /  7,54] +  3% Трансп +  1,2% Заг.скл</t>
    </r>
  </si>
  <si>
    <r>
      <t>ОБОРУДОВАНИЕ:
Абонентское устройство громкой связи (врезное)</t>
    </r>
    <r>
      <rPr>
        <i/>
        <sz val="10"/>
        <rFont val="Arial"/>
        <family val="2"/>
        <charset val="204"/>
      </rPr>
      <t xml:space="preserve">
1 401,07 = [12 364,44 / 1,22 /  7,54] +  3% Трансп +  1,2% Заг.скл</t>
    </r>
  </si>
  <si>
    <r>
      <t>ОБОРУДОВАНИЕ:
Сигнальная лампа</t>
    </r>
    <r>
      <rPr>
        <i/>
        <sz val="10"/>
        <rFont val="Arial"/>
        <family val="2"/>
        <charset val="204"/>
      </rPr>
      <t xml:space="preserve">
493,94 = [4 358,96 / 1,22 /  7,54] +  3% Трансп +  1,2% Заг.скл</t>
    </r>
  </si>
  <si>
    <r>
      <t>ОБОРУДОВАНИЕ:
Проводная кнопка сброса</t>
    </r>
    <r>
      <rPr>
        <i/>
        <sz val="10"/>
        <rFont val="Arial"/>
        <family val="2"/>
        <charset val="204"/>
      </rPr>
      <t xml:space="preserve">
925,19 = [8 164,8 / 1,22 /  7,54] +  3% Трансп +  1,2% Заг.скл</t>
    </r>
  </si>
  <si>
    <r>
      <t>ОБОРУДОВАНИЕ:
Проводная влагозащищенная кнопка вызова со шнуром</t>
    </r>
    <r>
      <rPr>
        <i/>
        <sz val="10"/>
        <rFont val="Arial"/>
        <family val="2"/>
        <charset val="204"/>
      </rPr>
      <t xml:space="preserve">
1 153,55 = [10 180 / 1,22 /  7,54] +  3% Трансп +  1,2% Заг.скл</t>
    </r>
  </si>
  <si>
    <r>
      <t>Провод типа ШВВП2х1,5</t>
    </r>
    <r>
      <rPr>
        <i/>
        <sz val="10"/>
        <rFont val="Arial"/>
        <family val="2"/>
        <charset val="204"/>
      </rPr>
      <t xml:space="preserve">
2,53 = [30,83 / 1,22 /  10,18] +  2% Заг.скл</t>
    </r>
  </si>
  <si>
    <r>
      <t>Кабель  F/UTP Cat5e типа ZH нг(А)-HF 4х2х0,52</t>
    </r>
    <r>
      <rPr>
        <i/>
        <sz val="10"/>
        <rFont val="Arial"/>
        <family val="2"/>
        <charset val="204"/>
      </rPr>
      <t xml:space="preserve">
6,30 = [76,76 / 1,22 /  10,18] +  2% Заг.скл</t>
    </r>
  </si>
  <si>
    <t>Щит навесной, с дверцей и замком, степень защиты IР55, размер 600х600х250 мм, металлоконструкция без аппаратов / ЩМП-3-0 74, У2, IP54, 650х500х220</t>
  </si>
  <si>
    <t>6,1</t>
  </si>
  <si>
    <r>
      <t>4.10-15-5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</si>
  <si>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по стене бетонной кабеля массой 1 м до 1 кг</t>
  </si>
  <si>
    <t>ОБОРУДОВАНИЕ:_x000D_
Блок управления ротацией и резервированием кондиционеров. Входит в состав системы ротации и резервирования кондиционеров, напряжение 220 В, потребляемая мощность 1,5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140х88х62 мм</t>
  </si>
  <si>
    <t>ОБОРУДОВАНИЕ:_x000D_
Блок исполнительный специализированный, для системы ротации и резервирования кондиционеров. Входит в систему ротации и резервирования кондиционеров, связь с базовым блоком по радиоканалу, напряжение 220 В, потребляемая мощность 0,6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105х65х30 мм</t>
  </si>
  <si>
    <t>ЛОКАЛЬНАЯ СМЕТА № 02-01-17</t>
  </si>
  <si>
    <t>Раздел: Система управления и диспетчерского контроля инженерного оборудования</t>
  </si>
  <si>
    <t>Подраздел: Приборы и средства автоматизации</t>
  </si>
  <si>
    <t>1.21-1-63</t>
  </si>
  <si>
    <t>Итого по подразделу: Приборы и средства автоматизации</t>
  </si>
  <si>
    <t>Подраздел: Прокладка кабельных линий</t>
  </si>
  <si>
    <t>Итого по подразделу: Прокладка кабельных линий</t>
  </si>
  <si>
    <t>Итого по разделу: Система управления и диспетчерского контроля инженерного оборудования</t>
  </si>
  <si>
    <t>Раздел: Автоматизация противопожарных мероприятий</t>
  </si>
  <si>
    <t>1.23-9-111</t>
  </si>
  <si>
    <t>Итого по разделу: Автоматизация противопожарных мероприятий</t>
  </si>
  <si>
    <t>Раздел: Автоматизация систем кондиционирования</t>
  </si>
  <si>
    <t>13.1-5-191</t>
  </si>
  <si>
    <t>13.1-5-190</t>
  </si>
  <si>
    <t>Объем: 1,5=150/100</t>
  </si>
  <si>
    <t>1.23-1-570</t>
  </si>
  <si>
    <t>Итого по разделу: Автоматизация систем кондиционирования</t>
  </si>
  <si>
    <t>Кабель для систем пожарной сигнализации с медными жилами, типа КПСнг(А)-FRHF, напряжение 300 В, число пар и сечение жил 1х2х0,75 мм2</t>
  </si>
  <si>
    <t>Кабель контрольный с медными жилами, с изоляцией и оболочкой из полимерных композиций, не содержащих галогенов, типа КППГнг(А)-HF, напряжение 660 В, число жил и сечение 4х0,75 мм2</t>
  </si>
  <si>
    <t>Измерение сопротивления растеканию тока заземлителя</t>
  </si>
  <si>
    <t>Замер полного сопротивления цепи "фаза-нуль"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</si>
  <si>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</si>
  <si>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Проверка наличия цепи между заземлителями и заземленными элементами</t>
  </si>
  <si>
    <t>Фазировка электрической линии или трансформатора с сетью напряжением до 1 кВ</t>
  </si>
  <si>
    <t>Кондиционер местный неавтономный с централизованным тепло- и холодоснабжением (вентиляторные теплообменники, эжекционные доводчики и т.п.) номинальной подачей по воздуху до 3 тыс.м3/ч, при количестве однотипных кондиционеров в одном помещении до 5</t>
  </si>
  <si>
    <t>Комплексная пусконаладка системы</t>
  </si>
  <si>
    <t>Комплексная пусконаладка системы, добавлять к позиции 5.2-35-1 на каждое адресное устройство</t>
  </si>
  <si>
    <t>Проверка всего технологического комплекса в режимах работы и контроля, сдача в эксплуатацию</t>
  </si>
  <si>
    <t>Комплексная наладка системы контроля и управления доступом (СКУД)</t>
  </si>
  <si>
    <t>Система диспетчерского управления с количеством участков до 5</t>
  </si>
  <si>
    <t>ЛОКАЛЬНАЯ СМЕТА № 09-01-01</t>
  </si>
  <si>
    <t>5.1-151-1</t>
  </si>
  <si>
    <t>1 измерение</t>
  </si>
  <si>
    <t>5.1-154-1</t>
  </si>
  <si>
    <t>1 токоприемник</t>
  </si>
  <si>
    <t>Объем: 128=3+6+3+6+4+8+12+9+12+9+8+13+13+13+9</t>
  </si>
  <si>
    <t>5.1-162-1</t>
  </si>
  <si>
    <t>5.1-152-1</t>
  </si>
  <si>
    <t>1 ТОЧКА</t>
  </si>
  <si>
    <t>5.1-158-1</t>
  </si>
  <si>
    <t>1 фазировка</t>
  </si>
  <si>
    <t>5.3-29-1</t>
  </si>
  <si>
    <t>1 кондиционер</t>
  </si>
  <si>
    <t>5.2-35-1</t>
  </si>
  <si>
    <t>5.2-35-2</t>
  </si>
  <si>
    <t>Объем: 107=2+1+1+85+4+13+1</t>
  </si>
  <si>
    <t>Объем: 35=14+21</t>
  </si>
  <si>
    <t>5.2-32-1</t>
  </si>
  <si>
    <t>1 комплекс</t>
  </si>
  <si>
    <t>5.2-36-1</t>
  </si>
  <si>
    <t>1 считыватель</t>
  </si>
  <si>
    <t>Объем: 187=1+1+1+1+1+1+93+46+22+15+1+2+2</t>
  </si>
  <si>
    <t>5.2-31-1</t>
  </si>
  <si>
    <t>1 система</t>
  </si>
  <si>
    <t>ПНР</t>
  </si>
  <si>
    <t>Раздел: Электрооборудование</t>
  </si>
  <si>
    <t xml:space="preserve">Итого по разделу: Электрооборудование </t>
  </si>
  <si>
    <t xml:space="preserve">Раздел: Кондиционирование </t>
  </si>
  <si>
    <t xml:space="preserve">Раздел: АПС </t>
  </si>
  <si>
    <t>Итого по разделу: АПС</t>
  </si>
  <si>
    <t>Раздел: СОУЭ</t>
  </si>
  <si>
    <t xml:space="preserve">Итого по разделу: СОУЭ </t>
  </si>
  <si>
    <t>Раздел: РТС</t>
  </si>
  <si>
    <t xml:space="preserve">Итого по разделу: РТС </t>
  </si>
  <si>
    <t xml:space="preserve">Раздел: СКТ </t>
  </si>
  <si>
    <t xml:space="preserve">Итого по разделу: </t>
  </si>
  <si>
    <t>Раздел: СКС</t>
  </si>
  <si>
    <t xml:space="preserve">Итого по разделу: СКС </t>
  </si>
  <si>
    <t>Раздел: СОТ</t>
  </si>
  <si>
    <t>Итого по разделу: СОТ</t>
  </si>
  <si>
    <t>Раздел: СКУД</t>
  </si>
  <si>
    <t>Раздел: СОТС</t>
  </si>
  <si>
    <t>Итого по разделу: СОТС</t>
  </si>
  <si>
    <t>Раздел: СДС</t>
  </si>
  <si>
    <t>Итого по разделу: СДС</t>
  </si>
  <si>
    <t>Раздел: АДИС</t>
  </si>
  <si>
    <t xml:space="preserve">Итого по разделу: АДИС </t>
  </si>
  <si>
    <t>ВОЗВРАТ_x000D_
Лом стальной, вид лома 12А, для расчета возвратных сумм</t>
  </si>
  <si>
    <t>ВОЗВРАТ_x000D_
Лом чугунный, вид лома 22А, для расчета возвратных сумм</t>
  </si>
  <si>
    <t>Раздел: Возвратные средства</t>
  </si>
  <si>
    <t>1.7-11-61</t>
  </si>
  <si>
    <t>1.7-11-63</t>
  </si>
  <si>
    <t>ЛОКАЛЬНЫЙ СМЕТНЫЙ РАСЧЕТ № б/н</t>
  </si>
  <si>
    <t>Возвратные средства</t>
  </si>
  <si>
    <t>Итого возвратных сумм</t>
  </si>
  <si>
    <t>ОБОРУДОВАНИЕ:_x000D_
Устройство досмотровое (зеркало) для осмотра грузов, транспортных средств, неосвещенных и труднодоступных мест в помещениях. В составе: телескопическая штанга со встроенными светодиодами, с регулировкой длины от 600 до 1850 мм, набор зеркал различного размера и формы - 4 шт. Время непрерывной работы светодиодов не менее 9 часов, диапазон рабочих температур от -20 до +50°С</t>
  </si>
  <si>
    <t>ОБОРУДОВАНИЕ:_x000D_
Детектор ионно-дрейфовый для обнаружения взрывчатых, наркотических, аварийно-химических, опасных и боевых отравляющих веществ, с комплектом ЗИП. Время: установления рабочего режима - 15 мин, измерения - 5 с, автономной работы со штатным аккумулятором - 2 часа, очистки детектора - 3 мин, интерфейсы Ethernet, USB (х2), в комплекте: сумка-чехол, флэш-накопитель; вещества обнаруживаемые детектором: нитрат аммония, динитротолуол, тринитротолуол, тринитрорезорцин, тринитрофенол, динитронафталин, диметилдинитробутан, этиленгликольдинитрат, нитроглицерин, пентаэритриттетранитрат, гексоген, октоген, тетрил, тетразол, бензофуроксан, триперекись ацетона, гексаметилентрипероксиддиамин, ПВВ на основе гексогена, октол, семтекс, аммонит, амфетамин, метамфетамин, кокаин, героин,</t>
  </si>
  <si>
    <t>ЛОКАЛЬНАЯ СМЕТА № 02-01-18</t>
  </si>
  <si>
    <t>13.1-2-193</t>
  </si>
  <si>
    <t>13.1-2-203</t>
  </si>
  <si>
    <t>13.3-9-187</t>
  </si>
  <si>
    <t>13.1-2-363</t>
  </si>
  <si>
    <t>13.1-3-231</t>
  </si>
  <si>
    <t xml:space="preserve"> Мероприятия по противодействию  террористическим актам</t>
  </si>
  <si>
    <t>Установка номерных табличек для этажа, подъезда</t>
  </si>
  <si>
    <r>
      <t>Эвакуационный знак 150х150 " Выход здесь"</t>
    </r>
    <r>
      <rPr>
        <i/>
        <sz val="10"/>
        <rFont val="Arial"/>
        <family val="2"/>
        <charset val="204"/>
      </rPr>
      <t xml:space="preserve">
32,44 = [395 / 1,22 /  10,18] +  2% Заг.скл</t>
    </r>
  </si>
  <si>
    <r>
      <t>Эвакуационный знак 150х150 мм "Направляющая стрелка"</t>
    </r>
    <r>
      <rPr>
        <i/>
        <sz val="10"/>
        <rFont val="Arial"/>
        <family val="2"/>
        <charset val="204"/>
      </rPr>
      <t xml:space="preserve">
9,04 = [110 / 1,22 /  10,18] +  2% Заг.скл</t>
    </r>
  </si>
  <si>
    <r>
      <t>Эвакуационный знак E 22 "Указатель выхода"</t>
    </r>
    <r>
      <rPr>
        <i/>
        <sz val="10"/>
        <rFont val="Arial"/>
        <family val="2"/>
        <charset val="204"/>
      </rPr>
      <t xml:space="preserve">
22,01 = [268 / 1,22 /  10,18] +  2% Заг.скл</t>
    </r>
  </si>
  <si>
    <r>
      <t>Тактильный знак СП 10, 150х150 мм  "Выход из помещения"</t>
    </r>
    <r>
      <rPr>
        <i/>
        <sz val="10"/>
        <rFont val="Arial"/>
        <family val="2"/>
        <charset val="204"/>
      </rPr>
      <t xml:space="preserve">
32,53 = [396 / 1,22 /  10,18] +  2% Заг.скл</t>
    </r>
  </si>
  <si>
    <r>
      <t>Тактильный знак СП 18, 150х150 мм  "Туалет для инвалидов"</t>
    </r>
    <r>
      <rPr>
        <i/>
        <sz val="10"/>
        <rFont val="Arial"/>
        <family val="2"/>
        <charset val="204"/>
      </rPr>
      <t xml:space="preserve">
32,53 = [396 / 1,22 /  10,18] +  2% Заг.скл</t>
    </r>
  </si>
  <si>
    <r>
      <t>Тактильная табличка со шрифтом  Брайля, 150х300мм "Название помещения"</t>
    </r>
    <r>
      <rPr>
        <i/>
        <sz val="10"/>
        <rFont val="Arial"/>
        <family val="2"/>
        <charset val="204"/>
      </rPr>
      <t xml:space="preserve">
92,47 = [1 126 / 1,22 /  10,18] +  2% Заг.скл</t>
    </r>
  </si>
  <si>
    <r>
      <t>Тактильный знак 150х150 мм  "Доступность для инвалидов по зрению"</t>
    </r>
    <r>
      <rPr>
        <i/>
        <sz val="10"/>
        <rFont val="Arial"/>
        <family val="2"/>
        <charset val="204"/>
      </rPr>
      <t xml:space="preserve">
32,53 = [396 / 1,22 /  10,18] +  2% Заг.скл</t>
    </r>
  </si>
  <si>
    <r>
      <t>Тактильный знак 150х150 мм  "Доступность для инвалидов по слуху"</t>
    </r>
    <r>
      <rPr>
        <i/>
        <sz val="10"/>
        <rFont val="Arial"/>
        <family val="2"/>
        <charset val="204"/>
      </rPr>
      <t xml:space="preserve">
32,53 = [396 / 1,22 /  10,18] +  2% Заг.скл</t>
    </r>
  </si>
  <si>
    <r>
      <t>Тактильная мнемосхема санузла, полноцветная на стальной основе 321х411х2 мм</t>
    </r>
    <r>
      <rPr>
        <i/>
        <sz val="10"/>
        <rFont val="Arial"/>
        <family val="2"/>
        <charset val="204"/>
      </rPr>
      <t xml:space="preserve">
345,84 = [4 211 / 1,22 /  10,18] +  2% Заг.скл</t>
    </r>
  </si>
  <si>
    <r>
      <t>Тактильная мнемосхема этажа, полноцветная на основе оргстекла, 470x610х8 мм</t>
    </r>
    <r>
      <rPr>
        <i/>
        <sz val="10"/>
        <rFont val="Arial"/>
        <family val="2"/>
        <charset val="204"/>
      </rPr>
      <t xml:space="preserve">
866,29 = [10 548 / 1,22 /  10,18] +  2% Заг.скл</t>
    </r>
  </si>
  <si>
    <r>
      <t>Знак обозначения кнопки вызова персонала для оказания ситуационной помощи 150х180 мм</t>
    </r>
    <r>
      <rPr>
        <i/>
        <sz val="10"/>
        <rFont val="Arial"/>
        <family val="2"/>
        <charset val="204"/>
      </rPr>
      <t xml:space="preserve">
34,08 = [415 / 1,22 /  10,18] +  2% Заг.скл</t>
    </r>
  </si>
  <si>
    <t>Оклейка стен поливинилхлоридной декоративно-отделочной самоклеющейся пленкой по листовым материалам</t>
  </si>
  <si>
    <r>
      <t>Наклейка, цвет желтый, Д=20 см</t>
    </r>
    <r>
      <rPr>
        <i/>
        <sz val="10"/>
        <rFont val="Arial"/>
        <family val="2"/>
        <charset val="204"/>
      </rPr>
      <t xml:space="preserve">
4,11 = [50 / 1,22 /  10,18] +  2% Заг.скл</t>
    </r>
  </si>
  <si>
    <t>Установка гарнитуры туалетной: поручней для ванн</t>
  </si>
  <si>
    <r>
      <t>3.17-2-13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</si>
  <si>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Установка гарнитуры туалетной: вешалок, подстаканников, дозаторов настенных и т.п.</t>
  </si>
  <si>
    <r>
      <t>Сенсорный дозатор мыла для людей с ограниченными возможностями 210х140х105мм, 450мл, h=1000мм</t>
    </r>
    <r>
      <rPr>
        <i/>
        <sz val="10"/>
        <rFont val="Arial"/>
        <family val="2"/>
        <charset val="204"/>
      </rPr>
      <t xml:space="preserve">
412,28 = [5 020 / 1,22 /  10,18] +  2% Заг.скл</t>
    </r>
  </si>
  <si>
    <t>Установка гарнитуры туалетной: вешалок, подстаканников, дозаторов настенных и т.п./Крючок-держатель, универсальный крючок</t>
  </si>
  <si>
    <r>
      <t>3.17-2-14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</si>
  <si>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Установка гарнитуры туалетной: поручней для ванн/ прямой и поручень-опора</t>
  </si>
  <si>
    <r>
      <t>3.17-2-5</t>
    </r>
    <r>
      <rPr>
        <i/>
        <sz val="10"/>
        <rFont val="Arial"/>
        <family val="2"/>
        <charset val="204"/>
      </rPr>
      <t xml:space="preserve">
Поправка: Гл.12.Прил.8.п.8. 3_12.00.01.11.001
Поправка: Гл.6.Прил.2.2.п.2.2.6_06.00.01.07.001</t>
    </r>
  </si>
  <si>
    <t>Установка гарнитуры туалетной полочек</t>
  </si>
  <si>
    <r>
      <t>Зеркало настенное поворотное  600х800мм, h до нижнего края =800</t>
    </r>
    <r>
      <rPr>
        <i/>
        <sz val="10"/>
        <rFont val="Arial"/>
        <family val="2"/>
        <charset val="204"/>
      </rPr>
      <t xml:space="preserve">
942,01 = [11 470 / 1,22 /  10,18] +  2% Заг.скл</t>
    </r>
  </si>
  <si>
    <r>
      <t>Урна для санузла 600мм (15л)</t>
    </r>
    <r>
      <rPr>
        <i/>
        <sz val="10"/>
        <rFont val="Arial"/>
        <family val="2"/>
        <charset val="204"/>
      </rPr>
      <t xml:space="preserve">
98,55 = [1 200 / 1,22 /  10,18] +  2% Заг.скл</t>
    </r>
  </si>
  <si>
    <r>
      <t>4.8-254-1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</si>
  <si>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приборов нагревательных, электрополотенце/сушилка для рук</t>
  </si>
  <si>
    <t>ЛОКАЛЬНАЯ СМЕТА № 02-01-19</t>
  </si>
  <si>
    <t>Раздел: Информационно-тактильные знаки</t>
  </si>
  <si>
    <t>3.9-65-2</t>
  </si>
  <si>
    <t>Объем: 18=2+2+3+1+1+3+1+1+1+1+1+1</t>
  </si>
  <si>
    <t>3.15-129-3</t>
  </si>
  <si>
    <t>100 м2 оклеиваемой поверхности</t>
  </si>
  <si>
    <t>Объем: 0,010048=(3,14*0,2*0,2*8)/100</t>
  </si>
  <si>
    <t>Итого по разделу: Информационно-тактильные знаки</t>
  </si>
  <si>
    <t>Раздел: Оборудование и материал санузла для МГН</t>
  </si>
  <si>
    <t>3.17-2-14</t>
  </si>
  <si>
    <t>Объем: 0,24=(0,9+0,9+0,6)/10</t>
  </si>
  <si>
    <t>Итого по разделу: Оборудование и материал санузла для МГН</t>
  </si>
  <si>
    <t>Раздел: Оборудование, стоимость которого не облагается НДС</t>
  </si>
  <si>
    <t>Итого по разделу: Оборудование, стоимость которого не облагается НДС</t>
  </si>
  <si>
    <t>Мероприятия по обеспечению доступа инвалидов</t>
  </si>
  <si>
    <r>
      <t>ОБОРУДОВАНИЕ:_x000D_
Поручень откидной без бумагодержателя,  900х150мм, 900х150мм, h до верхнего края 770мм</t>
    </r>
    <r>
      <rPr>
        <i/>
        <sz val="10"/>
        <rFont val="Arial"/>
        <family val="2"/>
        <charset val="204"/>
      </rPr>
      <t xml:space="preserve">
1 307,23 = [9 456 /  7,54] +  3% Трансп +  1,2% Заг.скл</t>
    </r>
  </si>
  <si>
    <r>
      <t>ОБОРУДОВАНИЕ:_x000D_
Поручень для туалета напольный для инвалидов h-образный с бумагодержателем  по ГОСТ 900х750 мм, универсальный</t>
    </r>
    <r>
      <rPr>
        <i/>
        <sz val="10"/>
        <rFont val="Arial"/>
        <family val="2"/>
        <charset val="204"/>
      </rPr>
      <t xml:space="preserve">
1 074,16 = [7 770 /  7,54] +  3% Трансп +  1,2% Заг.скл</t>
    </r>
  </si>
  <si>
    <r>
      <t>ОБОРУДОВАНИЕ:_x000D_
Поручень для раковины двухопорный настенный 600мм, h до верхнего края  850мм</t>
    </r>
    <r>
      <rPr>
        <i/>
        <sz val="10"/>
        <rFont val="Arial"/>
        <family val="2"/>
        <charset val="204"/>
      </rPr>
      <t xml:space="preserve">
995,36 = [7 200 /  7,54] +  3% Трансп +  1,2% Заг.скл</t>
    </r>
  </si>
  <si>
    <r>
      <t>ОБОРУДОВАНИЕ:_x000D_
Крючок-держатель для тростей и других вещей h=900-1100мм</t>
    </r>
    <r>
      <rPr>
        <i/>
        <sz val="10"/>
        <rFont val="Arial"/>
        <family val="2"/>
        <charset val="204"/>
      </rPr>
      <t xml:space="preserve">
178,33 = [1 290 /  7,54] +  3% Трансп +  1,2% Заг.скл</t>
    </r>
  </si>
  <si>
    <r>
      <t>ОБОРУДОВАНИЕ:_x000D_
Сушилка для рук для МГН h=1100мм</t>
    </r>
    <r>
      <rPr>
        <i/>
        <sz val="10"/>
        <rFont val="Arial"/>
        <family val="2"/>
        <charset val="204"/>
      </rPr>
      <t xml:space="preserve">
988,45 = [7 150 /  7,54] +  3% Трансп +  1,2% Заг.скл</t>
    </r>
  </si>
  <si>
    <r>
      <t>ОБОРУДОВАНИЕ:_x000D_
Поручень прямой настенный 600мм</t>
    </r>
    <r>
      <rPr>
        <i/>
        <sz val="10"/>
        <rFont val="Arial"/>
        <family val="2"/>
        <charset val="204"/>
      </rPr>
      <t xml:space="preserve">
454,82 = [3 290 /  7,54] +  3% Трансп +  1,2% Заг.скл</t>
    </r>
  </si>
  <si>
    <r>
      <t>ОБОРУДОВАНИЕ:_x000D_
Поручень-опора регулируемая с подушкой для спины в санитарно-гигиенические  комнаты 250-370х650 мм h=850</t>
    </r>
    <r>
      <rPr>
        <i/>
        <sz val="10"/>
        <rFont val="Arial"/>
        <family val="2"/>
        <charset val="204"/>
      </rPr>
      <t xml:space="preserve">
1 410,09 = [10 200 /  7,54] +  3% Трансп +  1,2% Заг.скл</t>
    </r>
  </si>
  <si>
    <r>
      <t>ОБОРУДОВАНИЕ:_x000D_
Универсальный травмобезопасный держатель (крючок) из нержавеющей стали h до центра=1200</t>
    </r>
    <r>
      <rPr>
        <i/>
        <sz val="10"/>
        <rFont val="Arial"/>
        <family val="2"/>
        <charset val="204"/>
      </rPr>
      <t xml:space="preserve">
302,75 = [2 190 /  7,54] +  3% Трансп +  1,2% Заг.скл</t>
    </r>
  </si>
  <si>
    <t>ОБЪЕКТНАЯ СМЕТА № ОС 02-01</t>
  </si>
  <si>
    <t>(наименование объекта, комплекса работ и затрат)</t>
  </si>
  <si>
    <t>тыс.руб.</t>
  </si>
  <si>
    <t>Составлен(а) в уровне текущих (прогнозных) цен II квартал 2026 года</t>
  </si>
  <si>
    <t>Номера локальных сметных расчетов (смет)</t>
  </si>
  <si>
    <t>Сметная стоимость, тыс.руб.</t>
  </si>
  <si>
    <t>строительных (ремонтно-строительных) работ</t>
  </si>
  <si>
    <t>работ по монтажу оборудования</t>
  </si>
  <si>
    <t>оборудования, мебели и инвентаря</t>
  </si>
  <si>
    <t>прочих затрат</t>
  </si>
  <si>
    <t>всего</t>
  </si>
  <si>
    <t>Система водоснабжения</t>
  </si>
  <si>
    <t>Система водоотведения</t>
  </si>
  <si>
    <t>Система охранно-тревожной сигнализации.</t>
  </si>
  <si>
    <t>Автоматизация и диспетчеризация инженерных систем</t>
  </si>
  <si>
    <t>Мероприятия по противодействию террористическим актам</t>
  </si>
  <si>
    <t xml:space="preserve">ИТОГО: </t>
  </si>
  <si>
    <t>Сводный сметный расчет в сумме</t>
  </si>
  <si>
    <t>руб.</t>
  </si>
  <si>
    <t>СВОДНЫЙ СМЕТНЫЙ РАСЧЕТ СТОИМОСТИ СТРОИТЕЛЬСТВА</t>
  </si>
  <si>
    <t>Составлен в текущих ценах по состоянию на 2 квартал 2026 г.</t>
  </si>
  <si>
    <t>№
 п/п</t>
  </si>
  <si>
    <t>Обоснование</t>
  </si>
  <si>
    <t>Наименование глав, объектов, работ и затрат</t>
  </si>
  <si>
    <t>Монтажные работы</t>
  </si>
  <si>
    <t>Общая</t>
  </si>
  <si>
    <t>Выполнение работ по капитальному ремонту</t>
  </si>
  <si>
    <t>Итого по гл. 2</t>
  </si>
  <si>
    <t>Итого по гл. 1-7</t>
  </si>
  <si>
    <t>Глава 8. Временные здания и сооружения</t>
  </si>
  <si>
    <t>Временные здания и сооружения 1,4%</t>
  </si>
  <si>
    <t>Итого по гл. 8</t>
  </si>
  <si>
    <t>Итого по гл. 1-8</t>
  </si>
  <si>
    <t>Глава 9. Прочие работы и затраты</t>
  </si>
  <si>
    <t>ЛС 09-01-01</t>
  </si>
  <si>
    <t>Пусконаладочные работы</t>
  </si>
  <si>
    <t>Итого по гл. 9</t>
  </si>
  <si>
    <t>Итого по гл. 1-9</t>
  </si>
  <si>
    <t>Итого по гл. 1-12</t>
  </si>
  <si>
    <t>Резерв средств на непредвиденные работы и затраты - 2%</t>
  </si>
  <si>
    <t>НДС 22%</t>
  </si>
  <si>
    <t>ЛС 02-01-19</t>
  </si>
  <si>
    <t>-</t>
  </si>
  <si>
    <t>в том числе оборудование необлагаемое НДС</t>
  </si>
  <si>
    <t>ЛС 02-01-01</t>
  </si>
  <si>
    <t>ЛС 02-01-03</t>
  </si>
  <si>
    <t>ЛС 02-01-04</t>
  </si>
  <si>
    <t>ЛС 02-01-05</t>
  </si>
  <si>
    <t>ЛС 02-01-06</t>
  </si>
  <si>
    <t>ЛС 02-01-07</t>
  </si>
  <si>
    <t>ЛС 02-01-08</t>
  </si>
  <si>
    <t>ЛС 02-01-09</t>
  </si>
  <si>
    <t>ЛС 02-01-10</t>
  </si>
  <si>
    <t>ЛС 02-01-11</t>
  </si>
  <si>
    <t>ЛС 02-01-12</t>
  </si>
  <si>
    <t>ЛС 02-01-13</t>
  </si>
  <si>
    <t>ЛС 02-01-14</t>
  </si>
  <si>
    <t>ЛС 02-01-15</t>
  </si>
  <si>
    <t>ЛС 02-01-16</t>
  </si>
  <si>
    <t>ЛС 02-01-17</t>
  </si>
  <si>
    <t>ЛС 02-01-18</t>
  </si>
  <si>
    <t>в т.ч. Оборудование , не облагаемое НДС</t>
  </si>
  <si>
    <t>ОСР №02-01</t>
  </si>
  <si>
    <t>ТСН-2001.12  прил.5 п.13.1</t>
  </si>
  <si>
    <t>ТСН-2001.12  прил.5 п.13.2</t>
  </si>
  <si>
    <t>ТСН-2001.12  прил.5 п.13.3</t>
  </si>
  <si>
    <t>Глава 2. Основные объекты строительства, реконструкции, капитального ремонта</t>
  </si>
  <si>
    <t>Непредвиденные затраты</t>
  </si>
  <si>
    <t>Итого непредвиденные затраты</t>
  </si>
  <si>
    <t>Итого по сводному сметному расчету без НДС</t>
  </si>
  <si>
    <t>Налоги и обязательные платежи</t>
  </si>
  <si>
    <t>Возвратные средства без НДС (справочно)</t>
  </si>
  <si>
    <t>Итого "Налоги и обязательные платежи"</t>
  </si>
  <si>
    <t>Итого по сводному сметному расчету</t>
  </si>
  <si>
    <t>МОС.05.05-006.2025 прил. В.3, п. 1.2</t>
  </si>
  <si>
    <t>ЛС 02-01-02</t>
  </si>
  <si>
    <t>ЛОКАЛЬНЫЙ СМЕТНЫЙ РАСЧЕТ № 02-01-02</t>
  </si>
  <si>
    <r>
      <t xml:space="preserve">Туалетный ершик с креплением на стену </t>
    </r>
    <r>
      <rPr>
        <i/>
        <sz val="10"/>
        <rFont val="Arial"/>
        <family val="2"/>
        <charset val="204"/>
      </rPr>
      <t xml:space="preserve">
392,16 = [4 775 / 1,22 /  10,18] +  2% Заг.скл</t>
    </r>
  </si>
  <si>
    <r>
      <t xml:space="preserve">Декоративные панели </t>
    </r>
    <r>
      <rPr>
        <i/>
        <sz val="10"/>
        <rFont val="Arial"/>
        <family val="2"/>
        <charset val="204"/>
      </rPr>
      <t xml:space="preserve">
68,99 = [840 / 1,22 /  10,18] +  2% Заг.скл</t>
    </r>
  </si>
  <si>
    <r>
      <t>ОБОРУДОВАНИЕ:
Панель АВР 100А 450х450х2000</t>
    </r>
    <r>
      <rPr>
        <i/>
        <sz val="10"/>
        <rFont val="Arial"/>
        <family val="2"/>
        <charset val="204"/>
      </rPr>
      <t xml:space="preserve">
18 649,18 = [164 578,46 / 1,22 /  7,54] +  3% Трансп +  1,2% Заг.скл</t>
    </r>
  </si>
  <si>
    <r>
      <t>Опора КНС</t>
    </r>
    <r>
      <rPr>
        <i/>
        <sz val="10"/>
        <rFont val="Arial"/>
        <family val="2"/>
        <charset val="204"/>
      </rPr>
      <t xml:space="preserve">
268,31 = [3 267 / 1,22 /  10,18] +  2% Заг.скл</t>
    </r>
  </si>
  <si>
    <r>
      <t>ОБОРУДОВАНИЕ:
Сплит-система, универсальный внутренний блок, цвет белый, inverter, R32, 3Ф. В комплекте ИК пульт,  мощность на охлаждение 4,8 кВт, обогрев 4,8 кВт. Площадь помещения до 50 м2</t>
    </r>
    <r>
      <rPr>
        <i/>
        <sz val="10"/>
        <rFont val="Arial"/>
        <family val="2"/>
        <charset val="204"/>
      </rPr>
      <t xml:space="preserve">
8 657,25 = [76 400 / 1,22 /  7,54] +  3% Трансп +  1,2% Заг.скл</t>
    </r>
  </si>
  <si>
    <r>
      <t>ОБОРУДОВАНИЕ:
Сплит-система, кассетный внутренний блок, цвет белый, inverter, R32.  В комплекте ИК пульт,мощность на охлаждение 5,0 кВт, обогрев 5,3 кВт. Площадь помещения до 50-55 м2</t>
    </r>
    <r>
      <rPr>
        <i/>
        <sz val="10"/>
        <rFont val="Arial"/>
        <family val="2"/>
        <charset val="204"/>
      </rPr>
      <t xml:space="preserve">
4 793,22 = [42 300 / 1,22 /  7,54] +  3% Трансп +  1,2% Заг.скл</t>
    </r>
  </si>
  <si>
    <r>
      <t>ОБОРУДОВАНИЕ:
Сплит-система, кассетный внутренний блок, цвет белый, inverter, R32.  В комплекте ИК пульт,мощность на охлаждение 3,4 кВт, обогрев 3,4 кВт. Площадь помещения до 35-40 м2</t>
    </r>
    <r>
      <rPr>
        <i/>
        <sz val="10"/>
        <rFont val="Arial"/>
        <family val="2"/>
        <charset val="204"/>
      </rPr>
      <t xml:space="preserve">
5 971,69 = [52 700 / 1,22 /  7,54] +  3% Трансп +  1,2% Заг.скл</t>
    </r>
  </si>
  <si>
    <r>
      <t>ОБОРУДОВАНИЕ:
Сплит-система, кассетный внутренний блок, цвет белый, inverter, R32.  В комплекте ИК пульт,мощность на охлаждение 2,7 кВт, обогрев 2,9 кВт. Площадь помещения до 25 м2</t>
    </r>
    <r>
      <rPr>
        <i/>
        <sz val="10"/>
        <rFont val="Arial"/>
        <family val="2"/>
        <charset val="204"/>
      </rPr>
      <t xml:space="preserve">
5 189,82 = [45 800 / 1,22 /  7,54] +  3% Трансп +  1,2% Заг.скл</t>
    </r>
  </si>
  <si>
    <r>
      <t>ОБОРУДОВАНИЕ:
Устройства центрального управления кондиционерами</t>
    </r>
    <r>
      <rPr>
        <i/>
        <sz val="10"/>
        <rFont val="Arial"/>
        <family val="2"/>
        <charset val="204"/>
      </rPr>
      <t xml:space="preserve">
8 532,61 = [75 300 / 1,22 /  7,54] +  3% Трансп +  1,2% Заг.скл</t>
    </r>
  </si>
  <si>
    <r>
      <t>ОБОРУДОВАНИЕ:
Устройства центрального управления интерфейсный шлюз(конвертер)</t>
    </r>
    <r>
      <rPr>
        <i/>
        <sz val="10"/>
        <rFont val="Arial"/>
        <family val="2"/>
        <charset val="204"/>
      </rPr>
      <t xml:space="preserve">
1 631,51 = [14 398 / 1,22 /  7,54] +  3% Трансп +  1,2% Заг.скл</t>
    </r>
  </si>
  <si>
    <r>
      <t>ОБОРУДОВАНИЕ:
Прибор приемно-контрольный и управления охранно-пожарный адресный</t>
    </r>
    <r>
      <rPr>
        <i/>
        <sz val="10"/>
        <rFont val="Arial"/>
        <family val="2"/>
        <charset val="204"/>
      </rPr>
      <t xml:space="preserve">
4 870,40 = [42 981,21 / 1,22 /  7,54] +  3% Трансп +  1,2% Заг.скл</t>
    </r>
  </si>
  <si>
    <r>
      <t xml:space="preserve">ОБОРУДОВАНИЕ:
Блок индикации и управления </t>
    </r>
    <r>
      <rPr>
        <i/>
        <sz val="10"/>
        <rFont val="Arial"/>
        <family val="2"/>
        <charset val="204"/>
      </rPr>
      <t xml:space="preserve">
2 394,57 = [21 132 / 1,22 /  7,54] +  3% Трансп +  1,2% Заг.скл</t>
    </r>
  </si>
  <si>
    <r>
      <t xml:space="preserve">ОБОРУДОВАНИЕ:
Модуль связи </t>
    </r>
    <r>
      <rPr>
        <i/>
        <sz val="10"/>
        <rFont val="Arial"/>
        <family val="2"/>
        <charset val="204"/>
      </rPr>
      <t xml:space="preserve">
2 070,10 = [18 268,58 / 1,22 /  7,54] +  3% Трансп +  1,2% Заг.скл</t>
    </r>
  </si>
  <si>
    <r>
      <t xml:space="preserve">ОБОРУДОВАНИЕ:
Извещатель пожарный дымовой оптико-электронный адресно-аналоговый </t>
    </r>
    <r>
      <rPr>
        <i/>
        <sz val="10"/>
        <rFont val="Arial"/>
        <family val="2"/>
        <charset val="204"/>
      </rPr>
      <t xml:space="preserve">
136,99 = [1 209 / 1,22 /  7,54] +  3% Трансп +  1,2% Заг.скл</t>
    </r>
  </si>
  <si>
    <r>
      <t>Базовое основание диаметр 143 мм, высота  60 мм.</t>
    </r>
    <r>
      <rPr>
        <i/>
        <sz val="10"/>
        <rFont val="Arial"/>
        <family val="2"/>
        <charset val="204"/>
      </rPr>
      <t xml:space="preserve">
42,95 = [523 / 1,22 /  10,18] +  2% Заг.скл</t>
    </r>
  </si>
  <si>
    <r>
      <t xml:space="preserve">ОБОРУДОВАНИЕ:
Извещатель пожарный ручной адресный с изолятором короткого замыкания </t>
    </r>
    <r>
      <rPr>
        <i/>
        <sz val="10"/>
        <rFont val="Arial"/>
        <family val="2"/>
        <charset val="204"/>
      </rPr>
      <t xml:space="preserve">
136,44 = [1 204 / 1,22 /  7,54] +  3% Трансп +  1,2% Заг.скл</t>
    </r>
  </si>
  <si>
    <r>
      <t>Базовое основание,ширина 93 мм ,глубина 93 мм ,высота 25 мм</t>
    </r>
    <r>
      <rPr>
        <i/>
        <sz val="10"/>
        <rFont val="Arial"/>
        <family val="2"/>
        <charset val="204"/>
      </rPr>
      <t xml:space="preserve">
17,09 = [208 / 1,22 /  10,18] +  2% Заг.скл</t>
    </r>
  </si>
  <si>
    <r>
      <t xml:space="preserve">ОБОРУДОВАНИЕ:
Изолятор шлейфа </t>
    </r>
    <r>
      <rPr>
        <i/>
        <sz val="10"/>
        <rFont val="Arial"/>
        <family val="2"/>
        <charset val="204"/>
      </rPr>
      <t xml:space="preserve">
77,21 = [681,36 / 1,22 /  7,54] +  3% Трансп +  1,2% Заг.скл</t>
    </r>
  </si>
  <si>
    <r>
      <t>ОБОРУДОВАНИЕ:
Оповещатель охранно-пожарный световой адресный "ВЫХОД"</t>
    </r>
    <r>
      <rPr>
        <i/>
        <sz val="10"/>
        <rFont val="Arial"/>
        <family val="2"/>
        <charset val="204"/>
      </rPr>
      <t xml:space="preserve">
182,78 = [1 613 / 1,22 /  7,54] +  3% Трансп +  1,2% Заг.скл</t>
    </r>
  </si>
  <si>
    <r>
      <t xml:space="preserve">ОБОРУДОВАНИЕ:
Оповещатель охранно-пожарный световой адресный "ПОЖАР" </t>
    </r>
    <r>
      <rPr>
        <i/>
        <sz val="10"/>
        <rFont val="Arial"/>
        <family val="2"/>
        <charset val="204"/>
      </rPr>
      <t xml:space="preserve">
173,71 = [1 533 / 1,22 /  7,54] +  3% Трансп +  1,2% Заг.скл</t>
    </r>
  </si>
  <si>
    <r>
      <t xml:space="preserve">ОБОРУДОВАНИЕ:
Источник вторичного электропитания резервированный адресный </t>
    </r>
    <r>
      <rPr>
        <i/>
        <sz val="10"/>
        <rFont val="Arial"/>
        <family val="2"/>
        <charset val="204"/>
      </rPr>
      <t xml:space="preserve">
1 387,42 = [12 244 / 1,22 /  7,54] +  3% Трансп +  1,2% Заг.скл</t>
    </r>
  </si>
  <si>
    <r>
      <t>Кабель связи симметричный, сеч. 2x2x0,52 типа PVCLS нг(А)-FRHF</t>
    </r>
    <r>
      <rPr>
        <i/>
        <sz val="10"/>
        <rFont val="Arial"/>
        <family val="2"/>
        <charset val="204"/>
      </rPr>
      <t xml:space="preserve">
4,56 = [55,57 / 1,22 /  10,18] +  2% Заг.скл</t>
    </r>
  </si>
  <si>
    <r>
      <t xml:space="preserve">ОБОРУДОВАНИЕ:
Моноблок </t>
    </r>
    <r>
      <rPr>
        <i/>
        <sz val="10"/>
        <rFont val="Arial"/>
        <family val="2"/>
        <charset val="204"/>
      </rPr>
      <t xml:space="preserve">
9 781,67 = [86 323 / 1,22 /  7,54] +  3% Трансп +  1,2% Заг.скл</t>
    </r>
  </si>
  <si>
    <r>
      <t>ОБОРУДОВАНИЕ:
Источник бесперебойного питания для АРМ</t>
    </r>
    <r>
      <rPr>
        <i/>
        <sz val="10"/>
        <rFont val="Arial"/>
        <family val="2"/>
        <charset val="204"/>
      </rPr>
      <t xml:space="preserve">
6 498,38 = [57 348 / 1,22 /  7,54] +  3% Трансп +  1,2% Заг.скл</t>
    </r>
  </si>
  <si>
    <r>
      <t xml:space="preserve">ОБОРУДОВАНИЕ:
Прибор управления оповещением </t>
    </r>
    <r>
      <rPr>
        <i/>
        <sz val="10"/>
        <rFont val="Arial"/>
        <family val="2"/>
        <charset val="204"/>
      </rPr>
      <t xml:space="preserve">
13 635,74 = [120 335 / 1,22 /  7,54] +  3% Трансп +  1,2% Заг.скл</t>
    </r>
  </si>
  <si>
    <r>
      <t xml:space="preserve">ОБОРУДОВАНИЕ:
Пульт микрофонный </t>
    </r>
    <r>
      <rPr>
        <i/>
        <sz val="10"/>
        <rFont val="Arial"/>
        <family val="2"/>
        <charset val="204"/>
      </rPr>
      <t xml:space="preserve">
1 781,64 = [15 722,82 / 1,22 /  7,54] +  3% Трансп +  1,2% Заг.скл</t>
    </r>
  </si>
  <si>
    <r>
      <t xml:space="preserve">ОБОРУДОВАНИЕ:
Оповещатель настенный 3/1,5Вт </t>
    </r>
    <r>
      <rPr>
        <i/>
        <sz val="10"/>
        <rFont val="Arial"/>
        <family val="2"/>
        <charset val="204"/>
      </rPr>
      <t xml:space="preserve">
305,38 = [2 695 / 1,22 /  7,54] +  3% Трансп +  1,2% Заг.скл</t>
    </r>
  </si>
  <si>
    <r>
      <t xml:space="preserve">ОБОРУДОВАНИЕ:
Оповещатель потолочный 3/1,5Вт </t>
    </r>
    <r>
      <rPr>
        <i/>
        <sz val="10"/>
        <rFont val="Arial"/>
        <family val="2"/>
        <charset val="204"/>
      </rPr>
      <t xml:space="preserve">
289,96 = [2 558,84 / 1,22 /  7,54] +  3% Трансп +  1,2% Заг.скл</t>
    </r>
  </si>
  <si>
    <r>
      <t>ОБОРУДОВАНИЕ:
Фильтр оконечный</t>
    </r>
    <r>
      <rPr>
        <i/>
        <sz val="10"/>
        <rFont val="Arial"/>
        <family val="2"/>
        <charset val="204"/>
      </rPr>
      <t xml:space="preserve">
534,16 = [4 714 / 1,22 /  7,54] +  3% Трансп +  1,2% Заг.скл</t>
    </r>
  </si>
  <si>
    <r>
      <t xml:space="preserve">ОБОРУДОВАНИЕ:
Блок резервного питания </t>
    </r>
    <r>
      <rPr>
        <i/>
        <sz val="10"/>
        <rFont val="Arial"/>
        <family val="2"/>
        <charset val="204"/>
      </rPr>
      <t xml:space="preserve">
641,70 = [5 663 / 1,22 /  7,54] +  3% Трансп +  1,2% Заг.скл</t>
    </r>
  </si>
  <si>
    <r>
      <t>ОБОРУДОВАНИЕ:
Кожух для моноблоков настенного исполнения</t>
    </r>
    <r>
      <rPr>
        <i/>
        <sz val="10"/>
        <rFont val="Arial"/>
        <family val="2"/>
        <charset val="204"/>
      </rPr>
      <t xml:space="preserve">
587,95 = [5 188,63 / 1,22 /  7,54] +  3% Трансп +  1,2% Заг.скл</t>
    </r>
  </si>
  <si>
    <r>
      <t>Кабель типа PVCLSнг(А)-FRHF 4х2x0,52</t>
    </r>
    <r>
      <rPr>
        <i/>
        <sz val="10"/>
        <rFont val="Arial"/>
        <family val="2"/>
        <charset val="204"/>
      </rPr>
      <t xml:space="preserve">
3,74 = [45,52 / 1,22 /  10,18] +  2% Заг.скл</t>
    </r>
  </si>
  <si>
    <r>
      <t xml:space="preserve">Кабель типа КПСнг(А)-FRHF 1х2х1.5 </t>
    </r>
    <r>
      <rPr>
        <i/>
        <sz val="10"/>
        <rFont val="Arial"/>
        <family val="2"/>
        <charset val="204"/>
      </rPr>
      <t xml:space="preserve">
4,49 = [54,67 / 1,22 /  10,18] +  2% Заг.скл</t>
    </r>
  </si>
  <si>
    <r>
      <t>ОБОРУДОВАНИЕ:
Операционная система</t>
    </r>
    <r>
      <rPr>
        <i/>
        <sz val="10"/>
        <rFont val="Arial"/>
        <family val="2"/>
        <charset val="204"/>
      </rPr>
      <t xml:space="preserve">
1 654,39 = [14 600 / 1,22 /  7,54] +  3% Трансп +  1,2% Заг.скл</t>
    </r>
  </si>
  <si>
    <r>
      <t>ОБОРУДОВАНИЕ:
Автоматизированное рабочее место в комплекте (процессор, монитор, клавиатура, мышь)</t>
    </r>
    <r>
      <rPr>
        <i/>
        <sz val="10"/>
        <rFont val="Arial"/>
        <family val="2"/>
        <charset val="204"/>
      </rPr>
      <t xml:space="preserve">
9 679,34 = [85 420 / 1,22 /  7,54] +  3% Трансп +  1,2% Заг.скл</t>
    </r>
  </si>
  <si>
    <r>
      <t>ОБОРУДОВАНИЕ:
Источник бесперебойного питания, 600Вт</t>
    </r>
    <r>
      <rPr>
        <i/>
        <sz val="10"/>
        <rFont val="Arial"/>
        <family val="2"/>
        <charset val="204"/>
      </rPr>
      <t xml:space="preserve">
1 083,57 = [9 562,46 / 1,22 /  7,54] +  3% Трансп +  1,2% Заг.скл</t>
    </r>
  </si>
  <si>
    <r>
      <t xml:space="preserve">Патч-корд </t>
    </r>
    <r>
      <rPr>
        <i/>
        <sz val="10"/>
        <rFont val="Arial"/>
        <family val="2"/>
        <charset val="204"/>
      </rPr>
      <t xml:space="preserve">
11,60 = [141,18 / 1,22 /  10,18] +  2% Заг.скл</t>
    </r>
  </si>
  <si>
    <r>
      <t xml:space="preserve">ОБОРУДОВАНИЕ:
Модуль сопряжения </t>
    </r>
    <r>
      <rPr>
        <i/>
        <sz val="10"/>
        <rFont val="Arial"/>
        <family val="2"/>
        <charset val="204"/>
      </rPr>
      <t xml:space="preserve">
2 772,13 = [24 464 / 1,22 /  7,54] +  3% Трансп +  1,2% Заг.скл</t>
    </r>
  </si>
  <si>
    <r>
      <t>ОБОРУДОВАНИЕ:
Блок индикации и управления</t>
    </r>
    <r>
      <rPr>
        <i/>
        <sz val="10"/>
        <rFont val="Arial"/>
        <family val="2"/>
        <charset val="204"/>
      </rPr>
      <t xml:space="preserve">
2 394,57 = [21 132 / 1,22 /  7,54] +  3% Трансп +  1,2% Заг.скл</t>
    </r>
  </si>
  <si>
    <r>
      <t xml:space="preserve">ОБОРУДОВАНИЕ:
Блок питания, 12В, 2А </t>
    </r>
    <r>
      <rPr>
        <i/>
        <sz val="10"/>
        <rFont val="Arial"/>
        <family val="2"/>
        <charset val="204"/>
      </rPr>
      <t xml:space="preserve">
761,02 = [6 716 / 1,22 /  7,54] +  3% Трансп +  1,2% Заг.скл</t>
    </r>
  </si>
  <si>
    <r>
      <t>ОБОРУДОВАНИЕ:
Адресный релейный модуль</t>
    </r>
    <r>
      <rPr>
        <i/>
        <sz val="10"/>
        <rFont val="Arial"/>
        <family val="2"/>
        <charset val="204"/>
      </rPr>
      <t xml:space="preserve">
318,98 = [2 815 / 1,22 /  7,54] +  3% Трансп +  1,2% Заг.скл</t>
    </r>
  </si>
  <si>
    <r>
      <t>ОБОРУДОВАНИЕ:
Извещатель охранный магнитоуправляемый адресный</t>
    </r>
    <r>
      <rPr>
        <i/>
        <sz val="10"/>
        <rFont val="Arial"/>
        <family val="2"/>
        <charset val="204"/>
      </rPr>
      <t xml:space="preserve">
71,28 = [629 / 1,22 /  7,54] +  3% Трансп +  1,2% Заг.скл</t>
    </r>
  </si>
  <si>
    <r>
      <t xml:space="preserve">ОБОРУДОВАНИЕ:
Устройство оконечное объектовое </t>
    </r>
    <r>
      <rPr>
        <i/>
        <sz val="10"/>
        <rFont val="Arial"/>
        <family val="2"/>
        <charset val="204"/>
      </rPr>
      <t xml:space="preserve">
1 688,39 = [14 900 / 1,22 /  7,54] +  3% Трансп +  1,2% Заг.скл</t>
    </r>
  </si>
  <si>
    <r>
      <t>ОБОРУДОВАНИЕ:
Блок питания, 12В, 2А</t>
    </r>
    <r>
      <rPr>
        <i/>
        <sz val="10"/>
        <rFont val="Arial"/>
        <family val="2"/>
        <charset val="204"/>
      </rPr>
      <t xml:space="preserve">
761,02 = [6 716 / 1,22 /  7,54] +  3% Трансп +  1,2% Заг.скл</t>
    </r>
  </si>
  <si>
    <r>
      <t xml:space="preserve">ОБОРУДОВАНИЕ:
Извещатель охранный ручной точечный электроконтактный </t>
    </r>
    <r>
      <rPr>
        <i/>
        <sz val="10"/>
        <rFont val="Arial"/>
        <family val="2"/>
        <charset val="204"/>
      </rPr>
      <t xml:space="preserve">
44,98 = [397 / 1,22 /  7,54] +  3% Трансп +  1,2% Заг.скл</t>
    </r>
  </si>
  <si>
    <r>
      <t>ОБОРУДОВАНИЕ:
Радиоприемное устройство</t>
    </r>
    <r>
      <rPr>
        <i/>
        <sz val="10"/>
        <rFont val="Arial"/>
        <family val="2"/>
        <charset val="204"/>
      </rPr>
      <t xml:space="preserve">
140,39 = [1 239 / 1,22 /  7,54] +  3% Трансп +  1,2% Заг.скл</t>
    </r>
  </si>
  <si>
    <r>
      <t xml:space="preserve">ОБОРУДОВАНИЕ:
Брелок радиоканальный </t>
    </r>
    <r>
      <rPr>
        <i/>
        <sz val="10"/>
        <rFont val="Arial"/>
        <family val="2"/>
        <charset val="204"/>
      </rPr>
      <t xml:space="preserve">
115,25 = [1 017 / 1,22 /  7,54] +  3% Трансп +  1,2% Заг.скл</t>
    </r>
  </si>
  <si>
    <r>
      <t xml:space="preserve">ОБОРУДОВАНИЕ:
Индикатор прибытия наряда </t>
    </r>
    <r>
      <rPr>
        <i/>
        <sz val="10"/>
        <rFont val="Arial"/>
        <family val="2"/>
        <charset val="204"/>
      </rPr>
      <t xml:space="preserve">
45,89 = [405 / 1,22 /  7,54] +  3% Трансп +  1,2% Заг.скл</t>
    </r>
  </si>
  <si>
    <r>
      <t>Кабель интерфейса типа RS-485 20нг(А)-HF 1х2х0,5</t>
    </r>
    <r>
      <rPr>
        <i/>
        <sz val="10"/>
        <rFont val="Arial"/>
        <family val="2"/>
        <charset val="204"/>
      </rPr>
      <t xml:space="preserve">
7,88 = [95,97 / 1,22 /  10,18] +  2% Заг.скл</t>
    </r>
  </si>
  <si>
    <r>
      <t>Кабель «витая пара» для охранной сигнализации типа PVCLS 1х2х0,52  нг(А)-HF</t>
    </r>
    <r>
      <rPr>
        <i/>
        <sz val="10"/>
        <rFont val="Arial"/>
        <family val="2"/>
        <charset val="204"/>
      </rPr>
      <t xml:space="preserve">
1,12 = [13,71 / 1,22 /  10,18] +  2% Заг.скл</t>
    </r>
  </si>
  <si>
    <r>
      <t>Кабель «витая пара» для тревожной сигнализации  типа PVCLS 4х2х0,52 нг(А)-HF</t>
    </r>
    <r>
      <rPr>
        <i/>
        <sz val="10"/>
        <rFont val="Arial"/>
        <family val="2"/>
        <charset val="204"/>
      </rPr>
      <t xml:space="preserve">
7,81 = [95,09 / 1,22 /  10,18] +  2% Заг.скл</t>
    </r>
  </si>
  <si>
    <r>
      <t xml:space="preserve">ОБОРУДОВАНИЕ:
Устройство подачи программ вещания </t>
    </r>
    <r>
      <rPr>
        <i/>
        <sz val="10"/>
        <rFont val="Arial"/>
        <family val="2"/>
        <charset val="204"/>
      </rPr>
      <t xml:space="preserve">
56 920,27 = [502 320 / 1,22 /  7,54] +  3% Трансп +  1,2% Заг.скл</t>
    </r>
  </si>
  <si>
    <r>
      <t>ОБОРУДОВАНИЕ:
Устройство сопряжения с РСО г. Москвы типа УС-1</t>
    </r>
    <r>
      <rPr>
        <i/>
        <sz val="10"/>
        <rFont val="Arial"/>
        <family val="2"/>
        <charset val="204"/>
      </rPr>
      <t xml:space="preserve">
93 484,69 = [825 000 / 1,22 /  7,54] +  3% Трансп +  1,2% Заг.скл</t>
    </r>
  </si>
  <si>
    <r>
      <t xml:space="preserve">ОБОРУДОВАНИЕ:
Радиоприемник трехпрограммный </t>
    </r>
    <r>
      <rPr>
        <i/>
        <sz val="10"/>
        <rFont val="Arial"/>
        <family val="2"/>
        <charset val="204"/>
      </rPr>
      <t xml:space="preserve">
829,47 = [7 320 / 1,22 /  7,54] +  3% Трансп +  1,2% Заг.скл</t>
    </r>
  </si>
  <si>
    <r>
      <t>ОБОРУДОВАНИЕ:
Комплект крепления мачты</t>
    </r>
    <r>
      <rPr>
        <i/>
        <sz val="10"/>
        <rFont val="Arial"/>
        <family val="2"/>
        <charset val="204"/>
      </rPr>
      <t xml:space="preserve">
691,39 = [6 101,45 / 1,22 /  7,54] +  3% Трансп +  1,2% Заг.скл</t>
    </r>
  </si>
  <si>
    <r>
      <t xml:space="preserve">ОБОРУДОВАНИЕ:
Антенна эфирная УКВ-FM диапазона </t>
    </r>
    <r>
      <rPr>
        <i/>
        <sz val="10"/>
        <rFont val="Arial"/>
        <family val="2"/>
        <charset val="204"/>
      </rPr>
      <t xml:space="preserve">
1 269,13 = [11 200 / 1,22 /  7,54] +  3% Трансп +  1,2% Заг.скл</t>
    </r>
  </si>
  <si>
    <r>
      <t>ОБОРУДОВАНИЕ:
Комплект заземления мачты</t>
    </r>
    <r>
      <rPr>
        <i/>
        <sz val="10"/>
        <rFont val="Arial"/>
        <family val="2"/>
        <charset val="204"/>
      </rPr>
      <t xml:space="preserve">
328,62 = [2 900 / 1,22 /  7,54] +  3% Трансп +  1,2% Заг.скл</t>
    </r>
  </si>
  <si>
    <r>
      <t xml:space="preserve">ОБОРУДОВАНИЕ:
Антенна коллинеарная 470 МГц </t>
    </r>
    <r>
      <rPr>
        <i/>
        <sz val="10"/>
        <rFont val="Arial"/>
        <family val="2"/>
        <charset val="204"/>
      </rPr>
      <t xml:space="preserve">
1 383,12 = [12 206 / 1,22 /  7,54] +  3% Трансп +  1,2% Заг.скл</t>
    </r>
  </si>
  <si>
    <r>
      <t xml:space="preserve">ОБОРУДОВАНИЕ:
Грозозащита на 75 Ом </t>
    </r>
    <r>
      <rPr>
        <i/>
        <sz val="10"/>
        <rFont val="Arial"/>
        <family val="2"/>
        <charset val="204"/>
      </rPr>
      <t xml:space="preserve">
768,27 = [6 780 / 1,22 /  7,54] +  3% Трансп +  1,2% Заг.скл</t>
    </r>
  </si>
  <si>
    <r>
      <t xml:space="preserve">ОБОРУДОВАНИЕ:
Грозозащита N-типа на 50 Ом </t>
    </r>
    <r>
      <rPr>
        <i/>
        <sz val="10"/>
        <rFont val="Arial"/>
        <family val="2"/>
        <charset val="204"/>
      </rPr>
      <t xml:space="preserve">
585,84 = [5 170 / 1,22 /  7,54] +  3% Трансп +  1,2% Заг.скл</t>
    </r>
  </si>
  <si>
    <r>
      <t xml:space="preserve">ОБОРУДОВАНИЕ:
Головная станция  </t>
    </r>
    <r>
      <rPr>
        <i/>
        <sz val="10"/>
        <rFont val="Arial"/>
        <family val="2"/>
        <charset val="204"/>
      </rPr>
      <t xml:space="preserve">
9 396,45 = [82 923,38 / 1,22 /  7,54] +  3% Трансп +  1,2% Заг.скл</t>
    </r>
  </si>
  <si>
    <r>
      <t xml:space="preserve">ОБОРУДОВАНИЕ:
Антенный усилитель с БП 12В, Ку= 14/27 </t>
    </r>
    <r>
      <rPr>
        <i/>
        <sz val="10"/>
        <rFont val="Arial"/>
        <family val="2"/>
        <charset val="204"/>
      </rPr>
      <t xml:space="preserve">
237,96 = [2 100 / 1,22 /  7,54] +  3% Трансп +  1,2% Заг.скл</t>
    </r>
  </si>
  <si>
    <r>
      <t xml:space="preserve">ОБОРУДОВАНИЕ:
Антенна </t>
    </r>
    <r>
      <rPr>
        <i/>
        <sz val="10"/>
        <rFont val="Arial"/>
        <family val="2"/>
        <charset val="204"/>
      </rPr>
      <t xml:space="preserve">
623,23 = [5 500 / 1,22 /  7,54] +  3% Трансп +  1,2% Заг.скл</t>
    </r>
  </si>
  <si>
    <r>
      <t xml:space="preserve">ОБОРУДОВАНИЕ:
Грозозащита на 75 Ом </t>
    </r>
    <r>
      <rPr>
        <i/>
        <sz val="10"/>
        <rFont val="Arial"/>
        <family val="2"/>
        <charset val="204"/>
      </rPr>
      <t xml:space="preserve">
687,94 = [6 071,03 / 1,22 /  7,54] +  3% Трансп +  1,2% Заг.скл</t>
    </r>
  </si>
  <si>
    <r>
      <t>ОБОРУДОВАНИЕ:
Телекоммуникационный шкаф типоразмера 19", 42U шир.800мм, гл.800мм, 3 каб.ввода передняя дверь стеклянная,задняя дв.перфорированные,1-створчатые, боковые панели,шнуры заземления,ножки-4поворотных колеса,белый</t>
    </r>
    <r>
      <rPr>
        <i/>
        <sz val="10"/>
        <rFont val="Arial"/>
        <family val="2"/>
        <charset val="204"/>
      </rPr>
      <t xml:space="preserve">
20 560,41 = [181 445 / 1,22 /  7,54] +  3% Трансп +  1,2% Заг.скл</t>
    </r>
  </si>
  <si>
    <r>
      <t xml:space="preserve">ОБОРУДОВАНИЕ:
Набор проводов заземления, 4 провода 250мм х4мм2, 4 провода 150мм х4мм2 </t>
    </r>
    <r>
      <rPr>
        <i/>
        <sz val="10"/>
        <rFont val="Arial"/>
        <family val="2"/>
        <charset val="204"/>
      </rPr>
      <t xml:space="preserve">
93,43 = [824,5 / 1,22 /  7,54] +  3% Трансп +  1,2% Заг.скл</t>
    </r>
  </si>
  <si>
    <r>
      <t xml:space="preserve">ОБОРУДОВАНИЕ:
Вентиляторная панель 19" 1U, 6 вентиляторов, с контроллером </t>
    </r>
    <r>
      <rPr>
        <i/>
        <sz val="10"/>
        <rFont val="Arial"/>
        <family val="2"/>
        <charset val="204"/>
      </rPr>
      <t xml:space="preserve">
1 879,15 = [16 583,5 / 1,22 /  7,54] +  3% Трансп +  1,2% Заг.скл</t>
    </r>
  </si>
  <si>
    <r>
      <t>Шнур питания для вент .панели с разъемом питания через УЗО</t>
    </r>
    <r>
      <rPr>
        <i/>
        <sz val="10"/>
        <rFont val="Arial"/>
        <family val="2"/>
        <charset val="204"/>
      </rPr>
      <t xml:space="preserve">
17,25 = [210 / 1,22 /  10,18] +  2% Заг.скл</t>
    </r>
  </si>
  <si>
    <r>
      <t>Выдвижная полка для клавиатуры, 450мм</t>
    </r>
    <r>
      <rPr>
        <i/>
        <sz val="10"/>
        <rFont val="Arial"/>
        <family val="2"/>
        <charset val="204"/>
      </rPr>
      <t xml:space="preserve">
538,26 = [6 554 / 1,22 /  10,18] +  2% Заг.скл</t>
    </r>
  </si>
  <si>
    <r>
      <t xml:space="preserve">ОБОРУДОВАНИЕ:
Панель освещения на магнитах, универсальная цвет белый </t>
    </r>
    <r>
      <rPr>
        <i/>
        <sz val="10"/>
        <rFont val="Arial"/>
        <family val="2"/>
        <charset val="204"/>
      </rPr>
      <t xml:space="preserve">
965,96 = [8 524,65 / 1,22 /  7,54] +  3% Трансп +  1,2% Заг.скл</t>
    </r>
  </si>
  <si>
    <r>
      <t>Набор для крепления лотков к крышке шкафов, высота 50мм</t>
    </r>
    <r>
      <rPr>
        <i/>
        <sz val="10"/>
        <rFont val="Arial"/>
        <family val="2"/>
        <charset val="204"/>
      </rPr>
      <t xml:space="preserve">
156,05 = [1 900,09 / 1,22 /  10,18] +  2% Заг.скл</t>
    </r>
  </si>
  <si>
    <r>
      <t>ОБОРУДОВАНИЕ:
Шина заземления 19" (500мм), 20 точек,5х15мм</t>
    </r>
    <r>
      <rPr>
        <i/>
        <sz val="10"/>
        <rFont val="Arial"/>
        <family val="2"/>
        <charset val="204"/>
      </rPr>
      <t xml:space="preserve">
494,16 = [4 361 / 1,22 /  7,54] +  3% Трансп +  1,2% Заг.скл</t>
    </r>
  </si>
  <si>
    <r>
      <t xml:space="preserve">ОБОРУДОВАНИЕ:
Вертикальный органайзер с крышкой , 2шт </t>
    </r>
    <r>
      <rPr>
        <i/>
        <sz val="10"/>
        <rFont val="Arial"/>
        <family val="2"/>
        <charset val="204"/>
      </rPr>
      <t xml:space="preserve">
4 839,73 = [42 710,46 / 1,22 /  7,54] +  3% Трансп +  1,2% Заг.скл</t>
    </r>
  </si>
  <si>
    <r>
      <t xml:space="preserve">ОБОРУДОВАНИЕ:
Источник бесперебойного питания 5000VA/3500W, 230В, 8 выходов, 2U 9A/ч в комплекте диск с ПО, крепление для установки в 19"стойку встроенная панель с клеммной колодкой для подключения эл.кабеля </t>
    </r>
    <r>
      <rPr>
        <i/>
        <sz val="10"/>
        <rFont val="Arial"/>
        <family val="2"/>
        <charset val="204"/>
      </rPr>
      <t xml:space="preserve">
7 832,09 = [69 118 / 1,22 /  7,54] +  3% Трансп +  1,2% Заг.скл</t>
    </r>
  </si>
  <si>
    <r>
      <t>ОБОРУДОВАНИЕ:
Батарейный блок</t>
    </r>
    <r>
      <rPr>
        <i/>
        <sz val="10"/>
        <rFont val="Arial"/>
        <family val="2"/>
        <charset val="204"/>
      </rPr>
      <t xml:space="preserve">
3 798,73 = [33 523,78 / 1,22 /  7,54] +  3% Трансп +  1,2% Заг.скл</t>
    </r>
  </si>
  <si>
    <r>
      <t>Блок розеток, шнур с евровилкой, 8 гнезд с шторкой, 250В, 16А, мак.мощ.3,5квт, 1U, в 19"</t>
    </r>
    <r>
      <rPr>
        <i/>
        <sz val="10"/>
        <rFont val="Arial"/>
        <family val="2"/>
        <charset val="204"/>
      </rPr>
      <t xml:space="preserve">
137,15 = [1 670 / 1,22 /  10,18] +  2% Заг.скл</t>
    </r>
  </si>
  <si>
    <r>
      <t xml:space="preserve">ОБОРУДОВАНИЕ:
Коммутационная панель,1U,п-корды </t>
    </r>
    <r>
      <rPr>
        <i/>
        <sz val="10"/>
        <rFont val="Arial"/>
        <family val="2"/>
        <charset val="204"/>
      </rPr>
      <t xml:space="preserve">
1 158,28 = [10 221,81 / 1,22 /  7,54] +  3% Трансп +  1,2% Заг.скл</t>
    </r>
  </si>
  <si>
    <r>
      <t xml:space="preserve">ОБОРУДОВАНИЕ:
Горизонтальный органайзер, слотовый с крышкой, белый, 1U </t>
    </r>
    <r>
      <rPr>
        <i/>
        <sz val="10"/>
        <rFont val="Arial"/>
        <family val="2"/>
        <charset val="204"/>
      </rPr>
      <t xml:space="preserve">
66,61 = [587,78 / 1,22 /  7,54] +  3% Трансп +  1,2% Заг.скл</t>
    </r>
  </si>
  <si>
    <r>
      <t xml:space="preserve">ОБОРУДОВАНИЕ:
Оптич.панель кроссовая с 1-модовыми адаптерами 1U </t>
    </r>
    <r>
      <rPr>
        <i/>
        <sz val="10"/>
        <rFont val="Arial"/>
        <family val="2"/>
        <charset val="204"/>
      </rPr>
      <t xml:space="preserve">
1 523,29 = [13 443 / 1,22 /  7,54] +  3% Трансп +  1,2% Заг.скл</t>
    </r>
  </si>
  <si>
    <r>
      <t xml:space="preserve">Консольная полка с креплением за раму, 1U </t>
    </r>
    <r>
      <rPr>
        <i/>
        <sz val="10"/>
        <rFont val="Arial"/>
        <family val="2"/>
        <charset val="204"/>
      </rPr>
      <t xml:space="preserve">
46,16 = [562 / 1,22 /  10,18] +  2% Заг.скл</t>
    </r>
  </si>
  <si>
    <r>
      <t xml:space="preserve">Розетка RJ-45 cat.5e </t>
    </r>
    <r>
      <rPr>
        <i/>
        <sz val="10"/>
        <rFont val="Arial"/>
        <family val="2"/>
        <charset val="204"/>
      </rPr>
      <t xml:space="preserve">
37,68 = [458,8 / 1,22 /  10,18] +  2% Заг.скл</t>
    </r>
  </si>
  <si>
    <r>
      <t xml:space="preserve">Двойная Розетка RJ-45 cat.5e </t>
    </r>
    <r>
      <rPr>
        <i/>
        <sz val="10"/>
        <rFont val="Arial"/>
        <family val="2"/>
        <charset val="204"/>
      </rPr>
      <t xml:space="preserve">
77,52 = [943,84 / 1,22 /  10,18] +  2% Заг.скл</t>
    </r>
  </si>
  <si>
    <r>
      <t xml:space="preserve">ОБОРУДОВАНИЕ:
Управляемый коммутатор 2 уровня  48порта, 4 порта </t>
    </r>
    <r>
      <rPr>
        <i/>
        <sz val="10"/>
        <rFont val="Arial"/>
        <family val="2"/>
        <charset val="204"/>
      </rPr>
      <t xml:space="preserve">
45 269,26 = [399 500 / 1,22 /  7,54] +  3% Трансп +  1,2% Заг.скл</t>
    </r>
  </si>
  <si>
    <r>
      <t xml:space="preserve">ОБОРУДОВАНИЕ:
IP-телефон </t>
    </r>
    <r>
      <rPr>
        <i/>
        <sz val="10"/>
        <rFont val="Arial"/>
        <family val="2"/>
        <charset val="204"/>
      </rPr>
      <t xml:space="preserve">
3 018,59 = [26 639 / 1,22 /  7,54] +  3% Трансп +  1,2% Заг.скл</t>
    </r>
  </si>
  <si>
    <r>
      <t>ОБОРУДОВАНИЕ:
Патч-корд,ордномодовый  длиной 0.5м, разъемы 9/125</t>
    </r>
    <r>
      <rPr>
        <i/>
        <sz val="10"/>
        <rFont val="Arial"/>
        <family val="2"/>
        <charset val="204"/>
      </rPr>
      <t xml:space="preserve">
28,65 = [252,89 / 1,22 /  7,54] +  3% Трансп +  1,2% Заг.скл</t>
    </r>
  </si>
  <si>
    <r>
      <t>ОБОРУДОВАНИЕ:
Патч-корд,ордномодовый  длиной 1.0м, разъемы 9/125</t>
    </r>
    <r>
      <rPr>
        <i/>
        <sz val="10"/>
        <rFont val="Arial"/>
        <family val="2"/>
        <charset val="204"/>
      </rPr>
      <t xml:space="preserve">
47,73 = [421,17 / 1,22 /  7,54] +  3% Трансп +  1,2% Заг.скл</t>
    </r>
  </si>
  <si>
    <r>
      <t>Кабель волоконно-оптический 9/125  одномодовый,8 волокон плотное буферное покрытие,для внутренней прокладки, черный типа ОМР-У-нг(А)-HF</t>
    </r>
    <r>
      <rPr>
        <i/>
        <sz val="10"/>
        <rFont val="Arial"/>
        <family val="2"/>
        <charset val="204"/>
      </rPr>
      <t xml:space="preserve">
15,92 = [193,87 / 1,22 /  10,18] +  2% Заг.скл</t>
    </r>
  </si>
  <si>
    <r>
      <t xml:space="preserve">ОБОРУДОВАНИЕ:
Устройство грозозащиты </t>
    </r>
    <r>
      <rPr>
        <i/>
        <sz val="10"/>
        <rFont val="Arial"/>
        <family val="2"/>
        <charset val="204"/>
      </rPr>
      <t xml:space="preserve">
326,34 = [2 880 / 1,22 /  7,54] +  3% Трансп +  1,2% Заг.скл</t>
    </r>
  </si>
  <si>
    <r>
      <t xml:space="preserve">ОБОРУДОВАНИЕ:
Видеорегистратор до 32 IP-видеокамер </t>
    </r>
    <r>
      <rPr>
        <i/>
        <sz val="10"/>
        <rFont val="Arial"/>
        <family val="2"/>
        <charset val="204"/>
      </rPr>
      <t xml:space="preserve">
2 275,93 = [20 085 / 1,22 /  7,54] +  3% Трансп +  1,2% Заг.скл</t>
    </r>
  </si>
  <si>
    <r>
      <t xml:space="preserve">ОБОРУДОВАНИЕ:
Модуль защиты </t>
    </r>
    <r>
      <rPr>
        <i/>
        <sz val="10"/>
        <rFont val="Arial"/>
        <family val="2"/>
        <charset val="204"/>
      </rPr>
      <t xml:space="preserve">
220,86 = [1 949 / 1,22 /  7,54] +  3% Трансп +  1,2% Заг.скл</t>
    </r>
  </si>
  <si>
    <r>
      <t xml:space="preserve">ОБОРУДОВАНИЕ:
Автоматизированное рабочее место, моноблок </t>
    </r>
    <r>
      <rPr>
        <i/>
        <sz val="10"/>
        <rFont val="Arial"/>
        <family val="2"/>
        <charset val="204"/>
      </rPr>
      <t xml:space="preserve">
16 661,80 = [147 040 / 1,22 /  7,54] +  3% Трансп +  1,2% Заг.скл</t>
    </r>
  </si>
  <si>
    <r>
      <t xml:space="preserve">Коммутационный шнур (патч-корд) кат.5E 1м синий </t>
    </r>
    <r>
      <rPr>
        <i/>
        <sz val="10"/>
        <rFont val="Arial"/>
        <family val="2"/>
        <charset val="204"/>
      </rPr>
      <t xml:space="preserve">
19,68 = [239,53 / 1,22 /  10,18] +  2% Заг.скл</t>
    </r>
  </si>
  <si>
    <r>
      <t xml:space="preserve">Изолирующий колпачек для разъемов </t>
    </r>
    <r>
      <rPr>
        <i/>
        <sz val="10"/>
        <rFont val="Arial"/>
        <family val="2"/>
        <charset val="204"/>
      </rPr>
      <t xml:space="preserve">
0,32 = [3,79 / 1,22 /  10,18] +  2% Заг.скл</t>
    </r>
  </si>
  <si>
    <r>
      <t>ОБОРУДОВАНИЕ:
Источник бесперебойного питания 1500 Вт,36В (3x9Ач)</t>
    </r>
    <r>
      <rPr>
        <i/>
        <sz val="10"/>
        <rFont val="Arial"/>
        <family val="2"/>
        <charset val="204"/>
      </rPr>
      <t xml:space="preserve">
7 525,80 = [66 415 / 1,22 /  7,54] +  3% Трансп +  1,2% Заг.скл</t>
    </r>
  </si>
  <si>
    <r>
      <t xml:space="preserve">ОБОРУДОВАНИЕ:
1U патч-панель кат.5E 24 порта высокой  плотности </t>
    </r>
    <r>
      <rPr>
        <i/>
        <sz val="10"/>
        <rFont val="Arial"/>
        <family val="2"/>
        <charset val="204"/>
      </rPr>
      <t xml:space="preserve">
493,37 = [4 354 / 1,22 /  7,54] +  3% Трансп +  1,2% Заг.скл</t>
    </r>
  </si>
  <si>
    <r>
      <t>ОБОРУДОВАНИЕ:
Шкаф монтажный телекоммуникационный 19" напольный  для распределительного и серверного оборудования 32U  600x600x1610mm (ШхГхВ) передняя стеклянная и задняя сплошная  металлическая двери, ручка с замком, цвет серый</t>
    </r>
    <r>
      <rPr>
        <i/>
        <sz val="10"/>
        <rFont val="Arial"/>
        <family val="2"/>
        <charset val="204"/>
      </rPr>
      <t xml:space="preserve">
5 921,61 = [52 258 / 1,22 /  7,54] +  3% Трансп +  1,2% Заг.скл</t>
    </r>
  </si>
  <si>
    <r>
      <t xml:space="preserve">ОБОРУДОВАНИЕ:
Сетевой контроллер доступа  до 8 точек, встроенное ПО </t>
    </r>
    <r>
      <rPr>
        <i/>
        <sz val="10"/>
        <rFont val="Arial"/>
        <family val="2"/>
        <charset val="204"/>
      </rPr>
      <t xml:space="preserve">
7 308,80 = [64 500 / 1,22 /  7,54] +  3% Трансп +  1,2% Заг.скл</t>
    </r>
  </si>
  <si>
    <r>
      <t>ОБОРУДОВАНИЕ:
Модуль доступа-контроллер доступа на 2 точки прохода, встроенный источник питания и место под АБК</t>
    </r>
    <r>
      <rPr>
        <i/>
        <sz val="10"/>
        <rFont val="Arial"/>
        <family val="2"/>
        <charset val="204"/>
      </rPr>
      <t xml:space="preserve">
1 801,70 = [15 900 / 1,22 /  7,54] +  3% Трансп +  1,2% Заг.скл</t>
    </r>
  </si>
  <si>
    <r>
      <t xml:space="preserve">ОБОРУДОВАНИЕ:
Электромагнитный замок с монтажным комплектом </t>
    </r>
    <r>
      <rPr>
        <i/>
        <sz val="10"/>
        <rFont val="Arial"/>
        <family val="2"/>
        <charset val="204"/>
      </rPr>
      <t xml:space="preserve">
1 846,47 = [16 295,1 / 1,22 /  7,54] +  3% Трансп +  1,2% Заг.скл</t>
    </r>
  </si>
  <si>
    <r>
      <t xml:space="preserve">ОБОРУДОВАНИЕ:
Карта формата Mifare стандартная </t>
    </r>
    <r>
      <rPr>
        <i/>
        <sz val="10"/>
        <rFont val="Arial"/>
        <family val="2"/>
        <charset val="204"/>
      </rPr>
      <t xml:space="preserve">
2,04 = [18 / 1,22 /  7,54] +  3% Трансп +  1,2% Заг.скл</t>
    </r>
  </si>
  <si>
    <r>
      <t xml:space="preserve">ОБОРУДОВАНИЕ:
Кнопка выхода </t>
    </r>
    <r>
      <rPr>
        <i/>
        <sz val="10"/>
        <rFont val="Arial"/>
        <family val="2"/>
        <charset val="204"/>
      </rPr>
      <t xml:space="preserve">
130,32 = [1 150 / 1,22 /  7,54] +  3% Трансп +  1,2% Заг.скл</t>
    </r>
  </si>
  <si>
    <r>
      <t xml:space="preserve">ОБОРУДОВАНИЕ:
Резервный источник питания,12В </t>
    </r>
    <r>
      <rPr>
        <i/>
        <sz val="10"/>
        <rFont val="Arial"/>
        <family val="2"/>
        <charset val="204"/>
      </rPr>
      <t xml:space="preserve">
981,98 = [8 666 / 1,22 /  7,54] +  3% Трансп +  1,2% Заг.скл</t>
    </r>
  </si>
  <si>
    <r>
      <t>ОБОРУДОВАНИЕ:
Коммутационная панель категории 5е ,1U</t>
    </r>
    <r>
      <rPr>
        <i/>
        <sz val="10"/>
        <rFont val="Arial"/>
        <family val="2"/>
        <charset val="204"/>
      </rPr>
      <t xml:space="preserve">
189,02 = [1 668,15 / 1,22 /  7,54] +  3% Трансп +  1,2% Заг.скл</t>
    </r>
  </si>
  <si>
    <r>
      <t xml:space="preserve">ОБОРУДОВАНИЕ:
Горизонтальный органайзер, слотовый с крышкой, белый, 1U </t>
    </r>
    <r>
      <rPr>
        <i/>
        <sz val="10"/>
        <rFont val="Arial"/>
        <family val="2"/>
        <charset val="204"/>
      </rPr>
      <t xml:space="preserve">
55,20 = [487,2 / 1,22 /  7,54] +  3% Трансп +  1,2% Заг.скл</t>
    </r>
  </si>
  <si>
    <r>
      <t xml:space="preserve">ОБОРУДОВАНИЕ:
Источник бесперебойного питания </t>
    </r>
    <r>
      <rPr>
        <i/>
        <sz val="10"/>
        <rFont val="Arial"/>
        <family val="2"/>
        <charset val="204"/>
      </rPr>
      <t xml:space="preserve">
4 549,59 = [40 150 / 1,22 /  7,54] +  3% Трансп +  1,2% Заг.скл</t>
    </r>
  </si>
  <si>
    <r>
      <t>Кабель типа 20нг(А)-FRHF-1х2х0.5</t>
    </r>
    <r>
      <rPr>
        <i/>
        <sz val="10"/>
        <rFont val="Arial"/>
        <family val="2"/>
        <charset val="204"/>
      </rPr>
      <t xml:space="preserve">
5,82 = [70,91 / 1,22 /  10,18] +  2% Заг.скл</t>
    </r>
  </si>
  <si>
    <r>
      <t>ОБОРУДОВАНИЕ:
Монитор IP-видеодомофона 4.3" ,РоЕ, поддержкой подключения IP-вызывных панелей и IP-камер</t>
    </r>
    <r>
      <rPr>
        <i/>
        <sz val="10"/>
        <rFont val="Arial"/>
        <family val="2"/>
        <charset val="204"/>
      </rPr>
      <t xml:space="preserve">
940,51 = [8 300 / 1,22 /  7,54] +  3% Трансп +  1,2% Заг.скл</t>
    </r>
  </si>
  <si>
    <r>
      <t>ОБОРУДОВАНИЕ:
Патч-корд RJ45, cat.5е, 1.0м</t>
    </r>
    <r>
      <rPr>
        <i/>
        <sz val="10"/>
        <rFont val="Arial"/>
        <family val="2"/>
        <charset val="204"/>
      </rPr>
      <t xml:space="preserve">
10,09 = [89 / 1,22 /  7,54] +  3% Трансп +  1,2% Заг.скл</t>
    </r>
  </si>
  <si>
    <r>
      <t>ОБОРУДОВАНИЕ:
Источник бесперебойного питания</t>
    </r>
    <r>
      <rPr>
        <i/>
        <sz val="10"/>
        <rFont val="Arial"/>
        <family val="2"/>
        <charset val="204"/>
      </rPr>
      <t xml:space="preserve">
465,17 = [4 105,08 / 1,22 /  7,54] +  3% Трансп +  1,2% Заг.скл</t>
    </r>
  </si>
  <si>
    <r>
      <t xml:space="preserve">ОБОРУДОВАНИЕ:
Контроллер </t>
    </r>
    <r>
      <rPr>
        <i/>
        <sz val="10"/>
        <rFont val="Arial"/>
        <family val="2"/>
        <charset val="204"/>
      </rPr>
      <t xml:space="preserve">
4 131,92 = [36 464 / 1,22 /  7,54] +  3% Трансп +  1,2% Заг.скл</t>
    </r>
  </si>
  <si>
    <r>
      <t>ОБОРУДОВАНИЕ:
Источник бесперебойного питания</t>
    </r>
    <r>
      <rPr>
        <i/>
        <sz val="10"/>
        <rFont val="Arial"/>
        <family val="2"/>
        <charset val="204"/>
      </rPr>
      <t xml:space="preserve">
6 498,38 = [57 348 / 1,22 /  7,54] +  3% Трансп +  1,2% Заг.скл</t>
    </r>
  </si>
  <si>
    <r>
      <t xml:space="preserve">ОБОРУДОВАНИЕ:
Модуль релейный                                </t>
    </r>
    <r>
      <rPr>
        <i/>
        <sz val="10"/>
        <rFont val="Arial"/>
        <family val="2"/>
        <charset val="204"/>
      </rPr>
      <t>352,19 = [3 108 / 1,22 /  7,54] +  3% Трансп +  1,2% Заг.скл</t>
    </r>
  </si>
  <si>
    <r>
      <t>Кабель для систем передачи данных ТЭТ типа нг(А)-HF 1x2x0,75</t>
    </r>
    <r>
      <rPr>
        <i/>
        <sz val="10"/>
        <rFont val="Arial"/>
        <family val="2"/>
        <charset val="204"/>
      </rPr>
      <t xml:space="preserve">
6,05 = [73,63 / 1,22 /  10,18] +  2% Заг.скл</t>
    </r>
  </si>
  <si>
    <r>
      <t>ОБОРУДОВАНИЕ:
Блок навесной</t>
    </r>
    <r>
      <rPr>
        <i/>
        <sz val="10"/>
        <rFont val="Arial"/>
        <family val="2"/>
        <charset val="204"/>
      </rPr>
      <t xml:space="preserve">
20,61 = [181,91 / 1,22 /  7,54] +  3% Трансп +  1,2% Заг.скл</t>
    </r>
  </si>
  <si>
    <r>
      <t>1.12-5-880</t>
    </r>
    <r>
      <rPr>
        <i/>
        <sz val="10"/>
        <rFont val="Arial"/>
        <family val="2"/>
        <charset val="204"/>
      </rPr>
      <t xml:space="preserve">
</t>
    </r>
  </si>
  <si>
    <r>
      <t>1.12-2-1167</t>
    </r>
    <r>
      <rPr>
        <i/>
        <sz val="10"/>
        <rFont val="Arial"/>
        <family val="2"/>
        <charset val="204"/>
      </rPr>
      <t xml:space="preserve">
</t>
    </r>
  </si>
  <si>
    <r>
      <t>1.12-2-1165</t>
    </r>
    <r>
      <rPr>
        <i/>
        <sz val="10"/>
        <rFont val="Arial"/>
        <family val="2"/>
        <charset val="204"/>
      </rPr>
      <t xml:space="preserve">
</t>
    </r>
  </si>
  <si>
    <t>1.12-5-97</t>
  </si>
  <si>
    <t>1.1-1-2544</t>
  </si>
  <si>
    <r>
      <t>ОБОРУДОВАНИЕ:
Адресный релейный модуль,IP20, 1 релейный выход</t>
    </r>
    <r>
      <rPr>
        <i/>
        <sz val="10"/>
        <rFont val="Arial"/>
        <family val="2"/>
        <charset val="204"/>
      </rPr>
      <t xml:space="preserve">
318,98 = [2 815 / 1,22 /  7,54] +  3% Трансп +  1,2% Заг.скл</t>
    </r>
  </si>
  <si>
    <r>
      <t>ОБОРУДОВАНИЕ:
Адресный релейный модуль,4 релейных выхода,IP30</t>
    </r>
    <r>
      <rPr>
        <i/>
        <sz val="10"/>
        <rFont val="Arial"/>
        <family val="2"/>
        <charset val="204"/>
      </rPr>
      <t xml:space="preserve">
416,44 = [3 675 / 1,22 /  7,54] +  3% Трансп +  1,2% Заг.скл</t>
    </r>
  </si>
  <si>
    <r>
      <t>ОБОРУДОВАНИЕ:
Адресный релейный модуль, 1 релейный выход,IP30</t>
    </r>
    <r>
      <rPr>
        <i/>
        <sz val="10"/>
        <rFont val="Arial"/>
        <family val="2"/>
        <charset val="204"/>
      </rPr>
      <t xml:space="preserve">
352,19 = [3 108 / 1,22 /  7,54] +  3% Трансп +  1,2% Заг.скл</t>
    </r>
  </si>
  <si>
    <r>
      <t>1.21-5-1469</t>
    </r>
    <r>
      <rPr>
        <i/>
        <sz val="10"/>
        <rFont val="Arial"/>
        <family val="2"/>
        <charset val="204"/>
      </rPr>
      <t xml:space="preserve">
</t>
    </r>
  </si>
  <si>
    <r>
      <t>1.12-5-169</t>
    </r>
    <r>
      <rPr>
        <i/>
        <sz val="10"/>
        <rFont val="Arial"/>
        <family val="2"/>
        <charset val="204"/>
      </rPr>
      <t xml:space="preserve">
</t>
    </r>
  </si>
  <si>
    <t>ОБОРУДОВАНИЕ:
Оповещатель охранно-пожарный световой. Напряжение питания от 10,2 до 15 В, потребляемый ток от 18 до 22 мА, степень защиты IP55</t>
  </si>
  <si>
    <r>
      <t>ОБОРУДОВАНИЕ:
Извещатель охранный звуковой адресный</t>
    </r>
    <r>
      <rPr>
        <i/>
        <sz val="10"/>
        <rFont val="Arial"/>
        <family val="2"/>
        <charset val="204"/>
      </rPr>
      <t xml:space="preserve">
250,20 = [2 208 / 1,22 /  7,54] +  3% Трансп +  1,2% Заг.скл</t>
    </r>
  </si>
  <si>
    <r>
      <t>ОБОРУДОВАНИЕ:
Извещатель охранный объемный</t>
    </r>
    <r>
      <rPr>
        <i/>
        <sz val="10"/>
        <rFont val="Arial"/>
        <family val="2"/>
        <charset val="204"/>
      </rPr>
      <t xml:space="preserve">
252,47 = [2 228 / 1,22 /  7,54] +  3% Трансп +  1,2% Заг.скл</t>
    </r>
  </si>
  <si>
    <t>ОБОРУДОВАНИЕ:
Извещатель охранный ручной, точечный, электроконтактный. Коммутируемое напряжение от 5 до 125 В, коммутируемый ток от 0,001 до 1,0 А, переходное сопротивление замкнутых контактов не более 0,5 Ом, усилие срабатывания от 0,5 до 1,0 кг, ход кнопки не более 5 мм, уровень звука при срабатывании менее 60 дБ в импульсе</t>
  </si>
  <si>
    <t>Переход телевизионный F-"мама"/IEC-"папа" прямой, Разъем N-типа на кабель РК50-7-37нг(А)-HF N-112/8D; Разъем ТNС-типа на кабель РК50-7-37нг(А)-HF типа Т-112/8D</t>
  </si>
  <si>
    <r>
      <t xml:space="preserve">Кабель распределительный  типа  10нг(А)-HF-ХЛ 1х2х1,5 </t>
    </r>
    <r>
      <rPr>
        <i/>
        <sz val="10"/>
        <rFont val="Arial"/>
        <family val="2"/>
        <charset val="204"/>
      </rPr>
      <t xml:space="preserve">
7,03 = [85,57 / 1,22 /  10,18] +  2% Заг.скл</t>
    </r>
  </si>
  <si>
    <r>
      <t>Кабель абонентский типа КПСППнг(А)-HF 1х2х0,5</t>
    </r>
    <r>
      <rPr>
        <i/>
        <sz val="10"/>
        <rFont val="Arial"/>
        <family val="2"/>
        <charset val="204"/>
      </rPr>
      <t xml:space="preserve">
3,09 = [37,6 / 1,22 /  10,18] +  2% Заг.скл</t>
    </r>
  </si>
  <si>
    <t>Ответвитель на 4 направления, диапазон рабочих частот от 5 до 1300 МГц</t>
  </si>
  <si>
    <r>
      <t>ОБОРУДОВАНИЕ:
Цифровая IP АТС до 100 абонентов, RJ-45 -4шт, USB 2.0-1шт, USB 3.0-1шт, слот для SD карты-1шт, COM-порт</t>
    </r>
    <r>
      <rPr>
        <i/>
        <sz val="10"/>
        <rFont val="Arial"/>
        <family val="2"/>
        <charset val="204"/>
      </rPr>
      <t xml:space="preserve">
38 429,80 = [339 142 / 1,22 /  7,54] +  3% Трансп +  1,2% Заг.скл</t>
    </r>
  </si>
  <si>
    <r>
      <t>1.21-5-1137</t>
    </r>
    <r>
      <rPr>
        <i/>
        <sz val="10"/>
        <rFont val="Arial"/>
        <family val="2"/>
        <charset val="204"/>
      </rPr>
      <t xml:space="preserve">
</t>
    </r>
  </si>
  <si>
    <r>
      <t>Соединитель проволочного лотка 20 одинарный</t>
    </r>
    <r>
      <rPr>
        <i/>
        <sz val="10"/>
        <rFont val="Arial"/>
        <family val="2"/>
        <charset val="204"/>
      </rPr>
      <t xml:space="preserve">
1,76 = [21,44 / 1,22 /  10,18] +  2% Заг.скл</t>
    </r>
  </si>
  <si>
    <r>
      <t xml:space="preserve">Соединитель проволочного лотка двойной 20 </t>
    </r>
    <r>
      <rPr>
        <i/>
        <sz val="10"/>
        <rFont val="Arial"/>
        <family val="2"/>
        <charset val="204"/>
      </rPr>
      <t xml:space="preserve">
2,16 = [26,37 / 1,22 /  10,18] +  2% Заг.скл</t>
    </r>
  </si>
  <si>
    <r>
      <t>1.1-1-617</t>
    </r>
    <r>
      <rPr>
        <i/>
        <sz val="10"/>
        <rFont val="Arial"/>
        <family val="2"/>
        <charset val="204"/>
      </rPr>
      <t xml:space="preserve">
</t>
    </r>
  </si>
  <si>
    <r>
      <t xml:space="preserve">ОБОРУДОВАНИЕ:
IP-видеокамера купольная 4Мп с фиксированным объективом 2,8мм  </t>
    </r>
    <r>
      <rPr>
        <i/>
        <sz val="10"/>
        <rFont val="Arial"/>
        <family val="2"/>
        <charset val="204"/>
      </rPr>
      <t xml:space="preserve">
1 585,28 = [13 990 / 1,22 /  7,54] +  3% Трансп +  1,2% Заг.скл</t>
    </r>
  </si>
  <si>
    <t>ОБОРУДОВАНИЕ:
Извещатель охранный точечный, магнитоконтактный, накладной. В составе: датчик магнитоуправляемый на основе геркона и магнит, расстояние между герконом и магнитом при размыкании контактов - 70 мм и более, при замыкании - 25 мм и менее, материал корпусов пластик, степень защиты IP55, диапазон рабочих температур от -50 до +50°С, габаритные размеры корпусов 130х30х20 мм, кабель 2х0,2 длина 0,35 м</t>
  </si>
  <si>
    <t>ОБОРУДОВАНИЕ:
Извещатель охранный точечный, магнитоконтактный, накладной для немагнитных конструкций. В составе: датчик магнитоуправляемый на основе геркона и магнит, расстояние между герконом и магнитом при размыкании контактов - 45 мм и более, при замыкании - 10 мм и менее, степень защиты IP44, диапазон рабочих температур от -50 до +50°С, габаритные размеры корпусов 58х11х11,6 мм</t>
  </si>
  <si>
    <r>
      <t>ОБОРУДОВАНИЕ:
Считыватель для установке на улице и в помещение, интерфейс 26-58, форматы карт Mifare, EM-Marin, HID Prox II</t>
    </r>
    <r>
      <rPr>
        <i/>
        <sz val="10"/>
        <rFont val="Arial"/>
        <family val="2"/>
        <charset val="204"/>
      </rPr>
      <t xml:space="preserve">
1 801,70 = [15 900 / 1,22 /  7,54] +  3% Трансп +  1,2% Заг.скл</t>
    </r>
  </si>
  <si>
    <t>ОБОРУДОВАНИЕ:
Извещатель охранно-пожарный ручной, "Аварийный выход" с двумя группами контактов. Тип коммутирующих контактов НЗ/НР, диапазон коммутируемых напряжений постоянного или переменного тока от 5 до 250 В, диапазон коммутируемых токов от 0,1 до 3000 мА, габаритные размеры 109х94х47мм /Кнопка разблокировки дверей  "АВАРИЙНЫЙ ВЫХОД"</t>
  </si>
  <si>
    <r>
      <t>Светодиодный светильник встраиваемый 595x59554 Вт, IP54</t>
    </r>
    <r>
      <rPr>
        <i/>
        <sz val="10"/>
        <rFont val="Arial"/>
        <family val="2"/>
        <charset val="204"/>
      </rPr>
      <t xml:space="preserve">
1 277,90 = [15 559,82 / 1,22 /  10,18] +  2% Заг.скл</t>
    </r>
  </si>
  <si>
    <r>
      <t>Светодиодный светильник встраиваемый  595x595 , 30Вт, IP40</t>
    </r>
    <r>
      <rPr>
        <i/>
        <sz val="10"/>
        <rFont val="Arial"/>
        <family val="2"/>
        <charset val="204"/>
      </rPr>
      <t xml:space="preserve">
804,31 = [9 793,41 / 1,22 /  10,18] +  2% Заг.скл</t>
    </r>
  </si>
  <si>
    <r>
      <t>Светодиодный светильник встраиваемый 595x595, 30Вт с БАП, IP40</t>
    </r>
    <r>
      <rPr>
        <i/>
        <sz val="10"/>
        <rFont val="Arial"/>
        <family val="2"/>
        <charset val="204"/>
      </rPr>
      <t xml:space="preserve">
1 305,29 = [15 893,41 / 1,22 /  10,18] +  2% Заг.скл</t>
    </r>
  </si>
  <si>
    <r>
      <t>Светодиодный светильник накладной 23Вт, IP65</t>
    </r>
    <r>
      <rPr>
        <i/>
        <sz val="10"/>
        <rFont val="Arial"/>
        <family val="2"/>
        <charset val="204"/>
      </rPr>
      <t xml:space="preserve">
517,41 = [6 300 / 1,22 /  10,18] +  2% Заг.скл</t>
    </r>
  </si>
  <si>
    <r>
      <t>Светодиодный светильник встраиваемый 12Вт, IP65</t>
    </r>
    <r>
      <rPr>
        <i/>
        <sz val="10"/>
        <rFont val="Arial"/>
        <family val="2"/>
        <charset val="204"/>
      </rPr>
      <t xml:space="preserve">
396,71 = [4 830,33 / 1,22 /  10,18] +  2% Заг.скл</t>
    </r>
  </si>
  <si>
    <r>
      <t>Светодиодный светильник встраиваемый 12Вт, IP65, с БАП</t>
    </r>
    <r>
      <rPr>
        <i/>
        <sz val="10"/>
        <rFont val="Arial"/>
        <family val="2"/>
        <charset val="204"/>
      </rPr>
      <t xml:space="preserve">
938,76 = [11 430,33 / 1,22 /  10,18] +  2% Заг.скл</t>
    </r>
  </si>
  <si>
    <r>
      <t>Светодиодный светильник накладной 23Вт, IP65, с БАП</t>
    </r>
    <r>
      <rPr>
        <i/>
        <sz val="10"/>
        <rFont val="Arial"/>
        <family val="2"/>
        <charset val="204"/>
      </rPr>
      <t xml:space="preserve">
1 010,18 = [12 300 / 1,22 /  10,18] +  2% Заг.скл</t>
    </r>
  </si>
  <si>
    <t>Оборудование (не облагаемое НДС)</t>
  </si>
  <si>
    <t xml:space="preserve">ОБОРУДОВАНИЕ:
Металлоискатель портативный микропроцессорный селективный, со световой, звуковой и вибро индикацией, светодиодной подсветкой, в комплекте с футляром и зарядным устройством. Расстояние обнаружения: пистолет - 30 см, граната - 26 см, нож (лезвие 20 см) - 20 см, лезвие безопасной бритвы - 5 см, медный диск (25х1 мм) - 14 см, кольцо золотое (вес 1 г) - 5 см, 2 уровня чувствительности, рабочая частота 8 (13) кГц, питание от 4 аккумуляторов формата АА суммарным напряжением от 4,8 до 6 В, корпус из ударопрочного пластика, </t>
  </si>
  <si>
    <r>
      <t xml:space="preserve">ОБОРУДОВАНИЕ:
Досмотровый эндоскоп </t>
    </r>
    <r>
      <rPr>
        <i/>
        <sz val="10"/>
        <rFont val="Arial"/>
        <family val="2"/>
        <charset val="204"/>
      </rPr>
      <t xml:space="preserve">
10 764,90 = [95 000 / 1,22 /  7,54] +  3% Трансп +  1,2% Заг.скл</t>
    </r>
  </si>
  <si>
    <t>тетрагидроканнабинол, метилендиоксиамфетамин, метилендиоксиметамфетамин, сероводород, хлороводород, фтороводород, сернистый ангидрид, хлор, аммиак, оксид азота, диоксид азота, несимметричный, диметилгидразин, зарин, зоман, иприт, Vx, фосген, синильная кислота; мощность не более 60 ВА</t>
  </si>
  <si>
    <t>ОБОРУДОВАНИЕ:
Монитор радиационный для обнаружения ядерных и радиоактивных материалов в составе комплекса автоматизированного радиационного контроля. Зона контроля не более 0,8х2 м, время измерения от 1 до 2 с, частота ложных срабатываний не более 1/1000, потребляемая мощность не более 10 Вт, степень защиты IP54, габаритные размеры 560х126х90 мм</t>
  </si>
  <si>
    <t>ОБОРУДОВАНИЕ:
Устройство для защиты от взрыва . Мобильное устройство для подавления не более 2000 г ТНТ, локализуемый объем до 90 дм3, выполнено в форме купола с двумя ручками, стенки и верх купола наполнены специальным диспенсером, поглощающим тепловую и ударную волну</t>
  </si>
  <si>
    <r>
      <t xml:space="preserve">ОБОРУДОВАНИЕ:
Объектовая станция </t>
    </r>
    <r>
      <rPr>
        <i/>
        <sz val="10"/>
        <rFont val="Arial"/>
        <family val="2"/>
        <charset val="204"/>
      </rPr>
      <t xml:space="preserve">
13 325,82 = [117 600 / 1,22 /  7,54] +  3% Трансп +  1,2% Заг.скл</t>
    </r>
  </si>
  <si>
    <r>
      <t>Кабель коммутации передачи сигнала  типа КПСнг(А)-FRHF 2х2х0,5</t>
    </r>
    <r>
      <rPr>
        <i/>
        <sz val="10"/>
        <rFont val="Arial"/>
        <family val="2"/>
        <charset val="204"/>
      </rPr>
      <t xml:space="preserve">
3,69 = [45 / 1,22 /  10,18] +  2% Заг.скл</t>
    </r>
  </si>
  <si>
    <r>
      <t>Кабель сопряжения оборудования  типа КПСЭнг(А)-FRHF 2х2х0,75</t>
    </r>
    <r>
      <rPr>
        <i/>
        <sz val="10"/>
        <rFont val="Arial"/>
        <family val="2"/>
        <charset val="204"/>
      </rPr>
      <t xml:space="preserve">
5,09 = [61,93 / 1,22 /  10,18] +  2% Заг.скл</t>
    </r>
  </si>
  <si>
    <r>
      <t xml:space="preserve">ОБОРУДОВАНИЕ:
Прибор приемно-контрольный и управления,модуль сопряжения  </t>
    </r>
    <r>
      <rPr>
        <i/>
        <sz val="10"/>
        <rFont val="Arial"/>
        <family val="2"/>
        <charset val="204"/>
      </rPr>
      <t xml:space="preserve">
4 870,38 = [42 981 / 1,22 /  7,54] +  3% Трансп +  1,2% Заг.скл</t>
    </r>
  </si>
  <si>
    <r>
      <t>1.12-5-133</t>
    </r>
    <r>
      <rPr>
        <i/>
        <sz val="10"/>
        <rFont val="Arial"/>
        <family val="2"/>
        <charset val="204"/>
      </rPr>
      <t xml:space="preserve">
</t>
    </r>
  </si>
  <si>
    <r>
      <t>Светодиодный светильник накладной линейный 36 В</t>
    </r>
    <r>
      <rPr>
        <i/>
        <sz val="10"/>
        <rFont val="Arial"/>
        <family val="2"/>
        <charset val="204"/>
      </rPr>
      <t xml:space="preserve">
560,11 = [6 820 / 1,22 /  10,18] +  2% Заг.скл</t>
    </r>
  </si>
  <si>
    <r>
      <t>Светодиодный светильник накладной линейный 36 Вт с БАП</t>
    </r>
    <r>
      <rPr>
        <i/>
        <sz val="10"/>
        <rFont val="Arial"/>
        <family val="2"/>
        <charset val="204"/>
      </rPr>
      <t xml:space="preserve">
1 052,88 = [12 820 / 1,22 /  10,18] +  2% Заг.скл</t>
    </r>
  </si>
  <si>
    <r>
      <t>Розетка двойная скрытой установки со шторками с заземлением 16а, IP20 белая на стену,250В,лицевая панель в комплекте</t>
    </r>
    <r>
      <rPr>
        <i/>
        <sz val="10"/>
        <rFont val="Arial"/>
        <family val="2"/>
        <charset val="204"/>
      </rPr>
      <t xml:space="preserve">
90,18 = [1 098 / 1,22 /  10,18] +  2% Заг.скл</t>
    </r>
  </si>
  <si>
    <r>
      <t>1.1-1-517</t>
    </r>
    <r>
      <rPr>
        <i/>
        <sz val="10"/>
        <rFont val="Arial"/>
        <family val="2"/>
        <charset val="204"/>
      </rPr>
      <t xml:space="preserve">
</t>
    </r>
  </si>
  <si>
    <r>
      <t>Силовая розетка белая, IP44</t>
    </r>
    <r>
      <rPr>
        <i/>
        <sz val="10"/>
        <rFont val="Arial"/>
        <family val="2"/>
        <charset val="204"/>
      </rPr>
      <t xml:space="preserve">
98,55 = [1 200 / 1,22 /  10,18] +  2% Заг.скл</t>
    </r>
  </si>
  <si>
    <r>
      <t>Лючки в полу. Комплект суппорта напольной коробки 12 модулей, IP44</t>
    </r>
    <r>
      <rPr>
        <i/>
        <sz val="10"/>
        <rFont val="Arial"/>
        <family val="2"/>
        <charset val="204"/>
      </rPr>
      <t xml:space="preserve">
1 154,56 = [14 058 / 1,22 /  10,18] +  2% Заг.скл</t>
    </r>
  </si>
  <si>
    <r>
      <t>Коробка ответвительная IP65 234х207х82мм с герметическими вводами типа КЗНС-08</t>
    </r>
    <r>
      <rPr>
        <i/>
        <sz val="10"/>
        <rFont val="Arial"/>
        <family val="2"/>
        <charset val="204"/>
      </rPr>
      <t xml:space="preserve">
435,42 = [5 301,62 / 1,22 /  10,18] +  2% Заг.скл</t>
    </r>
  </si>
  <si>
    <t>Блок дверной металлический противопожарный, дымогазонепроницаемый, теплоизолированный плитами на основе базальтового волокна, остекленный стеклом толщиной 24 мм (0,12 м2), окрашенный порошковой краской,  ДПМДО-02/60, двупольный, 1400х2100 мм, масса 150 кг, с замком-защелкой, без доводчика</t>
  </si>
  <si>
    <t>Блок дверной металлический противопожарный, дымогазонепроницаемый, теплоизолированный плитами на основе базальтового волокна, окрашенный порошковой краской,  ДПМД-01/60, однопольный, 900х2100 мм, масса 96 кг, с замком-защелкой, без доводчика / 800х2100 мм</t>
  </si>
  <si>
    <t>Блок дверной металлический противопожарный, дымогазонепроницаемый, теплоизолированный плитами на основе базальтового волокна, окрашенный порошковой краской,  ДПМД-01/60, однопольный, 1000х2100 мм, масса 105 кг, с замком-защелкой, без доводчика</t>
  </si>
  <si>
    <t>Блок дверной металлический противопожарный, дымогазонепроницаемый, теплоизолированный плитами на основе базальтового волокна, окрашенный порошковой краской,  ДПМД-02/60, двупольный, габаритные размеры 1400х2100 мм, масса 146 кг, с замком-защелкой, без доводчика</t>
  </si>
  <si>
    <t>Блок дверной металлический противопожарный, дымогазонепроницаемый, теплоизолированный плитами на основе базальтового волокна, окрашенный порошковой краской,  ДПМД-02/60, двупольный, габаритные размеры 1200х2100 мм, масса 127 кг, с замком-защелкой, без доводчика</t>
  </si>
  <si>
    <t>Выполнение работ по капитальному ремонту здания в Басманном районе ЦАО города Москвы</t>
  </si>
  <si>
    <t>"УТВЕРЖДАЮ"</t>
  </si>
  <si>
    <t>Заместитель директора</t>
  </si>
  <si>
    <t>ГАУ "МосжилНИИпроект"</t>
  </si>
  <si>
    <t>__________________И.А. Клоков</t>
  </si>
  <si>
    <t>2026 г.</t>
  </si>
  <si>
    <t>(Внешний файл)</t>
  </si>
  <si>
    <t>Приложение 3 к Техническому заданию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</si>
</sst>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[Red]\-\ #,##0.00"/>
    <numFmt numFmtId="165" formatCode="#,##0.00\ ;[Red]\-#,##0.00"/>
    <numFmt numFmtId="166" formatCode="_-* #,##0.00\ _₽_-;\-* #,##0.00\ _₽_-;_-* &quot;-&quot;??\ _₽_-;_-@_-"/>
    <numFmt numFmtId="167" formatCode="_-* #,##0.00_р_._-;\-* #,##0.00_р_._-;_-* &quot;-&quot;??_р_._-;_-@_-"/>
  </numFmts>
  <fonts count="24" x14ac:knownFonts="1">
    <font>
      <sz val="10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b/>
      <u/>
      <sz val="11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scheme val="minor"/>
    </font>
    <font>
      <sz val="16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Arial"/>
      <family val="2"/>
      <charset val="204"/>
    </font>
    <font>
      <i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color theme="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2" fillId="0" borderId="0" applyFont="0" applyFill="0" applyBorder="0" applyAlignment="0" applyProtection="0"/>
    <xf numFmtId="0" fontId="13" fillId="0" borderId="0"/>
    <xf numFmtId="0" fontId="17" fillId="0" borderId="0"/>
  </cellStyleXfs>
  <cellXfs count="16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/>
    <xf numFmtId="0" fontId="7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/>
    </xf>
    <xf numFmtId="0" fontId="3" fillId="0" borderId="0" xfId="0" quotePrefix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0" fontId="3" fillId="0" borderId="1" xfId="0" quotePrefix="1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horizontal="left" wrapText="1"/>
    </xf>
    <xf numFmtId="0" fontId="3" fillId="0" borderId="0" xfId="0" applyNumberFormat="1" applyFont="1" applyAlignment="1">
      <alignment horizontal="right" vertical="top"/>
    </xf>
    <xf numFmtId="0" fontId="9" fillId="0" borderId="0" xfId="0" applyNumberFormat="1" applyFont="1" applyAlignment="1">
      <alignment horizontal="right" vertical="top" wrapText="1"/>
    </xf>
    <xf numFmtId="0" fontId="3" fillId="0" borderId="0" xfId="0" quotePrefix="1" applyNumberFormat="1" applyFont="1" applyAlignment="1">
      <alignment horizontal="right" vertical="top" wrapText="1"/>
    </xf>
    <xf numFmtId="0" fontId="1" fillId="0" borderId="1" xfId="0" applyNumberFormat="1" applyFont="1" applyBorder="1"/>
    <xf numFmtId="0" fontId="1" fillId="0" borderId="0" xfId="0" applyNumberFormat="1" applyFont="1"/>
    <xf numFmtId="0" fontId="3" fillId="0" borderId="1" xfId="0" applyNumberFormat="1" applyFont="1" applyBorder="1" applyAlignment="1">
      <alignment horizontal="right" vertical="top"/>
    </xf>
    <xf numFmtId="0" fontId="9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right" vertical="top"/>
    </xf>
    <xf numFmtId="164" fontId="3" fillId="0" borderId="1" xfId="0" applyNumberFormat="1" applyFont="1" applyFill="1" applyBorder="1" applyAlignment="1">
      <alignment horizontal="right" vertical="top"/>
    </xf>
    <xf numFmtId="0" fontId="3" fillId="0" borderId="1" xfId="0" quotePrefix="1" applyFont="1" applyFill="1" applyBorder="1" applyAlignment="1">
      <alignment horizontal="right" vertical="top" wrapText="1"/>
    </xf>
    <xf numFmtId="0" fontId="1" fillId="0" borderId="0" xfId="0" applyFont="1" applyFill="1"/>
    <xf numFmtId="0" fontId="7" fillId="0" borderId="0" xfId="0" applyFont="1" applyFill="1" applyAlignment="1">
      <alignment vertical="top"/>
    </xf>
    <xf numFmtId="1" fontId="3" fillId="0" borderId="0" xfId="0" applyNumberFormat="1" applyFont="1"/>
    <xf numFmtId="1" fontId="7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 wrapText="1"/>
    </xf>
    <xf numFmtId="165" fontId="5" fillId="0" borderId="3" xfId="3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165" fontId="5" fillId="0" borderId="3" xfId="3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horizontal="left" vertical="center" wrapText="1"/>
    </xf>
    <xf numFmtId="167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2" applyNumberFormat="1" applyFont="1" applyFill="1" applyBorder="1" applyAlignment="1">
      <alignment vertical="center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167" fontId="16" fillId="0" borderId="3" xfId="2" applyNumberFormat="1" applyFont="1" applyFill="1" applyBorder="1" applyAlignment="1">
      <alignment vertical="center"/>
    </xf>
    <xf numFmtId="167" fontId="15" fillId="0" borderId="3" xfId="2" applyNumberFormat="1" applyFont="1" applyFill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167" fontId="16" fillId="0" borderId="1" xfId="0" applyNumberFormat="1" applyFont="1" applyFill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167" fontId="15" fillId="0" borderId="3" xfId="2" applyNumberFormat="1" applyFont="1" applyFill="1" applyBorder="1" applyAlignment="1">
      <alignment horizontal="center" vertical="center"/>
    </xf>
    <xf numFmtId="167" fontId="16" fillId="0" borderId="3" xfId="2" applyNumberFormat="1" applyFont="1" applyFill="1" applyBorder="1" applyAlignment="1">
      <alignment vertical="center" wrapText="1"/>
    </xf>
    <xf numFmtId="167" fontId="21" fillId="0" borderId="3" xfId="2" applyNumberFormat="1" applyFont="1" applyFill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 wrapText="1"/>
    </xf>
    <xf numFmtId="165" fontId="9" fillId="0" borderId="3" xfId="3" applyNumberFormat="1" applyFont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4" fillId="0" borderId="0" xfId="0" applyNumberFormat="1" applyFont="1" applyAlignment="1">
      <alignment horizontal="center"/>
    </xf>
    <xf numFmtId="0" fontId="3" fillId="0" borderId="1" xfId="0" applyNumberFormat="1" applyFont="1" applyFill="1" applyBorder="1" applyAlignment="1">
      <alignment horizontal="right" vertical="top"/>
    </xf>
    <xf numFmtId="0" fontId="3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/>
    </xf>
    <xf numFmtId="164" fontId="3" fillId="0" borderId="0" xfId="0" applyNumberFormat="1" applyFont="1" applyFill="1" applyAlignment="1">
      <alignment horizontal="right" vertical="top"/>
    </xf>
    <xf numFmtId="0" fontId="3" fillId="0" borderId="0" xfId="0" quotePrefix="1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43" fontId="22" fillId="0" borderId="0" xfId="2" applyFont="1" applyFill="1" applyAlignment="1">
      <alignment horizontal="right" vertical="center" wrapText="1"/>
    </xf>
    <xf numFmtId="0" fontId="23" fillId="0" borderId="0" xfId="4" applyFont="1" applyAlignment="1">
      <alignment horizontal="right" vertical="center"/>
    </xf>
    <xf numFmtId="0" fontId="15" fillId="0" borderId="0" xfId="4" applyFont="1" applyAlignment="1">
      <alignment horizontal="right" vertical="center"/>
    </xf>
    <xf numFmtId="43" fontId="22" fillId="0" borderId="0" xfId="2" applyFont="1" applyFill="1" applyAlignment="1">
      <alignment horizontal="left" vertical="center" wrapText="1"/>
    </xf>
    <xf numFmtId="0" fontId="23" fillId="0" borderId="0" xfId="4" applyFont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6" fillId="0" borderId="6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8" fillId="0" borderId="6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1" fillId="0" borderId="6" xfId="0" applyFont="1" applyBorder="1" applyAlignment="1">
      <alignment horizontal="right" vertical="center"/>
    </xf>
    <xf numFmtId="0" fontId="21" fillId="0" borderId="8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43" fontId="22" fillId="0" borderId="0" xfId="2" applyFont="1" applyFill="1" applyBorder="1" applyAlignment="1">
      <alignment horizontal="right" vertical="center" wrapText="1"/>
    </xf>
    <xf numFmtId="43" fontId="22" fillId="0" borderId="0" xfId="2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 wrapText="1"/>
    </xf>
    <xf numFmtId="43" fontId="22" fillId="0" borderId="0" xfId="2" applyFont="1" applyFill="1" applyBorder="1" applyAlignment="1">
      <alignment horizontal="left" vertical="center" wrapText="1"/>
    </xf>
    <xf numFmtId="43" fontId="22" fillId="0" borderId="0" xfId="2" applyFont="1" applyFill="1" applyBorder="1" applyAlignment="1">
      <alignment horizontal="left" vertical="center"/>
    </xf>
    <xf numFmtId="43" fontId="22" fillId="0" borderId="0" xfId="2" applyFont="1" applyFill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0" fontId="8" fillId="0" borderId="0" xfId="0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/>
    <xf numFmtId="0" fontId="0" fillId="0" borderId="0" xfId="0"/>
    <xf numFmtId="164" fontId="7" fillId="0" borderId="2" xfId="0" applyNumberFormat="1" applyFont="1" applyFill="1" applyBorder="1" applyAlignment="1">
      <alignment horizontal="right" vertical="top"/>
    </xf>
    <xf numFmtId="0" fontId="11" fillId="0" borderId="0" xfId="0" applyFont="1" applyAlignment="1">
      <alignment horizontal="left" wrapText="1"/>
    </xf>
    <xf numFmtId="0" fontId="1" fillId="0" borderId="0" xfId="0" applyFont="1" applyAlignment="1"/>
    <xf numFmtId="0" fontId="7" fillId="0" borderId="2" xfId="0" applyNumberFormat="1" applyFont="1" applyBorder="1" applyAlignment="1">
      <alignment horizontal="right" vertical="top"/>
    </xf>
    <xf numFmtId="0" fontId="7" fillId="0" borderId="0" xfId="0" applyNumberFormat="1" applyFont="1" applyAlignment="1">
      <alignment horizontal="right" vertical="top"/>
    </xf>
    <xf numFmtId="0" fontId="4" fillId="0" borderId="1" xfId="0" applyFont="1" applyBorder="1" applyAlignment="1">
      <alignment horizontal="center" vertical="center" wrapText="1"/>
    </xf>
    <xf numFmtId="164" fontId="7" fillId="0" borderId="0" xfId="0" applyNumberFormat="1" applyFont="1" applyFill="1" applyAlignment="1">
      <alignment horizontal="right" vertical="top"/>
    </xf>
    <xf numFmtId="0" fontId="7" fillId="0" borderId="0" xfId="1" applyFont="1" applyAlignment="1">
      <alignment horizontal="left"/>
    </xf>
  </cellXfs>
  <cellStyles count="5">
    <cellStyle name="Обычный" xfId="0" builtinId="0"/>
    <cellStyle name="Обычный 2" xfId="3" xr:uid="{DF4B88A1-BE2B-4BB3-A55B-68FF4D60AD3D}"/>
    <cellStyle name="Обычный 2 2 2 3" xfId="4" xr:uid="{128BBFD4-6757-4781-9104-17DE014958B9}"/>
    <cellStyle name="Обычный 4" xfId="1" xr:uid="{00000000-0005-0000-0000-000001000000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01B3-FD38-4DCC-9A05-78419B60450A}">
  <dimension ref="A1:H40"/>
  <sheetViews>
    <sheetView tabSelected="1" zoomScale="85" zoomScaleNormal="85" workbookViewId="0">
      <selection activeCell="G6" sqref="G6"/>
    </sheetView>
  </sheetViews>
  <sheetFormatPr defaultColWidth="9" defaultRowHeight="13" x14ac:dyDescent="0.25"/>
  <cols>
    <col min="1" max="1" width="4.1796875" style="65" customWidth="1"/>
    <col min="2" max="2" width="20.1796875" style="66" customWidth="1"/>
    <col min="3" max="3" width="41.54296875" style="67" customWidth="1"/>
    <col min="4" max="8" width="15" style="67" customWidth="1"/>
    <col min="9" max="238" width="9" style="67"/>
    <col min="239" max="239" width="4.1796875" style="67" customWidth="1"/>
    <col min="240" max="240" width="17.54296875" style="67" customWidth="1"/>
    <col min="241" max="241" width="41.54296875" style="67" customWidth="1"/>
    <col min="242" max="242" width="18.1796875" style="67" customWidth="1"/>
    <col min="243" max="245" width="15.81640625" style="67" customWidth="1"/>
    <col min="246" max="246" width="17.81640625" style="67" customWidth="1"/>
    <col min="247" max="248" width="0" style="67" hidden="1" customWidth="1"/>
    <col min="249" max="250" width="15.81640625" style="67" customWidth="1"/>
    <col min="251" max="251" width="18.1796875" style="67" customWidth="1"/>
    <col min="252" max="252" width="15.1796875" style="67" customWidth="1"/>
    <col min="253" max="253" width="18.81640625" style="67" bestFit="1" customWidth="1"/>
    <col min="254" max="494" width="9" style="67"/>
    <col min="495" max="495" width="4.1796875" style="67" customWidth="1"/>
    <col min="496" max="496" width="17.54296875" style="67" customWidth="1"/>
    <col min="497" max="497" width="41.54296875" style="67" customWidth="1"/>
    <col min="498" max="498" width="18.1796875" style="67" customWidth="1"/>
    <col min="499" max="501" width="15.81640625" style="67" customWidth="1"/>
    <col min="502" max="502" width="17.81640625" style="67" customWidth="1"/>
    <col min="503" max="504" width="0" style="67" hidden="1" customWidth="1"/>
    <col min="505" max="506" width="15.81640625" style="67" customWidth="1"/>
    <col min="507" max="507" width="18.1796875" style="67" customWidth="1"/>
    <col min="508" max="508" width="15.1796875" style="67" customWidth="1"/>
    <col min="509" max="509" width="18.81640625" style="67" bestFit="1" customWidth="1"/>
    <col min="510" max="750" width="9" style="67"/>
    <col min="751" max="751" width="4.1796875" style="67" customWidth="1"/>
    <col min="752" max="752" width="17.54296875" style="67" customWidth="1"/>
    <col min="753" max="753" width="41.54296875" style="67" customWidth="1"/>
    <col min="754" max="754" width="18.1796875" style="67" customWidth="1"/>
    <col min="755" max="757" width="15.81640625" style="67" customWidth="1"/>
    <col min="758" max="758" width="17.81640625" style="67" customWidth="1"/>
    <col min="759" max="760" width="0" style="67" hidden="1" customWidth="1"/>
    <col min="761" max="762" width="15.81640625" style="67" customWidth="1"/>
    <col min="763" max="763" width="18.1796875" style="67" customWidth="1"/>
    <col min="764" max="764" width="15.1796875" style="67" customWidth="1"/>
    <col min="765" max="765" width="18.81640625" style="67" bestFit="1" customWidth="1"/>
    <col min="766" max="1006" width="9" style="67"/>
    <col min="1007" max="1007" width="4.1796875" style="67" customWidth="1"/>
    <col min="1008" max="1008" width="17.54296875" style="67" customWidth="1"/>
    <col min="1009" max="1009" width="41.54296875" style="67" customWidth="1"/>
    <col min="1010" max="1010" width="18.1796875" style="67" customWidth="1"/>
    <col min="1011" max="1013" width="15.81640625" style="67" customWidth="1"/>
    <col min="1014" max="1014" width="17.81640625" style="67" customWidth="1"/>
    <col min="1015" max="1016" width="0" style="67" hidden="1" customWidth="1"/>
    <col min="1017" max="1018" width="15.81640625" style="67" customWidth="1"/>
    <col min="1019" max="1019" width="18.1796875" style="67" customWidth="1"/>
    <col min="1020" max="1020" width="15.1796875" style="67" customWidth="1"/>
    <col min="1021" max="1021" width="18.81640625" style="67" bestFit="1" customWidth="1"/>
    <col min="1022" max="1262" width="9" style="67"/>
    <col min="1263" max="1263" width="4.1796875" style="67" customWidth="1"/>
    <col min="1264" max="1264" width="17.54296875" style="67" customWidth="1"/>
    <col min="1265" max="1265" width="41.54296875" style="67" customWidth="1"/>
    <col min="1266" max="1266" width="18.1796875" style="67" customWidth="1"/>
    <col min="1267" max="1269" width="15.81640625" style="67" customWidth="1"/>
    <col min="1270" max="1270" width="17.81640625" style="67" customWidth="1"/>
    <col min="1271" max="1272" width="0" style="67" hidden="1" customWidth="1"/>
    <col min="1273" max="1274" width="15.81640625" style="67" customWidth="1"/>
    <col min="1275" max="1275" width="18.1796875" style="67" customWidth="1"/>
    <col min="1276" max="1276" width="15.1796875" style="67" customWidth="1"/>
    <col min="1277" max="1277" width="18.81640625" style="67" bestFit="1" customWidth="1"/>
    <col min="1278" max="1518" width="9" style="67"/>
    <col min="1519" max="1519" width="4.1796875" style="67" customWidth="1"/>
    <col min="1520" max="1520" width="17.54296875" style="67" customWidth="1"/>
    <col min="1521" max="1521" width="41.54296875" style="67" customWidth="1"/>
    <col min="1522" max="1522" width="18.1796875" style="67" customWidth="1"/>
    <col min="1523" max="1525" width="15.81640625" style="67" customWidth="1"/>
    <col min="1526" max="1526" width="17.81640625" style="67" customWidth="1"/>
    <col min="1527" max="1528" width="0" style="67" hidden="1" customWidth="1"/>
    <col min="1529" max="1530" width="15.81640625" style="67" customWidth="1"/>
    <col min="1531" max="1531" width="18.1796875" style="67" customWidth="1"/>
    <col min="1532" max="1532" width="15.1796875" style="67" customWidth="1"/>
    <col min="1533" max="1533" width="18.81640625" style="67" bestFit="1" customWidth="1"/>
    <col min="1534" max="1774" width="9" style="67"/>
    <col min="1775" max="1775" width="4.1796875" style="67" customWidth="1"/>
    <col min="1776" max="1776" width="17.54296875" style="67" customWidth="1"/>
    <col min="1777" max="1777" width="41.54296875" style="67" customWidth="1"/>
    <col min="1778" max="1778" width="18.1796875" style="67" customWidth="1"/>
    <col min="1779" max="1781" width="15.81640625" style="67" customWidth="1"/>
    <col min="1782" max="1782" width="17.81640625" style="67" customWidth="1"/>
    <col min="1783" max="1784" width="0" style="67" hidden="1" customWidth="1"/>
    <col min="1785" max="1786" width="15.81640625" style="67" customWidth="1"/>
    <col min="1787" max="1787" width="18.1796875" style="67" customWidth="1"/>
    <col min="1788" max="1788" width="15.1796875" style="67" customWidth="1"/>
    <col min="1789" max="1789" width="18.81640625" style="67" bestFit="1" customWidth="1"/>
    <col min="1790" max="2030" width="9" style="67"/>
    <col min="2031" max="2031" width="4.1796875" style="67" customWidth="1"/>
    <col min="2032" max="2032" width="17.54296875" style="67" customWidth="1"/>
    <col min="2033" max="2033" width="41.54296875" style="67" customWidth="1"/>
    <col min="2034" max="2034" width="18.1796875" style="67" customWidth="1"/>
    <col min="2035" max="2037" width="15.81640625" style="67" customWidth="1"/>
    <col min="2038" max="2038" width="17.81640625" style="67" customWidth="1"/>
    <col min="2039" max="2040" width="0" style="67" hidden="1" customWidth="1"/>
    <col min="2041" max="2042" width="15.81640625" style="67" customWidth="1"/>
    <col min="2043" max="2043" width="18.1796875" style="67" customWidth="1"/>
    <col min="2044" max="2044" width="15.1796875" style="67" customWidth="1"/>
    <col min="2045" max="2045" width="18.81640625" style="67" bestFit="1" customWidth="1"/>
    <col min="2046" max="2286" width="9" style="67"/>
    <col min="2287" max="2287" width="4.1796875" style="67" customWidth="1"/>
    <col min="2288" max="2288" width="17.54296875" style="67" customWidth="1"/>
    <col min="2289" max="2289" width="41.54296875" style="67" customWidth="1"/>
    <col min="2290" max="2290" width="18.1796875" style="67" customWidth="1"/>
    <col min="2291" max="2293" width="15.81640625" style="67" customWidth="1"/>
    <col min="2294" max="2294" width="17.81640625" style="67" customWidth="1"/>
    <col min="2295" max="2296" width="0" style="67" hidden="1" customWidth="1"/>
    <col min="2297" max="2298" width="15.81640625" style="67" customWidth="1"/>
    <col min="2299" max="2299" width="18.1796875" style="67" customWidth="1"/>
    <col min="2300" max="2300" width="15.1796875" style="67" customWidth="1"/>
    <col min="2301" max="2301" width="18.81640625" style="67" bestFit="1" customWidth="1"/>
    <col min="2302" max="2542" width="9" style="67"/>
    <col min="2543" max="2543" width="4.1796875" style="67" customWidth="1"/>
    <col min="2544" max="2544" width="17.54296875" style="67" customWidth="1"/>
    <col min="2545" max="2545" width="41.54296875" style="67" customWidth="1"/>
    <col min="2546" max="2546" width="18.1796875" style="67" customWidth="1"/>
    <col min="2547" max="2549" width="15.81640625" style="67" customWidth="1"/>
    <col min="2550" max="2550" width="17.81640625" style="67" customWidth="1"/>
    <col min="2551" max="2552" width="0" style="67" hidden="1" customWidth="1"/>
    <col min="2553" max="2554" width="15.81640625" style="67" customWidth="1"/>
    <col min="2555" max="2555" width="18.1796875" style="67" customWidth="1"/>
    <col min="2556" max="2556" width="15.1796875" style="67" customWidth="1"/>
    <col min="2557" max="2557" width="18.81640625" style="67" bestFit="1" customWidth="1"/>
    <col min="2558" max="2798" width="9" style="67"/>
    <col min="2799" max="2799" width="4.1796875" style="67" customWidth="1"/>
    <col min="2800" max="2800" width="17.54296875" style="67" customWidth="1"/>
    <col min="2801" max="2801" width="41.54296875" style="67" customWidth="1"/>
    <col min="2802" max="2802" width="18.1796875" style="67" customWidth="1"/>
    <col min="2803" max="2805" width="15.81640625" style="67" customWidth="1"/>
    <col min="2806" max="2806" width="17.81640625" style="67" customWidth="1"/>
    <col min="2807" max="2808" width="0" style="67" hidden="1" customWidth="1"/>
    <col min="2809" max="2810" width="15.81640625" style="67" customWidth="1"/>
    <col min="2811" max="2811" width="18.1796875" style="67" customWidth="1"/>
    <col min="2812" max="2812" width="15.1796875" style="67" customWidth="1"/>
    <col min="2813" max="2813" width="18.81640625" style="67" bestFit="1" customWidth="1"/>
    <col min="2814" max="3054" width="9" style="67"/>
    <col min="3055" max="3055" width="4.1796875" style="67" customWidth="1"/>
    <col min="3056" max="3056" width="17.54296875" style="67" customWidth="1"/>
    <col min="3057" max="3057" width="41.54296875" style="67" customWidth="1"/>
    <col min="3058" max="3058" width="18.1796875" style="67" customWidth="1"/>
    <col min="3059" max="3061" width="15.81640625" style="67" customWidth="1"/>
    <col min="3062" max="3062" width="17.81640625" style="67" customWidth="1"/>
    <col min="3063" max="3064" width="0" style="67" hidden="1" customWidth="1"/>
    <col min="3065" max="3066" width="15.81640625" style="67" customWidth="1"/>
    <col min="3067" max="3067" width="18.1796875" style="67" customWidth="1"/>
    <col min="3068" max="3068" width="15.1796875" style="67" customWidth="1"/>
    <col min="3069" max="3069" width="18.81640625" style="67" bestFit="1" customWidth="1"/>
    <col min="3070" max="3310" width="9" style="67"/>
    <col min="3311" max="3311" width="4.1796875" style="67" customWidth="1"/>
    <col min="3312" max="3312" width="17.54296875" style="67" customWidth="1"/>
    <col min="3313" max="3313" width="41.54296875" style="67" customWidth="1"/>
    <col min="3314" max="3314" width="18.1796875" style="67" customWidth="1"/>
    <col min="3315" max="3317" width="15.81640625" style="67" customWidth="1"/>
    <col min="3318" max="3318" width="17.81640625" style="67" customWidth="1"/>
    <col min="3319" max="3320" width="0" style="67" hidden="1" customWidth="1"/>
    <col min="3321" max="3322" width="15.81640625" style="67" customWidth="1"/>
    <col min="3323" max="3323" width="18.1796875" style="67" customWidth="1"/>
    <col min="3324" max="3324" width="15.1796875" style="67" customWidth="1"/>
    <col min="3325" max="3325" width="18.81640625" style="67" bestFit="1" customWidth="1"/>
    <col min="3326" max="3566" width="9" style="67"/>
    <col min="3567" max="3567" width="4.1796875" style="67" customWidth="1"/>
    <col min="3568" max="3568" width="17.54296875" style="67" customWidth="1"/>
    <col min="3569" max="3569" width="41.54296875" style="67" customWidth="1"/>
    <col min="3570" max="3570" width="18.1796875" style="67" customWidth="1"/>
    <col min="3571" max="3573" width="15.81640625" style="67" customWidth="1"/>
    <col min="3574" max="3574" width="17.81640625" style="67" customWidth="1"/>
    <col min="3575" max="3576" width="0" style="67" hidden="1" customWidth="1"/>
    <col min="3577" max="3578" width="15.81640625" style="67" customWidth="1"/>
    <col min="3579" max="3579" width="18.1796875" style="67" customWidth="1"/>
    <col min="3580" max="3580" width="15.1796875" style="67" customWidth="1"/>
    <col min="3581" max="3581" width="18.81640625" style="67" bestFit="1" customWidth="1"/>
    <col min="3582" max="3822" width="9" style="67"/>
    <col min="3823" max="3823" width="4.1796875" style="67" customWidth="1"/>
    <col min="3824" max="3824" width="17.54296875" style="67" customWidth="1"/>
    <col min="3825" max="3825" width="41.54296875" style="67" customWidth="1"/>
    <col min="3826" max="3826" width="18.1796875" style="67" customWidth="1"/>
    <col min="3827" max="3829" width="15.81640625" style="67" customWidth="1"/>
    <col min="3830" max="3830" width="17.81640625" style="67" customWidth="1"/>
    <col min="3831" max="3832" width="0" style="67" hidden="1" customWidth="1"/>
    <col min="3833" max="3834" width="15.81640625" style="67" customWidth="1"/>
    <col min="3835" max="3835" width="18.1796875" style="67" customWidth="1"/>
    <col min="3836" max="3836" width="15.1796875" style="67" customWidth="1"/>
    <col min="3837" max="3837" width="18.81640625" style="67" bestFit="1" customWidth="1"/>
    <col min="3838" max="4078" width="9" style="67"/>
    <col min="4079" max="4079" width="4.1796875" style="67" customWidth="1"/>
    <col min="4080" max="4080" width="17.54296875" style="67" customWidth="1"/>
    <col min="4081" max="4081" width="41.54296875" style="67" customWidth="1"/>
    <col min="4082" max="4082" width="18.1796875" style="67" customWidth="1"/>
    <col min="4083" max="4085" width="15.81640625" style="67" customWidth="1"/>
    <col min="4086" max="4086" width="17.81640625" style="67" customWidth="1"/>
    <col min="4087" max="4088" width="0" style="67" hidden="1" customWidth="1"/>
    <col min="4089" max="4090" width="15.81640625" style="67" customWidth="1"/>
    <col min="4091" max="4091" width="18.1796875" style="67" customWidth="1"/>
    <col min="4092" max="4092" width="15.1796875" style="67" customWidth="1"/>
    <col min="4093" max="4093" width="18.81640625" style="67" bestFit="1" customWidth="1"/>
    <col min="4094" max="4334" width="9" style="67"/>
    <col min="4335" max="4335" width="4.1796875" style="67" customWidth="1"/>
    <col min="4336" max="4336" width="17.54296875" style="67" customWidth="1"/>
    <col min="4337" max="4337" width="41.54296875" style="67" customWidth="1"/>
    <col min="4338" max="4338" width="18.1796875" style="67" customWidth="1"/>
    <col min="4339" max="4341" width="15.81640625" style="67" customWidth="1"/>
    <col min="4342" max="4342" width="17.81640625" style="67" customWidth="1"/>
    <col min="4343" max="4344" width="0" style="67" hidden="1" customWidth="1"/>
    <col min="4345" max="4346" width="15.81640625" style="67" customWidth="1"/>
    <col min="4347" max="4347" width="18.1796875" style="67" customWidth="1"/>
    <col min="4348" max="4348" width="15.1796875" style="67" customWidth="1"/>
    <col min="4349" max="4349" width="18.81640625" style="67" bestFit="1" customWidth="1"/>
    <col min="4350" max="4590" width="9" style="67"/>
    <col min="4591" max="4591" width="4.1796875" style="67" customWidth="1"/>
    <col min="4592" max="4592" width="17.54296875" style="67" customWidth="1"/>
    <col min="4593" max="4593" width="41.54296875" style="67" customWidth="1"/>
    <col min="4594" max="4594" width="18.1796875" style="67" customWidth="1"/>
    <col min="4595" max="4597" width="15.81640625" style="67" customWidth="1"/>
    <col min="4598" max="4598" width="17.81640625" style="67" customWidth="1"/>
    <col min="4599" max="4600" width="0" style="67" hidden="1" customWidth="1"/>
    <col min="4601" max="4602" width="15.81640625" style="67" customWidth="1"/>
    <col min="4603" max="4603" width="18.1796875" style="67" customWidth="1"/>
    <col min="4604" max="4604" width="15.1796875" style="67" customWidth="1"/>
    <col min="4605" max="4605" width="18.81640625" style="67" bestFit="1" customWidth="1"/>
    <col min="4606" max="4846" width="9" style="67"/>
    <col min="4847" max="4847" width="4.1796875" style="67" customWidth="1"/>
    <col min="4848" max="4848" width="17.54296875" style="67" customWidth="1"/>
    <col min="4849" max="4849" width="41.54296875" style="67" customWidth="1"/>
    <col min="4850" max="4850" width="18.1796875" style="67" customWidth="1"/>
    <col min="4851" max="4853" width="15.81640625" style="67" customWidth="1"/>
    <col min="4854" max="4854" width="17.81640625" style="67" customWidth="1"/>
    <col min="4855" max="4856" width="0" style="67" hidden="1" customWidth="1"/>
    <col min="4857" max="4858" width="15.81640625" style="67" customWidth="1"/>
    <col min="4859" max="4859" width="18.1796875" style="67" customWidth="1"/>
    <col min="4860" max="4860" width="15.1796875" style="67" customWidth="1"/>
    <col min="4861" max="4861" width="18.81640625" style="67" bestFit="1" customWidth="1"/>
    <col min="4862" max="5102" width="9" style="67"/>
    <col min="5103" max="5103" width="4.1796875" style="67" customWidth="1"/>
    <col min="5104" max="5104" width="17.54296875" style="67" customWidth="1"/>
    <col min="5105" max="5105" width="41.54296875" style="67" customWidth="1"/>
    <col min="5106" max="5106" width="18.1796875" style="67" customWidth="1"/>
    <col min="5107" max="5109" width="15.81640625" style="67" customWidth="1"/>
    <col min="5110" max="5110" width="17.81640625" style="67" customWidth="1"/>
    <col min="5111" max="5112" width="0" style="67" hidden="1" customWidth="1"/>
    <col min="5113" max="5114" width="15.81640625" style="67" customWidth="1"/>
    <col min="5115" max="5115" width="18.1796875" style="67" customWidth="1"/>
    <col min="5116" max="5116" width="15.1796875" style="67" customWidth="1"/>
    <col min="5117" max="5117" width="18.81640625" style="67" bestFit="1" customWidth="1"/>
    <col min="5118" max="5358" width="9" style="67"/>
    <col min="5359" max="5359" width="4.1796875" style="67" customWidth="1"/>
    <col min="5360" max="5360" width="17.54296875" style="67" customWidth="1"/>
    <col min="5361" max="5361" width="41.54296875" style="67" customWidth="1"/>
    <col min="5362" max="5362" width="18.1796875" style="67" customWidth="1"/>
    <col min="5363" max="5365" width="15.81640625" style="67" customWidth="1"/>
    <col min="5366" max="5366" width="17.81640625" style="67" customWidth="1"/>
    <col min="5367" max="5368" width="0" style="67" hidden="1" customWidth="1"/>
    <col min="5369" max="5370" width="15.81640625" style="67" customWidth="1"/>
    <col min="5371" max="5371" width="18.1796875" style="67" customWidth="1"/>
    <col min="5372" max="5372" width="15.1796875" style="67" customWidth="1"/>
    <col min="5373" max="5373" width="18.81640625" style="67" bestFit="1" customWidth="1"/>
    <col min="5374" max="5614" width="9" style="67"/>
    <col min="5615" max="5615" width="4.1796875" style="67" customWidth="1"/>
    <col min="5616" max="5616" width="17.54296875" style="67" customWidth="1"/>
    <col min="5617" max="5617" width="41.54296875" style="67" customWidth="1"/>
    <col min="5618" max="5618" width="18.1796875" style="67" customWidth="1"/>
    <col min="5619" max="5621" width="15.81640625" style="67" customWidth="1"/>
    <col min="5622" max="5622" width="17.81640625" style="67" customWidth="1"/>
    <col min="5623" max="5624" width="0" style="67" hidden="1" customWidth="1"/>
    <col min="5625" max="5626" width="15.81640625" style="67" customWidth="1"/>
    <col min="5627" max="5627" width="18.1796875" style="67" customWidth="1"/>
    <col min="5628" max="5628" width="15.1796875" style="67" customWidth="1"/>
    <col min="5629" max="5629" width="18.81640625" style="67" bestFit="1" customWidth="1"/>
    <col min="5630" max="5870" width="9" style="67"/>
    <col min="5871" max="5871" width="4.1796875" style="67" customWidth="1"/>
    <col min="5872" max="5872" width="17.54296875" style="67" customWidth="1"/>
    <col min="5873" max="5873" width="41.54296875" style="67" customWidth="1"/>
    <col min="5874" max="5874" width="18.1796875" style="67" customWidth="1"/>
    <col min="5875" max="5877" width="15.81640625" style="67" customWidth="1"/>
    <col min="5878" max="5878" width="17.81640625" style="67" customWidth="1"/>
    <col min="5879" max="5880" width="0" style="67" hidden="1" customWidth="1"/>
    <col min="5881" max="5882" width="15.81640625" style="67" customWidth="1"/>
    <col min="5883" max="5883" width="18.1796875" style="67" customWidth="1"/>
    <col min="5884" max="5884" width="15.1796875" style="67" customWidth="1"/>
    <col min="5885" max="5885" width="18.81640625" style="67" bestFit="1" customWidth="1"/>
    <col min="5886" max="6126" width="9" style="67"/>
    <col min="6127" max="6127" width="4.1796875" style="67" customWidth="1"/>
    <col min="6128" max="6128" width="17.54296875" style="67" customWidth="1"/>
    <col min="6129" max="6129" width="41.54296875" style="67" customWidth="1"/>
    <col min="6130" max="6130" width="18.1796875" style="67" customWidth="1"/>
    <col min="6131" max="6133" width="15.81640625" style="67" customWidth="1"/>
    <col min="6134" max="6134" width="17.81640625" style="67" customWidth="1"/>
    <col min="6135" max="6136" width="0" style="67" hidden="1" customWidth="1"/>
    <col min="6137" max="6138" width="15.81640625" style="67" customWidth="1"/>
    <col min="6139" max="6139" width="18.1796875" style="67" customWidth="1"/>
    <col min="6140" max="6140" width="15.1796875" style="67" customWidth="1"/>
    <col min="6141" max="6141" width="18.81640625" style="67" bestFit="1" customWidth="1"/>
    <col min="6142" max="6382" width="9" style="67"/>
    <col min="6383" max="6383" width="4.1796875" style="67" customWidth="1"/>
    <col min="6384" max="6384" width="17.54296875" style="67" customWidth="1"/>
    <col min="6385" max="6385" width="41.54296875" style="67" customWidth="1"/>
    <col min="6386" max="6386" width="18.1796875" style="67" customWidth="1"/>
    <col min="6387" max="6389" width="15.81640625" style="67" customWidth="1"/>
    <col min="6390" max="6390" width="17.81640625" style="67" customWidth="1"/>
    <col min="6391" max="6392" width="0" style="67" hidden="1" customWidth="1"/>
    <col min="6393" max="6394" width="15.81640625" style="67" customWidth="1"/>
    <col min="6395" max="6395" width="18.1796875" style="67" customWidth="1"/>
    <col min="6396" max="6396" width="15.1796875" style="67" customWidth="1"/>
    <col min="6397" max="6397" width="18.81640625" style="67" bestFit="1" customWidth="1"/>
    <col min="6398" max="6638" width="9" style="67"/>
    <col min="6639" max="6639" width="4.1796875" style="67" customWidth="1"/>
    <col min="6640" max="6640" width="17.54296875" style="67" customWidth="1"/>
    <col min="6641" max="6641" width="41.54296875" style="67" customWidth="1"/>
    <col min="6642" max="6642" width="18.1796875" style="67" customWidth="1"/>
    <col min="6643" max="6645" width="15.81640625" style="67" customWidth="1"/>
    <col min="6646" max="6646" width="17.81640625" style="67" customWidth="1"/>
    <col min="6647" max="6648" width="0" style="67" hidden="1" customWidth="1"/>
    <col min="6649" max="6650" width="15.81640625" style="67" customWidth="1"/>
    <col min="6651" max="6651" width="18.1796875" style="67" customWidth="1"/>
    <col min="6652" max="6652" width="15.1796875" style="67" customWidth="1"/>
    <col min="6653" max="6653" width="18.81640625" style="67" bestFit="1" customWidth="1"/>
    <col min="6654" max="6894" width="9" style="67"/>
    <col min="6895" max="6895" width="4.1796875" style="67" customWidth="1"/>
    <col min="6896" max="6896" width="17.54296875" style="67" customWidth="1"/>
    <col min="6897" max="6897" width="41.54296875" style="67" customWidth="1"/>
    <col min="6898" max="6898" width="18.1796875" style="67" customWidth="1"/>
    <col min="6899" max="6901" width="15.81640625" style="67" customWidth="1"/>
    <col min="6902" max="6902" width="17.81640625" style="67" customWidth="1"/>
    <col min="6903" max="6904" width="0" style="67" hidden="1" customWidth="1"/>
    <col min="6905" max="6906" width="15.81640625" style="67" customWidth="1"/>
    <col min="6907" max="6907" width="18.1796875" style="67" customWidth="1"/>
    <col min="6908" max="6908" width="15.1796875" style="67" customWidth="1"/>
    <col min="6909" max="6909" width="18.81640625" style="67" bestFit="1" customWidth="1"/>
    <col min="6910" max="7150" width="9" style="67"/>
    <col min="7151" max="7151" width="4.1796875" style="67" customWidth="1"/>
    <col min="7152" max="7152" width="17.54296875" style="67" customWidth="1"/>
    <col min="7153" max="7153" width="41.54296875" style="67" customWidth="1"/>
    <col min="7154" max="7154" width="18.1796875" style="67" customWidth="1"/>
    <col min="7155" max="7157" width="15.81640625" style="67" customWidth="1"/>
    <col min="7158" max="7158" width="17.81640625" style="67" customWidth="1"/>
    <col min="7159" max="7160" width="0" style="67" hidden="1" customWidth="1"/>
    <col min="7161" max="7162" width="15.81640625" style="67" customWidth="1"/>
    <col min="7163" max="7163" width="18.1796875" style="67" customWidth="1"/>
    <col min="7164" max="7164" width="15.1796875" style="67" customWidth="1"/>
    <col min="7165" max="7165" width="18.81640625" style="67" bestFit="1" customWidth="1"/>
    <col min="7166" max="7406" width="9" style="67"/>
    <col min="7407" max="7407" width="4.1796875" style="67" customWidth="1"/>
    <col min="7408" max="7408" width="17.54296875" style="67" customWidth="1"/>
    <col min="7409" max="7409" width="41.54296875" style="67" customWidth="1"/>
    <col min="7410" max="7410" width="18.1796875" style="67" customWidth="1"/>
    <col min="7411" max="7413" width="15.81640625" style="67" customWidth="1"/>
    <col min="7414" max="7414" width="17.81640625" style="67" customWidth="1"/>
    <col min="7415" max="7416" width="0" style="67" hidden="1" customWidth="1"/>
    <col min="7417" max="7418" width="15.81640625" style="67" customWidth="1"/>
    <col min="7419" max="7419" width="18.1796875" style="67" customWidth="1"/>
    <col min="7420" max="7420" width="15.1796875" style="67" customWidth="1"/>
    <col min="7421" max="7421" width="18.81640625" style="67" bestFit="1" customWidth="1"/>
    <col min="7422" max="7662" width="9" style="67"/>
    <col min="7663" max="7663" width="4.1796875" style="67" customWidth="1"/>
    <col min="7664" max="7664" width="17.54296875" style="67" customWidth="1"/>
    <col min="7665" max="7665" width="41.54296875" style="67" customWidth="1"/>
    <col min="7666" max="7666" width="18.1796875" style="67" customWidth="1"/>
    <col min="7667" max="7669" width="15.81640625" style="67" customWidth="1"/>
    <col min="7670" max="7670" width="17.81640625" style="67" customWidth="1"/>
    <col min="7671" max="7672" width="0" style="67" hidden="1" customWidth="1"/>
    <col min="7673" max="7674" width="15.81640625" style="67" customWidth="1"/>
    <col min="7675" max="7675" width="18.1796875" style="67" customWidth="1"/>
    <col min="7676" max="7676" width="15.1796875" style="67" customWidth="1"/>
    <col min="7677" max="7677" width="18.81640625" style="67" bestFit="1" customWidth="1"/>
    <col min="7678" max="7918" width="9" style="67"/>
    <col min="7919" max="7919" width="4.1796875" style="67" customWidth="1"/>
    <col min="7920" max="7920" width="17.54296875" style="67" customWidth="1"/>
    <col min="7921" max="7921" width="41.54296875" style="67" customWidth="1"/>
    <col min="7922" max="7922" width="18.1796875" style="67" customWidth="1"/>
    <col min="7923" max="7925" width="15.81640625" style="67" customWidth="1"/>
    <col min="7926" max="7926" width="17.81640625" style="67" customWidth="1"/>
    <col min="7927" max="7928" width="0" style="67" hidden="1" customWidth="1"/>
    <col min="7929" max="7930" width="15.81640625" style="67" customWidth="1"/>
    <col min="7931" max="7931" width="18.1796875" style="67" customWidth="1"/>
    <col min="7932" max="7932" width="15.1796875" style="67" customWidth="1"/>
    <col min="7933" max="7933" width="18.81640625" style="67" bestFit="1" customWidth="1"/>
    <col min="7934" max="8174" width="9" style="67"/>
    <col min="8175" max="8175" width="4.1796875" style="67" customWidth="1"/>
    <col min="8176" max="8176" width="17.54296875" style="67" customWidth="1"/>
    <col min="8177" max="8177" width="41.54296875" style="67" customWidth="1"/>
    <col min="8178" max="8178" width="18.1796875" style="67" customWidth="1"/>
    <col min="8179" max="8181" width="15.81640625" style="67" customWidth="1"/>
    <col min="8182" max="8182" width="17.81640625" style="67" customWidth="1"/>
    <col min="8183" max="8184" width="0" style="67" hidden="1" customWidth="1"/>
    <col min="8185" max="8186" width="15.81640625" style="67" customWidth="1"/>
    <col min="8187" max="8187" width="18.1796875" style="67" customWidth="1"/>
    <col min="8188" max="8188" width="15.1796875" style="67" customWidth="1"/>
    <col min="8189" max="8189" width="18.81640625" style="67" bestFit="1" customWidth="1"/>
    <col min="8190" max="8430" width="9" style="67"/>
    <col min="8431" max="8431" width="4.1796875" style="67" customWidth="1"/>
    <col min="8432" max="8432" width="17.54296875" style="67" customWidth="1"/>
    <col min="8433" max="8433" width="41.54296875" style="67" customWidth="1"/>
    <col min="8434" max="8434" width="18.1796875" style="67" customWidth="1"/>
    <col min="8435" max="8437" width="15.81640625" style="67" customWidth="1"/>
    <col min="8438" max="8438" width="17.81640625" style="67" customWidth="1"/>
    <col min="8439" max="8440" width="0" style="67" hidden="1" customWidth="1"/>
    <col min="8441" max="8442" width="15.81640625" style="67" customWidth="1"/>
    <col min="8443" max="8443" width="18.1796875" style="67" customWidth="1"/>
    <col min="8444" max="8444" width="15.1796875" style="67" customWidth="1"/>
    <col min="8445" max="8445" width="18.81640625" style="67" bestFit="1" customWidth="1"/>
    <col min="8446" max="8686" width="9" style="67"/>
    <col min="8687" max="8687" width="4.1796875" style="67" customWidth="1"/>
    <col min="8688" max="8688" width="17.54296875" style="67" customWidth="1"/>
    <col min="8689" max="8689" width="41.54296875" style="67" customWidth="1"/>
    <col min="8690" max="8690" width="18.1796875" style="67" customWidth="1"/>
    <col min="8691" max="8693" width="15.81640625" style="67" customWidth="1"/>
    <col min="8694" max="8694" width="17.81640625" style="67" customWidth="1"/>
    <col min="8695" max="8696" width="0" style="67" hidden="1" customWidth="1"/>
    <col min="8697" max="8698" width="15.81640625" style="67" customWidth="1"/>
    <col min="8699" max="8699" width="18.1796875" style="67" customWidth="1"/>
    <col min="8700" max="8700" width="15.1796875" style="67" customWidth="1"/>
    <col min="8701" max="8701" width="18.81640625" style="67" bestFit="1" customWidth="1"/>
    <col min="8702" max="8942" width="9" style="67"/>
    <col min="8943" max="8943" width="4.1796875" style="67" customWidth="1"/>
    <col min="8944" max="8944" width="17.54296875" style="67" customWidth="1"/>
    <col min="8945" max="8945" width="41.54296875" style="67" customWidth="1"/>
    <col min="8946" max="8946" width="18.1796875" style="67" customWidth="1"/>
    <col min="8947" max="8949" width="15.81640625" style="67" customWidth="1"/>
    <col min="8950" max="8950" width="17.81640625" style="67" customWidth="1"/>
    <col min="8951" max="8952" width="0" style="67" hidden="1" customWidth="1"/>
    <col min="8953" max="8954" width="15.81640625" style="67" customWidth="1"/>
    <col min="8955" max="8955" width="18.1796875" style="67" customWidth="1"/>
    <col min="8956" max="8956" width="15.1796875" style="67" customWidth="1"/>
    <col min="8957" max="8957" width="18.81640625" style="67" bestFit="1" customWidth="1"/>
    <col min="8958" max="9198" width="9" style="67"/>
    <col min="9199" max="9199" width="4.1796875" style="67" customWidth="1"/>
    <col min="9200" max="9200" width="17.54296875" style="67" customWidth="1"/>
    <col min="9201" max="9201" width="41.54296875" style="67" customWidth="1"/>
    <col min="9202" max="9202" width="18.1796875" style="67" customWidth="1"/>
    <col min="9203" max="9205" width="15.81640625" style="67" customWidth="1"/>
    <col min="9206" max="9206" width="17.81640625" style="67" customWidth="1"/>
    <col min="9207" max="9208" width="0" style="67" hidden="1" customWidth="1"/>
    <col min="9209" max="9210" width="15.81640625" style="67" customWidth="1"/>
    <col min="9211" max="9211" width="18.1796875" style="67" customWidth="1"/>
    <col min="9212" max="9212" width="15.1796875" style="67" customWidth="1"/>
    <col min="9213" max="9213" width="18.81640625" style="67" bestFit="1" customWidth="1"/>
    <col min="9214" max="9454" width="9" style="67"/>
    <col min="9455" max="9455" width="4.1796875" style="67" customWidth="1"/>
    <col min="9456" max="9456" width="17.54296875" style="67" customWidth="1"/>
    <col min="9457" max="9457" width="41.54296875" style="67" customWidth="1"/>
    <col min="9458" max="9458" width="18.1796875" style="67" customWidth="1"/>
    <col min="9459" max="9461" width="15.81640625" style="67" customWidth="1"/>
    <col min="9462" max="9462" width="17.81640625" style="67" customWidth="1"/>
    <col min="9463" max="9464" width="0" style="67" hidden="1" customWidth="1"/>
    <col min="9465" max="9466" width="15.81640625" style="67" customWidth="1"/>
    <col min="9467" max="9467" width="18.1796875" style="67" customWidth="1"/>
    <col min="9468" max="9468" width="15.1796875" style="67" customWidth="1"/>
    <col min="9469" max="9469" width="18.81640625" style="67" bestFit="1" customWidth="1"/>
    <col min="9470" max="9710" width="9" style="67"/>
    <col min="9711" max="9711" width="4.1796875" style="67" customWidth="1"/>
    <col min="9712" max="9712" width="17.54296875" style="67" customWidth="1"/>
    <col min="9713" max="9713" width="41.54296875" style="67" customWidth="1"/>
    <col min="9714" max="9714" width="18.1796875" style="67" customWidth="1"/>
    <col min="9715" max="9717" width="15.81640625" style="67" customWidth="1"/>
    <col min="9718" max="9718" width="17.81640625" style="67" customWidth="1"/>
    <col min="9719" max="9720" width="0" style="67" hidden="1" customWidth="1"/>
    <col min="9721" max="9722" width="15.81640625" style="67" customWidth="1"/>
    <col min="9723" max="9723" width="18.1796875" style="67" customWidth="1"/>
    <col min="9724" max="9724" width="15.1796875" style="67" customWidth="1"/>
    <col min="9725" max="9725" width="18.81640625" style="67" bestFit="1" customWidth="1"/>
    <col min="9726" max="9966" width="9" style="67"/>
    <col min="9967" max="9967" width="4.1796875" style="67" customWidth="1"/>
    <col min="9968" max="9968" width="17.54296875" style="67" customWidth="1"/>
    <col min="9969" max="9969" width="41.54296875" style="67" customWidth="1"/>
    <col min="9970" max="9970" width="18.1796875" style="67" customWidth="1"/>
    <col min="9971" max="9973" width="15.81640625" style="67" customWidth="1"/>
    <col min="9974" max="9974" width="17.81640625" style="67" customWidth="1"/>
    <col min="9975" max="9976" width="0" style="67" hidden="1" customWidth="1"/>
    <col min="9977" max="9978" width="15.81640625" style="67" customWidth="1"/>
    <col min="9979" max="9979" width="18.1796875" style="67" customWidth="1"/>
    <col min="9980" max="9980" width="15.1796875" style="67" customWidth="1"/>
    <col min="9981" max="9981" width="18.81640625" style="67" bestFit="1" customWidth="1"/>
    <col min="9982" max="10222" width="9" style="67"/>
    <col min="10223" max="10223" width="4.1796875" style="67" customWidth="1"/>
    <col min="10224" max="10224" width="17.54296875" style="67" customWidth="1"/>
    <col min="10225" max="10225" width="41.54296875" style="67" customWidth="1"/>
    <col min="10226" max="10226" width="18.1796875" style="67" customWidth="1"/>
    <col min="10227" max="10229" width="15.81640625" style="67" customWidth="1"/>
    <col min="10230" max="10230" width="17.81640625" style="67" customWidth="1"/>
    <col min="10231" max="10232" width="0" style="67" hidden="1" customWidth="1"/>
    <col min="10233" max="10234" width="15.81640625" style="67" customWidth="1"/>
    <col min="10235" max="10235" width="18.1796875" style="67" customWidth="1"/>
    <col min="10236" max="10236" width="15.1796875" style="67" customWidth="1"/>
    <col min="10237" max="10237" width="18.81640625" style="67" bestFit="1" customWidth="1"/>
    <col min="10238" max="10478" width="9" style="67"/>
    <col min="10479" max="10479" width="4.1796875" style="67" customWidth="1"/>
    <col min="10480" max="10480" width="17.54296875" style="67" customWidth="1"/>
    <col min="10481" max="10481" width="41.54296875" style="67" customWidth="1"/>
    <col min="10482" max="10482" width="18.1796875" style="67" customWidth="1"/>
    <col min="10483" max="10485" width="15.81640625" style="67" customWidth="1"/>
    <col min="10486" max="10486" width="17.81640625" style="67" customWidth="1"/>
    <col min="10487" max="10488" width="0" style="67" hidden="1" customWidth="1"/>
    <col min="10489" max="10490" width="15.81640625" style="67" customWidth="1"/>
    <col min="10491" max="10491" width="18.1796875" style="67" customWidth="1"/>
    <col min="10492" max="10492" width="15.1796875" style="67" customWidth="1"/>
    <col min="10493" max="10493" width="18.81640625" style="67" bestFit="1" customWidth="1"/>
    <col min="10494" max="10734" width="9" style="67"/>
    <col min="10735" max="10735" width="4.1796875" style="67" customWidth="1"/>
    <col min="10736" max="10736" width="17.54296875" style="67" customWidth="1"/>
    <col min="10737" max="10737" width="41.54296875" style="67" customWidth="1"/>
    <col min="10738" max="10738" width="18.1796875" style="67" customWidth="1"/>
    <col min="10739" max="10741" width="15.81640625" style="67" customWidth="1"/>
    <col min="10742" max="10742" width="17.81640625" style="67" customWidth="1"/>
    <col min="10743" max="10744" width="0" style="67" hidden="1" customWidth="1"/>
    <col min="10745" max="10746" width="15.81640625" style="67" customWidth="1"/>
    <col min="10747" max="10747" width="18.1796875" style="67" customWidth="1"/>
    <col min="10748" max="10748" width="15.1796875" style="67" customWidth="1"/>
    <col min="10749" max="10749" width="18.81640625" style="67" bestFit="1" customWidth="1"/>
    <col min="10750" max="10990" width="9" style="67"/>
    <col min="10991" max="10991" width="4.1796875" style="67" customWidth="1"/>
    <col min="10992" max="10992" width="17.54296875" style="67" customWidth="1"/>
    <col min="10993" max="10993" width="41.54296875" style="67" customWidth="1"/>
    <col min="10994" max="10994" width="18.1796875" style="67" customWidth="1"/>
    <col min="10995" max="10997" width="15.81640625" style="67" customWidth="1"/>
    <col min="10998" max="10998" width="17.81640625" style="67" customWidth="1"/>
    <col min="10999" max="11000" width="0" style="67" hidden="1" customWidth="1"/>
    <col min="11001" max="11002" width="15.81640625" style="67" customWidth="1"/>
    <col min="11003" max="11003" width="18.1796875" style="67" customWidth="1"/>
    <col min="11004" max="11004" width="15.1796875" style="67" customWidth="1"/>
    <col min="11005" max="11005" width="18.81640625" style="67" bestFit="1" customWidth="1"/>
    <col min="11006" max="11246" width="9" style="67"/>
    <col min="11247" max="11247" width="4.1796875" style="67" customWidth="1"/>
    <col min="11248" max="11248" width="17.54296875" style="67" customWidth="1"/>
    <col min="11249" max="11249" width="41.54296875" style="67" customWidth="1"/>
    <col min="11250" max="11250" width="18.1796875" style="67" customWidth="1"/>
    <col min="11251" max="11253" width="15.81640625" style="67" customWidth="1"/>
    <col min="11254" max="11254" width="17.81640625" style="67" customWidth="1"/>
    <col min="11255" max="11256" width="0" style="67" hidden="1" customWidth="1"/>
    <col min="11257" max="11258" width="15.81640625" style="67" customWidth="1"/>
    <col min="11259" max="11259" width="18.1796875" style="67" customWidth="1"/>
    <col min="11260" max="11260" width="15.1796875" style="67" customWidth="1"/>
    <col min="11261" max="11261" width="18.81640625" style="67" bestFit="1" customWidth="1"/>
    <col min="11262" max="11502" width="9" style="67"/>
    <col min="11503" max="11503" width="4.1796875" style="67" customWidth="1"/>
    <col min="11504" max="11504" width="17.54296875" style="67" customWidth="1"/>
    <col min="11505" max="11505" width="41.54296875" style="67" customWidth="1"/>
    <col min="11506" max="11506" width="18.1796875" style="67" customWidth="1"/>
    <col min="11507" max="11509" width="15.81640625" style="67" customWidth="1"/>
    <col min="11510" max="11510" width="17.81640625" style="67" customWidth="1"/>
    <col min="11511" max="11512" width="0" style="67" hidden="1" customWidth="1"/>
    <col min="11513" max="11514" width="15.81640625" style="67" customWidth="1"/>
    <col min="11515" max="11515" width="18.1796875" style="67" customWidth="1"/>
    <col min="11516" max="11516" width="15.1796875" style="67" customWidth="1"/>
    <col min="11517" max="11517" width="18.81640625" style="67" bestFit="1" customWidth="1"/>
    <col min="11518" max="11758" width="9" style="67"/>
    <col min="11759" max="11759" width="4.1796875" style="67" customWidth="1"/>
    <col min="11760" max="11760" width="17.54296875" style="67" customWidth="1"/>
    <col min="11761" max="11761" width="41.54296875" style="67" customWidth="1"/>
    <col min="11762" max="11762" width="18.1796875" style="67" customWidth="1"/>
    <col min="11763" max="11765" width="15.81640625" style="67" customWidth="1"/>
    <col min="11766" max="11766" width="17.81640625" style="67" customWidth="1"/>
    <col min="11767" max="11768" width="0" style="67" hidden="1" customWidth="1"/>
    <col min="11769" max="11770" width="15.81640625" style="67" customWidth="1"/>
    <col min="11771" max="11771" width="18.1796875" style="67" customWidth="1"/>
    <col min="11772" max="11772" width="15.1796875" style="67" customWidth="1"/>
    <col min="11773" max="11773" width="18.81640625" style="67" bestFit="1" customWidth="1"/>
    <col min="11774" max="12014" width="9" style="67"/>
    <col min="12015" max="12015" width="4.1796875" style="67" customWidth="1"/>
    <col min="12016" max="12016" width="17.54296875" style="67" customWidth="1"/>
    <col min="12017" max="12017" width="41.54296875" style="67" customWidth="1"/>
    <col min="12018" max="12018" width="18.1796875" style="67" customWidth="1"/>
    <col min="12019" max="12021" width="15.81640625" style="67" customWidth="1"/>
    <col min="12022" max="12022" width="17.81640625" style="67" customWidth="1"/>
    <col min="12023" max="12024" width="0" style="67" hidden="1" customWidth="1"/>
    <col min="12025" max="12026" width="15.81640625" style="67" customWidth="1"/>
    <col min="12027" max="12027" width="18.1796875" style="67" customWidth="1"/>
    <col min="12028" max="12028" width="15.1796875" style="67" customWidth="1"/>
    <col min="12029" max="12029" width="18.81640625" style="67" bestFit="1" customWidth="1"/>
    <col min="12030" max="12270" width="9" style="67"/>
    <col min="12271" max="12271" width="4.1796875" style="67" customWidth="1"/>
    <col min="12272" max="12272" width="17.54296875" style="67" customWidth="1"/>
    <col min="12273" max="12273" width="41.54296875" style="67" customWidth="1"/>
    <col min="12274" max="12274" width="18.1796875" style="67" customWidth="1"/>
    <col min="12275" max="12277" width="15.81640625" style="67" customWidth="1"/>
    <col min="12278" max="12278" width="17.81640625" style="67" customWidth="1"/>
    <col min="12279" max="12280" width="0" style="67" hidden="1" customWidth="1"/>
    <col min="12281" max="12282" width="15.81640625" style="67" customWidth="1"/>
    <col min="12283" max="12283" width="18.1796875" style="67" customWidth="1"/>
    <col min="12284" max="12284" width="15.1796875" style="67" customWidth="1"/>
    <col min="12285" max="12285" width="18.81640625" style="67" bestFit="1" customWidth="1"/>
    <col min="12286" max="12526" width="9" style="67"/>
    <col min="12527" max="12527" width="4.1796875" style="67" customWidth="1"/>
    <col min="12528" max="12528" width="17.54296875" style="67" customWidth="1"/>
    <col min="12529" max="12529" width="41.54296875" style="67" customWidth="1"/>
    <col min="12530" max="12530" width="18.1796875" style="67" customWidth="1"/>
    <col min="12531" max="12533" width="15.81640625" style="67" customWidth="1"/>
    <col min="12534" max="12534" width="17.81640625" style="67" customWidth="1"/>
    <col min="12535" max="12536" width="0" style="67" hidden="1" customWidth="1"/>
    <col min="12537" max="12538" width="15.81640625" style="67" customWidth="1"/>
    <col min="12539" max="12539" width="18.1796875" style="67" customWidth="1"/>
    <col min="12540" max="12540" width="15.1796875" style="67" customWidth="1"/>
    <col min="12541" max="12541" width="18.81640625" style="67" bestFit="1" customWidth="1"/>
    <col min="12542" max="12782" width="9" style="67"/>
    <col min="12783" max="12783" width="4.1796875" style="67" customWidth="1"/>
    <col min="12784" max="12784" width="17.54296875" style="67" customWidth="1"/>
    <col min="12785" max="12785" width="41.54296875" style="67" customWidth="1"/>
    <col min="12786" max="12786" width="18.1796875" style="67" customWidth="1"/>
    <col min="12787" max="12789" width="15.81640625" style="67" customWidth="1"/>
    <col min="12790" max="12790" width="17.81640625" style="67" customWidth="1"/>
    <col min="12791" max="12792" width="0" style="67" hidden="1" customWidth="1"/>
    <col min="12793" max="12794" width="15.81640625" style="67" customWidth="1"/>
    <col min="12795" max="12795" width="18.1796875" style="67" customWidth="1"/>
    <col min="12796" max="12796" width="15.1796875" style="67" customWidth="1"/>
    <col min="12797" max="12797" width="18.81640625" style="67" bestFit="1" customWidth="1"/>
    <col min="12798" max="13038" width="9" style="67"/>
    <col min="13039" max="13039" width="4.1796875" style="67" customWidth="1"/>
    <col min="13040" max="13040" width="17.54296875" style="67" customWidth="1"/>
    <col min="13041" max="13041" width="41.54296875" style="67" customWidth="1"/>
    <col min="13042" max="13042" width="18.1796875" style="67" customWidth="1"/>
    <col min="13043" max="13045" width="15.81640625" style="67" customWidth="1"/>
    <col min="13046" max="13046" width="17.81640625" style="67" customWidth="1"/>
    <col min="13047" max="13048" width="0" style="67" hidden="1" customWidth="1"/>
    <col min="13049" max="13050" width="15.81640625" style="67" customWidth="1"/>
    <col min="13051" max="13051" width="18.1796875" style="67" customWidth="1"/>
    <col min="13052" max="13052" width="15.1796875" style="67" customWidth="1"/>
    <col min="13053" max="13053" width="18.81640625" style="67" bestFit="1" customWidth="1"/>
    <col min="13054" max="13294" width="9" style="67"/>
    <col min="13295" max="13295" width="4.1796875" style="67" customWidth="1"/>
    <col min="13296" max="13296" width="17.54296875" style="67" customWidth="1"/>
    <col min="13297" max="13297" width="41.54296875" style="67" customWidth="1"/>
    <col min="13298" max="13298" width="18.1796875" style="67" customWidth="1"/>
    <col min="13299" max="13301" width="15.81640625" style="67" customWidth="1"/>
    <col min="13302" max="13302" width="17.81640625" style="67" customWidth="1"/>
    <col min="13303" max="13304" width="0" style="67" hidden="1" customWidth="1"/>
    <col min="13305" max="13306" width="15.81640625" style="67" customWidth="1"/>
    <col min="13307" max="13307" width="18.1796875" style="67" customWidth="1"/>
    <col min="13308" max="13308" width="15.1796875" style="67" customWidth="1"/>
    <col min="13309" max="13309" width="18.81640625" style="67" bestFit="1" customWidth="1"/>
    <col min="13310" max="13550" width="9" style="67"/>
    <col min="13551" max="13551" width="4.1796875" style="67" customWidth="1"/>
    <col min="13552" max="13552" width="17.54296875" style="67" customWidth="1"/>
    <col min="13553" max="13553" width="41.54296875" style="67" customWidth="1"/>
    <col min="13554" max="13554" width="18.1796875" style="67" customWidth="1"/>
    <col min="13555" max="13557" width="15.81640625" style="67" customWidth="1"/>
    <col min="13558" max="13558" width="17.81640625" style="67" customWidth="1"/>
    <col min="13559" max="13560" width="0" style="67" hidden="1" customWidth="1"/>
    <col min="13561" max="13562" width="15.81640625" style="67" customWidth="1"/>
    <col min="13563" max="13563" width="18.1796875" style="67" customWidth="1"/>
    <col min="13564" max="13564" width="15.1796875" style="67" customWidth="1"/>
    <col min="13565" max="13565" width="18.81640625" style="67" bestFit="1" customWidth="1"/>
    <col min="13566" max="13806" width="9" style="67"/>
    <col min="13807" max="13807" width="4.1796875" style="67" customWidth="1"/>
    <col min="13808" max="13808" width="17.54296875" style="67" customWidth="1"/>
    <col min="13809" max="13809" width="41.54296875" style="67" customWidth="1"/>
    <col min="13810" max="13810" width="18.1796875" style="67" customWidth="1"/>
    <col min="13811" max="13813" width="15.81640625" style="67" customWidth="1"/>
    <col min="13814" max="13814" width="17.81640625" style="67" customWidth="1"/>
    <col min="13815" max="13816" width="0" style="67" hidden="1" customWidth="1"/>
    <col min="13817" max="13818" width="15.81640625" style="67" customWidth="1"/>
    <col min="13819" max="13819" width="18.1796875" style="67" customWidth="1"/>
    <col min="13820" max="13820" width="15.1796875" style="67" customWidth="1"/>
    <col min="13821" max="13821" width="18.81640625" style="67" bestFit="1" customWidth="1"/>
    <col min="13822" max="14062" width="9" style="67"/>
    <col min="14063" max="14063" width="4.1796875" style="67" customWidth="1"/>
    <col min="14064" max="14064" width="17.54296875" style="67" customWidth="1"/>
    <col min="14065" max="14065" width="41.54296875" style="67" customWidth="1"/>
    <col min="14066" max="14066" width="18.1796875" style="67" customWidth="1"/>
    <col min="14067" max="14069" width="15.81640625" style="67" customWidth="1"/>
    <col min="14070" max="14070" width="17.81640625" style="67" customWidth="1"/>
    <col min="14071" max="14072" width="0" style="67" hidden="1" customWidth="1"/>
    <col min="14073" max="14074" width="15.81640625" style="67" customWidth="1"/>
    <col min="14075" max="14075" width="18.1796875" style="67" customWidth="1"/>
    <col min="14076" max="14076" width="15.1796875" style="67" customWidth="1"/>
    <col min="14077" max="14077" width="18.81640625" style="67" bestFit="1" customWidth="1"/>
    <col min="14078" max="14318" width="9" style="67"/>
    <col min="14319" max="14319" width="4.1796875" style="67" customWidth="1"/>
    <col min="14320" max="14320" width="17.54296875" style="67" customWidth="1"/>
    <col min="14321" max="14321" width="41.54296875" style="67" customWidth="1"/>
    <col min="14322" max="14322" width="18.1796875" style="67" customWidth="1"/>
    <col min="14323" max="14325" width="15.81640625" style="67" customWidth="1"/>
    <col min="14326" max="14326" width="17.81640625" style="67" customWidth="1"/>
    <col min="14327" max="14328" width="0" style="67" hidden="1" customWidth="1"/>
    <col min="14329" max="14330" width="15.81640625" style="67" customWidth="1"/>
    <col min="14331" max="14331" width="18.1796875" style="67" customWidth="1"/>
    <col min="14332" max="14332" width="15.1796875" style="67" customWidth="1"/>
    <col min="14333" max="14333" width="18.81640625" style="67" bestFit="1" customWidth="1"/>
    <col min="14334" max="14574" width="9" style="67"/>
    <col min="14575" max="14575" width="4.1796875" style="67" customWidth="1"/>
    <col min="14576" max="14576" width="17.54296875" style="67" customWidth="1"/>
    <col min="14577" max="14577" width="41.54296875" style="67" customWidth="1"/>
    <col min="14578" max="14578" width="18.1796875" style="67" customWidth="1"/>
    <col min="14579" max="14581" width="15.81640625" style="67" customWidth="1"/>
    <col min="14582" max="14582" width="17.81640625" style="67" customWidth="1"/>
    <col min="14583" max="14584" width="0" style="67" hidden="1" customWidth="1"/>
    <col min="14585" max="14586" width="15.81640625" style="67" customWidth="1"/>
    <col min="14587" max="14587" width="18.1796875" style="67" customWidth="1"/>
    <col min="14588" max="14588" width="15.1796875" style="67" customWidth="1"/>
    <col min="14589" max="14589" width="18.81640625" style="67" bestFit="1" customWidth="1"/>
    <col min="14590" max="14830" width="9" style="67"/>
    <col min="14831" max="14831" width="4.1796875" style="67" customWidth="1"/>
    <col min="14832" max="14832" width="17.54296875" style="67" customWidth="1"/>
    <col min="14833" max="14833" width="41.54296875" style="67" customWidth="1"/>
    <col min="14834" max="14834" width="18.1796875" style="67" customWidth="1"/>
    <col min="14835" max="14837" width="15.81640625" style="67" customWidth="1"/>
    <col min="14838" max="14838" width="17.81640625" style="67" customWidth="1"/>
    <col min="14839" max="14840" width="0" style="67" hidden="1" customWidth="1"/>
    <col min="14841" max="14842" width="15.81640625" style="67" customWidth="1"/>
    <col min="14843" max="14843" width="18.1796875" style="67" customWidth="1"/>
    <col min="14844" max="14844" width="15.1796875" style="67" customWidth="1"/>
    <col min="14845" max="14845" width="18.81640625" style="67" bestFit="1" customWidth="1"/>
    <col min="14846" max="15086" width="9" style="67"/>
    <col min="15087" max="15087" width="4.1796875" style="67" customWidth="1"/>
    <col min="15088" max="15088" width="17.54296875" style="67" customWidth="1"/>
    <col min="15089" max="15089" width="41.54296875" style="67" customWidth="1"/>
    <col min="15090" max="15090" width="18.1796875" style="67" customWidth="1"/>
    <col min="15091" max="15093" width="15.81640625" style="67" customWidth="1"/>
    <col min="15094" max="15094" width="17.81640625" style="67" customWidth="1"/>
    <col min="15095" max="15096" width="0" style="67" hidden="1" customWidth="1"/>
    <col min="15097" max="15098" width="15.81640625" style="67" customWidth="1"/>
    <col min="15099" max="15099" width="18.1796875" style="67" customWidth="1"/>
    <col min="15100" max="15100" width="15.1796875" style="67" customWidth="1"/>
    <col min="15101" max="15101" width="18.81640625" style="67" bestFit="1" customWidth="1"/>
    <col min="15102" max="15342" width="9" style="67"/>
    <col min="15343" max="15343" width="4.1796875" style="67" customWidth="1"/>
    <col min="15344" max="15344" width="17.54296875" style="67" customWidth="1"/>
    <col min="15345" max="15345" width="41.54296875" style="67" customWidth="1"/>
    <col min="15346" max="15346" width="18.1796875" style="67" customWidth="1"/>
    <col min="15347" max="15349" width="15.81640625" style="67" customWidth="1"/>
    <col min="15350" max="15350" width="17.81640625" style="67" customWidth="1"/>
    <col min="15351" max="15352" width="0" style="67" hidden="1" customWidth="1"/>
    <col min="15353" max="15354" width="15.81640625" style="67" customWidth="1"/>
    <col min="15355" max="15355" width="18.1796875" style="67" customWidth="1"/>
    <col min="15356" max="15356" width="15.1796875" style="67" customWidth="1"/>
    <col min="15357" max="15357" width="18.81640625" style="67" bestFit="1" customWidth="1"/>
    <col min="15358" max="15598" width="9" style="67"/>
    <col min="15599" max="15599" width="4.1796875" style="67" customWidth="1"/>
    <col min="15600" max="15600" width="17.54296875" style="67" customWidth="1"/>
    <col min="15601" max="15601" width="41.54296875" style="67" customWidth="1"/>
    <col min="15602" max="15602" width="18.1796875" style="67" customWidth="1"/>
    <col min="15603" max="15605" width="15.81640625" style="67" customWidth="1"/>
    <col min="15606" max="15606" width="17.81640625" style="67" customWidth="1"/>
    <col min="15607" max="15608" width="0" style="67" hidden="1" customWidth="1"/>
    <col min="15609" max="15610" width="15.81640625" style="67" customWidth="1"/>
    <col min="15611" max="15611" width="18.1796875" style="67" customWidth="1"/>
    <col min="15612" max="15612" width="15.1796875" style="67" customWidth="1"/>
    <col min="15613" max="15613" width="18.81640625" style="67" bestFit="1" customWidth="1"/>
    <col min="15614" max="15854" width="9" style="67"/>
    <col min="15855" max="15855" width="4.1796875" style="67" customWidth="1"/>
    <col min="15856" max="15856" width="17.54296875" style="67" customWidth="1"/>
    <col min="15857" max="15857" width="41.54296875" style="67" customWidth="1"/>
    <col min="15858" max="15858" width="18.1796875" style="67" customWidth="1"/>
    <col min="15859" max="15861" width="15.81640625" style="67" customWidth="1"/>
    <col min="15862" max="15862" width="17.81640625" style="67" customWidth="1"/>
    <col min="15863" max="15864" width="0" style="67" hidden="1" customWidth="1"/>
    <col min="15865" max="15866" width="15.81640625" style="67" customWidth="1"/>
    <col min="15867" max="15867" width="18.1796875" style="67" customWidth="1"/>
    <col min="15868" max="15868" width="15.1796875" style="67" customWidth="1"/>
    <col min="15869" max="15869" width="18.81640625" style="67" bestFit="1" customWidth="1"/>
    <col min="15870" max="16110" width="9" style="67"/>
    <col min="16111" max="16111" width="4.1796875" style="67" customWidth="1"/>
    <col min="16112" max="16112" width="17.54296875" style="67" customWidth="1"/>
    <col min="16113" max="16113" width="41.54296875" style="67" customWidth="1"/>
    <col min="16114" max="16114" width="18.1796875" style="67" customWidth="1"/>
    <col min="16115" max="16117" width="15.81640625" style="67" customWidth="1"/>
    <col min="16118" max="16118" width="17.81640625" style="67" customWidth="1"/>
    <col min="16119" max="16120" width="0" style="67" hidden="1" customWidth="1"/>
    <col min="16121" max="16122" width="15.81640625" style="67" customWidth="1"/>
    <col min="16123" max="16123" width="18.1796875" style="67" customWidth="1"/>
    <col min="16124" max="16124" width="15.1796875" style="67" customWidth="1"/>
    <col min="16125" max="16125" width="18.81640625" style="67" bestFit="1" customWidth="1"/>
    <col min="16126" max="16384" width="9" style="67"/>
  </cols>
  <sheetData>
    <row r="1" spans="1:8" ht="14" x14ac:dyDescent="0.25">
      <c r="A1" s="130" t="s">
        <v>2121</v>
      </c>
      <c r="B1" s="130"/>
      <c r="C1" s="130"/>
      <c r="F1" s="127" t="s">
        <v>2126</v>
      </c>
      <c r="G1" s="127"/>
      <c r="H1" s="127"/>
    </row>
    <row r="2" spans="1:8" ht="14" x14ac:dyDescent="0.25">
      <c r="A2" s="131" t="s">
        <v>2122</v>
      </c>
      <c r="B2" s="131"/>
      <c r="C2" s="131"/>
      <c r="F2" s="128" t="s">
        <v>2127</v>
      </c>
      <c r="G2" s="128"/>
      <c r="H2" s="128"/>
    </row>
    <row r="3" spans="1:8" ht="14" x14ac:dyDescent="0.25">
      <c r="A3" s="131" t="s">
        <v>2123</v>
      </c>
      <c r="B3" s="131"/>
      <c r="C3" s="131"/>
      <c r="F3" s="128"/>
      <c r="G3" s="128"/>
      <c r="H3" s="128"/>
    </row>
    <row r="4" spans="1:8" ht="28.5" customHeight="1" x14ac:dyDescent="0.25">
      <c r="A4" s="132" t="s">
        <v>2124</v>
      </c>
      <c r="B4" s="132"/>
      <c r="C4" s="132"/>
      <c r="F4" s="127"/>
      <c r="G4" s="127"/>
      <c r="H4" s="127"/>
    </row>
    <row r="5" spans="1:8" ht="23.5" customHeight="1" x14ac:dyDescent="0.25">
      <c r="A5" s="132"/>
      <c r="B5" s="132"/>
      <c r="C5" s="132"/>
      <c r="F5" s="127"/>
      <c r="G5" s="127"/>
      <c r="H5" s="127"/>
    </row>
    <row r="6" spans="1:8" ht="24" customHeight="1" x14ac:dyDescent="0.25">
      <c r="A6" s="109"/>
      <c r="B6" s="110"/>
      <c r="C6" s="111" t="s">
        <v>2125</v>
      </c>
      <c r="F6" s="106"/>
      <c r="G6" s="107"/>
      <c r="H6" s="108"/>
    </row>
    <row r="8" spans="1:8" s="69" customFormat="1" ht="25.5" customHeight="1" x14ac:dyDescent="0.25">
      <c r="A8" s="68"/>
      <c r="B8" s="129" t="s">
        <v>1888</v>
      </c>
      <c r="C8" s="129"/>
      <c r="D8" s="83">
        <f>H39</f>
        <v>66697.210000000006</v>
      </c>
      <c r="E8" s="70" t="s">
        <v>1889</v>
      </c>
    </row>
    <row r="9" spans="1:8" s="69" customFormat="1" ht="25.5" customHeight="1" x14ac:dyDescent="0.25">
      <c r="A9" s="68"/>
      <c r="B9" s="71"/>
      <c r="C9" s="71"/>
      <c r="D9" s="72"/>
    </row>
    <row r="10" spans="1:8" ht="25.5" customHeight="1" x14ac:dyDescent="0.25">
      <c r="A10" s="121" t="s">
        <v>1890</v>
      </c>
      <c r="B10" s="121"/>
      <c r="C10" s="121"/>
      <c r="D10" s="121"/>
      <c r="E10" s="121"/>
      <c r="F10" s="121"/>
      <c r="G10" s="121"/>
      <c r="H10" s="121"/>
    </row>
    <row r="11" spans="1:8" ht="25.5" customHeight="1" x14ac:dyDescent="0.25">
      <c r="A11" s="122" t="s">
        <v>2120</v>
      </c>
      <c r="B11" s="122"/>
      <c r="C11" s="122"/>
      <c r="D11" s="122"/>
      <c r="E11" s="122"/>
      <c r="F11" s="122"/>
      <c r="G11" s="122"/>
      <c r="H11" s="122"/>
    </row>
    <row r="12" spans="1:8" x14ac:dyDescent="0.25">
      <c r="A12" s="73"/>
      <c r="B12" s="73"/>
      <c r="C12" s="73"/>
      <c r="D12" s="73"/>
      <c r="E12" s="73"/>
      <c r="F12" s="73"/>
      <c r="G12" s="73"/>
      <c r="H12" s="73"/>
    </row>
    <row r="13" spans="1:8" ht="25.5" customHeight="1" x14ac:dyDescent="0.25">
      <c r="A13" s="65" t="s">
        <v>1891</v>
      </c>
    </row>
    <row r="14" spans="1:8" x14ac:dyDescent="0.25">
      <c r="A14" s="123" t="s">
        <v>1892</v>
      </c>
      <c r="B14" s="125" t="s">
        <v>1893</v>
      </c>
      <c r="C14" s="126" t="s">
        <v>1894</v>
      </c>
      <c r="D14" s="126" t="s">
        <v>1876</v>
      </c>
      <c r="E14" s="126"/>
      <c r="F14" s="126"/>
      <c r="G14" s="126"/>
      <c r="H14" s="126"/>
    </row>
    <row r="15" spans="1:8" ht="34.5" customHeight="1" x14ac:dyDescent="0.25">
      <c r="A15" s="124"/>
      <c r="B15" s="125"/>
      <c r="C15" s="126"/>
      <c r="D15" s="74" t="s">
        <v>51</v>
      </c>
      <c r="E15" s="74" t="s">
        <v>1895</v>
      </c>
      <c r="F15" s="74" t="s">
        <v>237</v>
      </c>
      <c r="G15" s="74" t="s">
        <v>16</v>
      </c>
      <c r="H15" s="75" t="s">
        <v>1896</v>
      </c>
    </row>
    <row r="16" spans="1:8" ht="15" customHeight="1" x14ac:dyDescent="0.25">
      <c r="A16" s="76">
        <v>1</v>
      </c>
      <c r="B16" s="74">
        <v>2</v>
      </c>
      <c r="C16" s="75">
        <v>3</v>
      </c>
      <c r="D16" s="75">
        <v>4</v>
      </c>
      <c r="E16" s="75">
        <v>5</v>
      </c>
      <c r="F16" s="75">
        <v>6</v>
      </c>
      <c r="G16" s="75">
        <v>7</v>
      </c>
      <c r="H16" s="75">
        <v>8</v>
      </c>
    </row>
    <row r="17" spans="1:8" ht="19.5" customHeight="1" x14ac:dyDescent="0.25">
      <c r="A17" s="115" t="s">
        <v>1937</v>
      </c>
      <c r="B17" s="116"/>
      <c r="C17" s="116"/>
      <c r="D17" s="116"/>
      <c r="E17" s="116"/>
      <c r="F17" s="116"/>
      <c r="G17" s="116"/>
      <c r="H17" s="117"/>
    </row>
    <row r="18" spans="1:8" ht="22.5" customHeight="1" x14ac:dyDescent="0.25">
      <c r="A18" s="76" t="s">
        <v>3</v>
      </c>
      <c r="B18" s="78" t="s">
        <v>1933</v>
      </c>
      <c r="C18" s="79" t="s">
        <v>1897</v>
      </c>
      <c r="D18" s="77">
        <f>'ОСР 02-01'!D34</f>
        <v>20114.37</v>
      </c>
      <c r="E18" s="77">
        <f>'ОСР 02-01'!E34</f>
        <v>17104.55</v>
      </c>
      <c r="F18" s="77">
        <f>'ОСР 02-01'!F34</f>
        <v>13858.18</v>
      </c>
      <c r="G18" s="85" t="s">
        <v>1913</v>
      </c>
      <c r="H18" s="77">
        <f>SUM(D18:G18)</f>
        <v>51077.1</v>
      </c>
    </row>
    <row r="19" spans="1:8" ht="22.5" customHeight="1" x14ac:dyDescent="0.25">
      <c r="A19" s="118" t="s">
        <v>1932</v>
      </c>
      <c r="B19" s="119"/>
      <c r="C19" s="120"/>
      <c r="D19" s="77"/>
      <c r="E19" s="77"/>
      <c r="F19" s="87">
        <f>'ОСР 02-01'!F33</f>
        <v>58.11</v>
      </c>
      <c r="G19" s="80"/>
      <c r="H19" s="80"/>
    </row>
    <row r="20" spans="1:8" ht="20.25" customHeight="1" x14ac:dyDescent="0.25">
      <c r="A20" s="112" t="s">
        <v>1898</v>
      </c>
      <c r="B20" s="113"/>
      <c r="C20" s="114"/>
      <c r="D20" s="80">
        <f>D18</f>
        <v>20114.37</v>
      </c>
      <c r="E20" s="80">
        <f>E18</f>
        <v>17104.55</v>
      </c>
      <c r="F20" s="80">
        <f>F18</f>
        <v>13858.18</v>
      </c>
      <c r="G20" s="85" t="s">
        <v>1913</v>
      </c>
      <c r="H20" s="80">
        <f>SUM(D20:G20)</f>
        <v>51077.1</v>
      </c>
    </row>
    <row r="21" spans="1:8" ht="20.25" customHeight="1" x14ac:dyDescent="0.25">
      <c r="A21" s="112" t="s">
        <v>1899</v>
      </c>
      <c r="B21" s="113"/>
      <c r="C21" s="114"/>
      <c r="D21" s="80">
        <f>D20</f>
        <v>20114.37</v>
      </c>
      <c r="E21" s="80">
        <f t="shared" ref="E21:F21" si="0">E20</f>
        <v>17104.55</v>
      </c>
      <c r="F21" s="80">
        <f t="shared" si="0"/>
        <v>13858.18</v>
      </c>
      <c r="G21" s="85" t="s">
        <v>1913</v>
      </c>
      <c r="H21" s="80">
        <f>SUM(D21:G21)</f>
        <v>51077.1</v>
      </c>
    </row>
    <row r="22" spans="1:8" ht="20.25" customHeight="1" x14ac:dyDescent="0.25">
      <c r="A22" s="67"/>
      <c r="B22" s="67"/>
    </row>
    <row r="23" spans="1:8" ht="19.5" customHeight="1" x14ac:dyDescent="0.25">
      <c r="A23" s="115" t="s">
        <v>1900</v>
      </c>
      <c r="B23" s="116"/>
      <c r="C23" s="116"/>
      <c r="D23" s="116"/>
      <c r="E23" s="116"/>
      <c r="F23" s="116"/>
      <c r="G23" s="116"/>
      <c r="H23" s="117"/>
    </row>
    <row r="24" spans="1:8" ht="34" customHeight="1" x14ac:dyDescent="0.25">
      <c r="A24" s="76" t="s">
        <v>10</v>
      </c>
      <c r="B24" s="78" t="s">
        <v>1945</v>
      </c>
      <c r="C24" s="79" t="s">
        <v>1901</v>
      </c>
      <c r="D24" s="77">
        <f>D18*0.014</f>
        <v>281.60000000000002</v>
      </c>
      <c r="E24" s="77">
        <f>E18*0.014</f>
        <v>239.46</v>
      </c>
      <c r="F24" s="85" t="s">
        <v>1913</v>
      </c>
      <c r="G24" s="85" t="s">
        <v>1913</v>
      </c>
      <c r="H24" s="77">
        <f>SUM(D24:G24)</f>
        <v>521.05999999999995</v>
      </c>
    </row>
    <row r="25" spans="1:8" ht="20.25" customHeight="1" x14ac:dyDescent="0.25">
      <c r="A25" s="112" t="s">
        <v>1902</v>
      </c>
      <c r="B25" s="113"/>
      <c r="C25" s="114"/>
      <c r="D25" s="80">
        <f>D24</f>
        <v>281.60000000000002</v>
      </c>
      <c r="E25" s="80">
        <f>E24</f>
        <v>239.46</v>
      </c>
      <c r="F25" s="85" t="s">
        <v>1913</v>
      </c>
      <c r="G25" s="85" t="s">
        <v>1913</v>
      </c>
      <c r="H25" s="80">
        <f t="shared" ref="H25:H26" si="1">SUM(D25:G25)</f>
        <v>521.05999999999995</v>
      </c>
    </row>
    <row r="26" spans="1:8" ht="20.25" customHeight="1" x14ac:dyDescent="0.25">
      <c r="A26" s="112" t="s">
        <v>1903</v>
      </c>
      <c r="B26" s="113"/>
      <c r="C26" s="114"/>
      <c r="D26" s="80">
        <f>D21+D25</f>
        <v>20395.97</v>
      </c>
      <c r="E26" s="80">
        <f>E21+E25</f>
        <v>17344.009999999998</v>
      </c>
      <c r="F26" s="80">
        <f>F21</f>
        <v>13858.18</v>
      </c>
      <c r="G26" s="85" t="s">
        <v>1913</v>
      </c>
      <c r="H26" s="80">
        <f t="shared" si="1"/>
        <v>51598.16</v>
      </c>
    </row>
    <row r="27" spans="1:8" ht="19.5" customHeight="1" collapsed="1" x14ac:dyDescent="0.25">
      <c r="A27" s="115" t="s">
        <v>1904</v>
      </c>
      <c r="B27" s="116"/>
      <c r="C27" s="116"/>
      <c r="D27" s="116"/>
      <c r="E27" s="116"/>
      <c r="F27" s="116"/>
      <c r="G27" s="116"/>
      <c r="H27" s="117"/>
    </row>
    <row r="28" spans="1:8" ht="25.5" customHeight="1" x14ac:dyDescent="0.25">
      <c r="A28" s="76" t="s">
        <v>12</v>
      </c>
      <c r="B28" s="78" t="s">
        <v>1905</v>
      </c>
      <c r="C28" s="79" t="s">
        <v>1906</v>
      </c>
      <c r="D28" s="77">
        <v>0</v>
      </c>
      <c r="E28" s="77">
        <v>0</v>
      </c>
      <c r="F28" s="77">
        <v>0</v>
      </c>
      <c r="G28" s="77">
        <f>'ЛС 09-01-01'!J14</f>
        <v>2010</v>
      </c>
      <c r="H28" s="77">
        <f>SUM(D28:G28)</f>
        <v>2010</v>
      </c>
    </row>
    <row r="29" spans="1:8" ht="20.25" customHeight="1" x14ac:dyDescent="0.25">
      <c r="A29" s="112" t="s">
        <v>1907</v>
      </c>
      <c r="B29" s="113"/>
      <c r="C29" s="114"/>
      <c r="D29" s="80">
        <f>SUM(D28:D28)</f>
        <v>0</v>
      </c>
      <c r="E29" s="80">
        <f>SUM(E28:E28)</f>
        <v>0</v>
      </c>
      <c r="F29" s="80">
        <f>SUM(F28:F28)</f>
        <v>0</v>
      </c>
      <c r="G29" s="80">
        <f>G28</f>
        <v>2010</v>
      </c>
      <c r="H29" s="80">
        <f t="shared" ref="H29:H31" si="2">SUM(D29:G29)</f>
        <v>2010</v>
      </c>
    </row>
    <row r="30" spans="1:8" ht="20.25" customHeight="1" x14ac:dyDescent="0.25">
      <c r="A30" s="112" t="s">
        <v>1908</v>
      </c>
      <c r="B30" s="113"/>
      <c r="C30" s="114"/>
      <c r="D30" s="80">
        <f>D26</f>
        <v>20395.97</v>
      </c>
      <c r="E30" s="80">
        <f>E26</f>
        <v>17344.009999999998</v>
      </c>
      <c r="F30" s="80">
        <f>F26</f>
        <v>13858.18</v>
      </c>
      <c r="G30" s="80">
        <f>G29</f>
        <v>2010</v>
      </c>
      <c r="H30" s="80">
        <f t="shared" si="2"/>
        <v>53608.160000000003</v>
      </c>
    </row>
    <row r="31" spans="1:8" ht="21" customHeight="1" x14ac:dyDescent="0.25">
      <c r="A31" s="112" t="s">
        <v>1909</v>
      </c>
      <c r="B31" s="113"/>
      <c r="C31" s="114"/>
      <c r="D31" s="80">
        <f>D30</f>
        <v>20395.97</v>
      </c>
      <c r="E31" s="80">
        <f>E30</f>
        <v>17344.009999999998</v>
      </c>
      <c r="F31" s="80">
        <f>F30</f>
        <v>13858.18</v>
      </c>
      <c r="G31" s="80">
        <f>G30</f>
        <v>2010</v>
      </c>
      <c r="H31" s="80">
        <f t="shared" si="2"/>
        <v>53608.160000000003</v>
      </c>
    </row>
    <row r="32" spans="1:8" ht="21" customHeight="1" x14ac:dyDescent="0.25">
      <c r="A32" s="115" t="s">
        <v>1938</v>
      </c>
      <c r="B32" s="116"/>
      <c r="C32" s="116"/>
      <c r="D32" s="116"/>
      <c r="E32" s="116"/>
      <c r="F32" s="116"/>
      <c r="G32" s="116"/>
      <c r="H32" s="117"/>
    </row>
    <row r="33" spans="1:8" s="66" customFormat="1" ht="27.75" customHeight="1" x14ac:dyDescent="0.25">
      <c r="A33" s="78" t="s">
        <v>15</v>
      </c>
      <c r="B33" s="74" t="s">
        <v>1934</v>
      </c>
      <c r="C33" s="79" t="s">
        <v>1910</v>
      </c>
      <c r="D33" s="81">
        <f>D31*0.02</f>
        <v>407.92</v>
      </c>
      <c r="E33" s="81">
        <f>E31*0.02</f>
        <v>346.88</v>
      </c>
      <c r="F33" s="81">
        <f>F31*0.02</f>
        <v>277.16000000000003</v>
      </c>
      <c r="G33" s="81">
        <f>G31*0.02</f>
        <v>40.200000000000003</v>
      </c>
      <c r="H33" s="81">
        <f>SUM(D33:G33)</f>
        <v>1072.1600000000001</v>
      </c>
    </row>
    <row r="34" spans="1:8" s="66" customFormat="1" ht="27.75" customHeight="1" x14ac:dyDescent="0.25">
      <c r="A34" s="112" t="s">
        <v>1939</v>
      </c>
      <c r="B34" s="113"/>
      <c r="C34" s="114"/>
      <c r="D34" s="86">
        <f>D33</f>
        <v>407.92</v>
      </c>
      <c r="E34" s="86">
        <f t="shared" ref="E34:G34" si="3">E33</f>
        <v>346.88</v>
      </c>
      <c r="F34" s="86">
        <f t="shared" si="3"/>
        <v>277.16000000000003</v>
      </c>
      <c r="G34" s="86">
        <f t="shared" si="3"/>
        <v>40.200000000000003</v>
      </c>
      <c r="H34" s="86">
        <f t="shared" ref="H34:H35" si="4">SUM(D34:G34)</f>
        <v>1072.1600000000001</v>
      </c>
    </row>
    <row r="35" spans="1:8" ht="21.75" customHeight="1" x14ac:dyDescent="0.25">
      <c r="A35" s="112" t="s">
        <v>1940</v>
      </c>
      <c r="B35" s="113"/>
      <c r="C35" s="114"/>
      <c r="D35" s="80">
        <f>D31+D34</f>
        <v>20803.89</v>
      </c>
      <c r="E35" s="80">
        <f>E31+E34</f>
        <v>17690.89</v>
      </c>
      <c r="F35" s="80">
        <f>F31+F34</f>
        <v>14135.34</v>
      </c>
      <c r="G35" s="80">
        <f>G31+G34</f>
        <v>2050.1999999999998</v>
      </c>
      <c r="H35" s="86">
        <f t="shared" si="4"/>
        <v>54680.32</v>
      </c>
    </row>
    <row r="36" spans="1:8" ht="21.75" customHeight="1" x14ac:dyDescent="0.25">
      <c r="A36" s="115" t="s">
        <v>1941</v>
      </c>
      <c r="B36" s="116"/>
      <c r="C36" s="116"/>
      <c r="D36" s="116"/>
      <c r="E36" s="116"/>
      <c r="F36" s="116"/>
      <c r="G36" s="116"/>
      <c r="H36" s="117"/>
    </row>
    <row r="37" spans="1:8" ht="30" customHeight="1" collapsed="1" x14ac:dyDescent="0.25">
      <c r="A37" s="76" t="s">
        <v>18</v>
      </c>
      <c r="B37" s="82" t="s">
        <v>1935</v>
      </c>
      <c r="C37" s="79" t="s">
        <v>1911</v>
      </c>
      <c r="D37" s="77">
        <f>D35*0.22</f>
        <v>4576.8599999999997</v>
      </c>
      <c r="E37" s="77">
        <f>E35*0.22</f>
        <v>3892</v>
      </c>
      <c r="F37" s="77">
        <f>(F35-F19)*0.22</f>
        <v>3096.99</v>
      </c>
      <c r="G37" s="77">
        <f>G35*0.22</f>
        <v>451.04</v>
      </c>
      <c r="H37" s="77">
        <f>SUM(D37:G37)</f>
        <v>12016.89</v>
      </c>
    </row>
    <row r="38" spans="1:8" ht="30" customHeight="1" x14ac:dyDescent="0.25">
      <c r="A38" s="112" t="s">
        <v>1943</v>
      </c>
      <c r="B38" s="113"/>
      <c r="C38" s="114"/>
      <c r="D38" s="80">
        <f>D37</f>
        <v>4576.8599999999997</v>
      </c>
      <c r="E38" s="80">
        <f>E37</f>
        <v>3892</v>
      </c>
      <c r="F38" s="80">
        <f>F37</f>
        <v>3096.99</v>
      </c>
      <c r="G38" s="80">
        <f>G37</f>
        <v>451.04</v>
      </c>
      <c r="H38" s="80">
        <f t="shared" ref="H38:H39" si="5">SUM(D38:G38)</f>
        <v>12016.89</v>
      </c>
    </row>
    <row r="39" spans="1:8" ht="28.5" customHeight="1" x14ac:dyDescent="0.25">
      <c r="A39" s="112" t="s">
        <v>1944</v>
      </c>
      <c r="B39" s="113"/>
      <c r="C39" s="114"/>
      <c r="D39" s="80">
        <f>D35+D38</f>
        <v>25380.75</v>
      </c>
      <c r="E39" s="80">
        <f>E35+E38</f>
        <v>21582.89</v>
      </c>
      <c r="F39" s="80">
        <f>F35+F38</f>
        <v>17232.330000000002</v>
      </c>
      <c r="G39" s="80">
        <f>G35+G38</f>
        <v>2501.2399999999998</v>
      </c>
      <c r="H39" s="80">
        <f t="shared" si="5"/>
        <v>66697.210000000006</v>
      </c>
    </row>
    <row r="40" spans="1:8" ht="30" customHeight="1" collapsed="1" x14ac:dyDescent="0.25">
      <c r="A40" s="76" t="s">
        <v>20</v>
      </c>
      <c r="B40" s="78" t="s">
        <v>1936</v>
      </c>
      <c r="C40" s="79" t="s">
        <v>1942</v>
      </c>
      <c r="D40" s="85" t="s">
        <v>1913</v>
      </c>
      <c r="E40" s="85" t="s">
        <v>1913</v>
      </c>
      <c r="F40" s="85" t="s">
        <v>1913</v>
      </c>
      <c r="G40" s="77">
        <f>Возврат!J13</f>
        <v>31.51</v>
      </c>
      <c r="H40" s="77">
        <f>G40</f>
        <v>31.51</v>
      </c>
    </row>
  </sheetData>
  <mergeCells count="32">
    <mergeCell ref="F1:H1"/>
    <mergeCell ref="F2:H2"/>
    <mergeCell ref="F3:H3"/>
    <mergeCell ref="F4:H5"/>
    <mergeCell ref="B8:C8"/>
    <mergeCell ref="A1:C1"/>
    <mergeCell ref="A2:C2"/>
    <mergeCell ref="A3:C3"/>
    <mergeCell ref="A4:C5"/>
    <mergeCell ref="A10:H10"/>
    <mergeCell ref="A11:H11"/>
    <mergeCell ref="A14:A15"/>
    <mergeCell ref="B14:B15"/>
    <mergeCell ref="C14:C15"/>
    <mergeCell ref="D14:H14"/>
    <mergeCell ref="A29:C29"/>
    <mergeCell ref="A30:C30"/>
    <mergeCell ref="A31:C31"/>
    <mergeCell ref="A17:H17"/>
    <mergeCell ref="A20:C20"/>
    <mergeCell ref="A21:C21"/>
    <mergeCell ref="A19:C19"/>
    <mergeCell ref="A23:H23"/>
    <mergeCell ref="A25:C25"/>
    <mergeCell ref="A26:C26"/>
    <mergeCell ref="A27:H27"/>
    <mergeCell ref="A38:C38"/>
    <mergeCell ref="A39:C39"/>
    <mergeCell ref="A32:H32"/>
    <mergeCell ref="A34:C34"/>
    <mergeCell ref="A35:C35"/>
    <mergeCell ref="A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8312-C325-4C2F-98A0-BA1B513EFB8A}">
  <dimension ref="A1:H40"/>
  <sheetViews>
    <sheetView topLeftCell="A8" zoomScale="50" zoomScaleNormal="85" workbookViewId="0">
      <selection activeCell="D21" sqref="D21"/>
    </sheetView>
  </sheetViews>
  <sheetFormatPr defaultRowHeight="12.5" x14ac:dyDescent="0.25"/>
  <cols>
    <col min="1" max="1" width="5.81640625" customWidth="1"/>
    <col min="2" max="2" width="30.81640625" customWidth="1"/>
    <col min="3" max="3" width="40.81640625" customWidth="1"/>
    <col min="4" max="8" width="15.81640625" style="97" customWidth="1"/>
    <col min="12" max="13" width="0" hidden="1" customWidth="1"/>
    <col min="15" max="15" width="0" hidden="1" customWidth="1"/>
  </cols>
  <sheetData>
    <row r="1" spans="1:8" ht="15.5" x14ac:dyDescent="0.25">
      <c r="A1" s="136" t="s">
        <v>1871</v>
      </c>
      <c r="B1" s="136"/>
      <c r="C1" s="136"/>
      <c r="D1" s="136"/>
      <c r="E1" s="136"/>
      <c r="F1" s="136"/>
      <c r="G1" s="136"/>
      <c r="H1" s="136"/>
    </row>
    <row r="2" spans="1:8" ht="14" x14ac:dyDescent="0.25">
      <c r="A2" s="46"/>
      <c r="B2" s="46"/>
      <c r="C2" s="46"/>
      <c r="D2" s="46"/>
      <c r="E2" s="46"/>
      <c r="F2" s="46"/>
      <c r="G2" s="46"/>
      <c r="H2" s="46"/>
    </row>
    <row r="3" spans="1:8" ht="39" customHeight="1" x14ac:dyDescent="0.25">
      <c r="A3" s="137" t="str">
        <f>ССРСС!A11</f>
        <v>Выполнение работ по капитальному ремонту здания в Басманном районе ЦАО города Москвы</v>
      </c>
      <c r="B3" s="137"/>
      <c r="C3" s="137"/>
      <c r="D3" s="137"/>
      <c r="E3" s="137"/>
      <c r="F3" s="137"/>
      <c r="G3" s="137"/>
      <c r="H3" s="137"/>
    </row>
    <row r="4" spans="1:8" x14ac:dyDescent="0.25">
      <c r="A4" s="138" t="s">
        <v>1872</v>
      </c>
      <c r="B4" s="138"/>
      <c r="C4" s="138"/>
      <c r="D4" s="138"/>
      <c r="E4" s="138"/>
      <c r="F4" s="138"/>
      <c r="G4" s="138"/>
      <c r="H4" s="138"/>
    </row>
    <row r="5" spans="1:8" x14ac:dyDescent="0.25">
      <c r="A5" s="47"/>
      <c r="B5" s="47"/>
      <c r="C5" s="47"/>
      <c r="D5" s="47"/>
      <c r="E5" s="47"/>
      <c r="F5" s="47"/>
      <c r="G5" s="47"/>
      <c r="H5" s="47"/>
    </row>
    <row r="6" spans="1:8" ht="14" x14ac:dyDescent="0.3">
      <c r="A6" s="139" t="s">
        <v>235</v>
      </c>
      <c r="B6" s="139"/>
      <c r="C6" s="139"/>
      <c r="D6" s="93">
        <f>H34</f>
        <v>51077.1</v>
      </c>
      <c r="E6" s="94" t="s">
        <v>1873</v>
      </c>
      <c r="F6" s="95"/>
      <c r="G6" s="96"/>
      <c r="H6" s="96"/>
    </row>
    <row r="7" spans="1:8" ht="14" x14ac:dyDescent="0.3">
      <c r="A7" s="48"/>
      <c r="B7" s="26"/>
      <c r="C7" s="26"/>
      <c r="D7" s="94"/>
      <c r="E7" s="94"/>
      <c r="F7" s="96"/>
      <c r="G7" s="96"/>
      <c r="H7" s="96"/>
    </row>
    <row r="8" spans="1:8" ht="14" x14ac:dyDescent="0.3">
      <c r="A8" s="45"/>
      <c r="B8" s="2"/>
      <c r="C8" s="2"/>
      <c r="D8" s="96"/>
      <c r="E8" s="96"/>
      <c r="F8" s="96"/>
      <c r="G8" s="96"/>
      <c r="H8" s="96"/>
    </row>
    <row r="9" spans="1:8" ht="14" x14ac:dyDescent="0.25">
      <c r="A9" s="139" t="s">
        <v>1874</v>
      </c>
      <c r="B9" s="139"/>
      <c r="C9" s="139"/>
      <c r="D9" s="139"/>
      <c r="E9" s="139"/>
      <c r="F9" s="139"/>
      <c r="G9" s="139"/>
      <c r="H9" s="139"/>
    </row>
    <row r="10" spans="1:8" ht="14" x14ac:dyDescent="0.3">
      <c r="A10" s="2"/>
      <c r="B10" s="2"/>
      <c r="C10" s="2"/>
      <c r="D10" s="96"/>
      <c r="E10" s="96"/>
      <c r="F10" s="96"/>
      <c r="G10" s="96"/>
      <c r="H10" s="96"/>
    </row>
    <row r="11" spans="1:8" ht="14" x14ac:dyDescent="0.25">
      <c r="A11" s="133" t="s">
        <v>241</v>
      </c>
      <c r="B11" s="133" t="s">
        <v>1875</v>
      </c>
      <c r="C11" s="133" t="s">
        <v>243</v>
      </c>
      <c r="D11" s="135" t="s">
        <v>1876</v>
      </c>
      <c r="E11" s="135"/>
      <c r="F11" s="135"/>
      <c r="G11" s="135"/>
      <c r="H11" s="135"/>
    </row>
    <row r="12" spans="1:8" ht="56" x14ac:dyDescent="0.25">
      <c r="A12" s="134"/>
      <c r="B12" s="134"/>
      <c r="C12" s="134"/>
      <c r="D12" s="49" t="s">
        <v>1877</v>
      </c>
      <c r="E12" s="49" t="s">
        <v>1878</v>
      </c>
      <c r="F12" s="49" t="s">
        <v>1879</v>
      </c>
      <c r="G12" s="49" t="s">
        <v>1880</v>
      </c>
      <c r="H12" s="49" t="s">
        <v>1881</v>
      </c>
    </row>
    <row r="13" spans="1:8" ht="14" x14ac:dyDescent="0.3">
      <c r="A13" s="50">
        <v>1</v>
      </c>
      <c r="B13" s="50">
        <v>2</v>
      </c>
      <c r="C13" s="50">
        <v>3</v>
      </c>
      <c r="D13" s="50">
        <v>4</v>
      </c>
      <c r="E13" s="50">
        <v>5</v>
      </c>
      <c r="F13" s="50">
        <v>6</v>
      </c>
      <c r="G13" s="50">
        <v>7</v>
      </c>
      <c r="H13" s="50">
        <v>8</v>
      </c>
    </row>
    <row r="14" spans="1:8" s="64" customFormat="1" ht="15.5" x14ac:dyDescent="0.25">
      <c r="A14" s="59">
        <v>1</v>
      </c>
      <c r="B14" s="60" t="s">
        <v>1915</v>
      </c>
      <c r="C14" s="61" t="s">
        <v>1515</v>
      </c>
      <c r="D14" s="63">
        <f>'ЛС 02-01-01'!J14</f>
        <v>16184.58</v>
      </c>
      <c r="E14" s="62" t="s">
        <v>1913</v>
      </c>
      <c r="F14" s="62">
        <f>'ЛС 02-01-01'!J15</f>
        <v>9.39</v>
      </c>
      <c r="G14" s="62" t="s">
        <v>1913</v>
      </c>
      <c r="H14" s="63">
        <f>SUM(D14:G14)</f>
        <v>16193.97</v>
      </c>
    </row>
    <row r="15" spans="1:8" s="64" customFormat="1" ht="15.5" x14ac:dyDescent="0.25">
      <c r="A15" s="59">
        <v>2</v>
      </c>
      <c r="B15" s="60" t="s">
        <v>1946</v>
      </c>
      <c r="C15" s="61" t="s">
        <v>1538</v>
      </c>
      <c r="D15" s="62">
        <f>'ЛС 02-01-02'!J14</f>
        <v>137.41</v>
      </c>
      <c r="E15" s="62">
        <f>'ЛС 02-01-02'!J15</f>
        <v>40.53</v>
      </c>
      <c r="F15" s="62" t="s">
        <v>1913</v>
      </c>
      <c r="G15" s="62" t="s">
        <v>1913</v>
      </c>
      <c r="H15" s="63">
        <f t="shared" ref="H15:H31" si="0">SUM(D15:G15)</f>
        <v>177.94</v>
      </c>
    </row>
    <row r="16" spans="1:8" s="51" customFormat="1" ht="15.5" x14ac:dyDescent="0.25">
      <c r="A16" s="52">
        <v>3</v>
      </c>
      <c r="B16" s="53" t="s">
        <v>1916</v>
      </c>
      <c r="C16" s="53" t="s">
        <v>2</v>
      </c>
      <c r="D16" s="54">
        <f>'ЛС 02-01-03'!J14</f>
        <v>456.62</v>
      </c>
      <c r="E16" s="54">
        <f>'ЛС 02-01-03'!J15</f>
        <v>8504.41</v>
      </c>
      <c r="F16" s="54">
        <f>'ЛС 02-01-03'!J16</f>
        <v>3088.99</v>
      </c>
      <c r="G16" s="62" t="s">
        <v>1913</v>
      </c>
      <c r="H16" s="63">
        <f t="shared" si="0"/>
        <v>12050.02</v>
      </c>
    </row>
    <row r="17" spans="1:8" s="51" customFormat="1" ht="15.5" x14ac:dyDescent="0.25">
      <c r="A17" s="52">
        <v>4</v>
      </c>
      <c r="B17" s="53" t="s">
        <v>1917</v>
      </c>
      <c r="C17" s="53" t="s">
        <v>1882</v>
      </c>
      <c r="D17" s="54">
        <f>'ЛС 02-01-04'!J14</f>
        <v>568.39</v>
      </c>
      <c r="E17" s="54">
        <f>'ЛС 02-01-04'!J15</f>
        <v>14.13</v>
      </c>
      <c r="F17" s="62" t="s">
        <v>1913</v>
      </c>
      <c r="G17" s="62" t="s">
        <v>1913</v>
      </c>
      <c r="H17" s="63">
        <f t="shared" si="0"/>
        <v>582.52</v>
      </c>
    </row>
    <row r="18" spans="1:8" s="51" customFormat="1" ht="15.5" x14ac:dyDescent="0.25">
      <c r="A18" s="52">
        <v>5</v>
      </c>
      <c r="B18" s="53" t="s">
        <v>1918</v>
      </c>
      <c r="C18" s="53" t="s">
        <v>1883</v>
      </c>
      <c r="D18" s="54">
        <f>'ЛС 02-01-05'!J14</f>
        <v>841.37</v>
      </c>
      <c r="E18" s="62" t="s">
        <v>1913</v>
      </c>
      <c r="F18" s="62" t="s">
        <v>1913</v>
      </c>
      <c r="G18" s="62" t="s">
        <v>1913</v>
      </c>
      <c r="H18" s="63">
        <f t="shared" si="0"/>
        <v>841.37</v>
      </c>
    </row>
    <row r="19" spans="1:8" s="51" customFormat="1" ht="15.5" x14ac:dyDescent="0.25">
      <c r="A19" s="52">
        <v>6</v>
      </c>
      <c r="B19" s="53" t="s">
        <v>1919</v>
      </c>
      <c r="C19" s="53" t="s">
        <v>844</v>
      </c>
      <c r="D19" s="54">
        <f>'ЛС 02-01-06'!J14</f>
        <v>611.12</v>
      </c>
      <c r="E19" s="54">
        <f>'ЛС 02-01-06'!J15</f>
        <v>4.57</v>
      </c>
      <c r="F19" s="54">
        <f>'ЛС 02-01-06'!J16</f>
        <v>3.42</v>
      </c>
      <c r="G19" s="62" t="s">
        <v>1913</v>
      </c>
      <c r="H19" s="63">
        <f t="shared" si="0"/>
        <v>619.11</v>
      </c>
    </row>
    <row r="20" spans="1:8" s="51" customFormat="1" ht="15.5" x14ac:dyDescent="0.25">
      <c r="A20" s="52">
        <v>7</v>
      </c>
      <c r="B20" s="53" t="s">
        <v>1920</v>
      </c>
      <c r="C20" s="53" t="s">
        <v>896</v>
      </c>
      <c r="D20" s="54">
        <f>'ЛС 02-01-07'!J14</f>
        <v>575.29999999999995</v>
      </c>
      <c r="E20" s="54">
        <f>'ЛС 02-01-07'!J15</f>
        <v>6.54</v>
      </c>
      <c r="F20" s="54">
        <f>'ЛС 02-01-07'!J16</f>
        <v>1228.01</v>
      </c>
      <c r="G20" s="62" t="s">
        <v>1913</v>
      </c>
      <c r="H20" s="63">
        <f t="shared" si="0"/>
        <v>1809.85</v>
      </c>
    </row>
    <row r="21" spans="1:8" s="51" customFormat="1" ht="31" x14ac:dyDescent="0.25">
      <c r="A21" s="52">
        <v>8</v>
      </c>
      <c r="B21" s="53" t="s">
        <v>1921</v>
      </c>
      <c r="C21" s="53" t="s">
        <v>967</v>
      </c>
      <c r="D21" s="54">
        <f>'ЛС 02-01-08'!J14</f>
        <v>50.39</v>
      </c>
      <c r="E21" s="54">
        <f>'ЛС 02-01-08'!J15</f>
        <v>1044.06</v>
      </c>
      <c r="F21" s="54">
        <f>'ЛС 02-01-08'!J16</f>
        <v>400.68</v>
      </c>
      <c r="G21" s="62" t="s">
        <v>1913</v>
      </c>
      <c r="H21" s="63">
        <f t="shared" si="0"/>
        <v>1495.13</v>
      </c>
    </row>
    <row r="22" spans="1:8" s="51" customFormat="1" ht="31" x14ac:dyDescent="0.25">
      <c r="A22" s="52">
        <v>9</v>
      </c>
      <c r="B22" s="53" t="s">
        <v>1922</v>
      </c>
      <c r="C22" s="53" t="s">
        <v>989</v>
      </c>
      <c r="D22" s="54">
        <f>'ЛС 02-01-09'!J14</f>
        <v>9.7100000000000009</v>
      </c>
      <c r="E22" s="54">
        <f>'ЛС 02-01-09'!J15</f>
        <v>1243.28</v>
      </c>
      <c r="F22" s="54">
        <f>'ЛС 02-01-09'!J16</f>
        <v>220.82</v>
      </c>
      <c r="G22" s="62" t="s">
        <v>1913</v>
      </c>
      <c r="H22" s="63">
        <f t="shared" si="0"/>
        <v>1473.81</v>
      </c>
    </row>
    <row r="23" spans="1:8" s="51" customFormat="1" ht="31" x14ac:dyDescent="0.25">
      <c r="A23" s="52">
        <v>10</v>
      </c>
      <c r="B23" s="53" t="s">
        <v>1923</v>
      </c>
      <c r="C23" s="53" t="s">
        <v>1884</v>
      </c>
      <c r="D23" s="54">
        <f>'ЛС 02-01-10'!J14</f>
        <v>86.71</v>
      </c>
      <c r="E23" s="54">
        <f>'ЛС 02-01-10'!J15</f>
        <v>792.76</v>
      </c>
      <c r="F23" s="54">
        <f>'ЛС 02-01-10'!J16</f>
        <v>407.16</v>
      </c>
      <c r="G23" s="62" t="s">
        <v>1913</v>
      </c>
      <c r="H23" s="63">
        <f t="shared" si="0"/>
        <v>1286.6300000000001</v>
      </c>
    </row>
    <row r="24" spans="1:8" s="51" customFormat="1" ht="15.5" x14ac:dyDescent="0.25">
      <c r="A24" s="52">
        <v>11</v>
      </c>
      <c r="B24" s="53" t="s">
        <v>1924</v>
      </c>
      <c r="C24" s="53" t="s">
        <v>1081</v>
      </c>
      <c r="D24" s="54">
        <f>'ЛС 02-01-11'!J14</f>
        <v>7.09</v>
      </c>
      <c r="E24" s="54">
        <f>'ЛС 02-01-11'!J15</f>
        <v>146.82</v>
      </c>
      <c r="F24" s="54">
        <f>'ЛС 02-01-11'!J16</f>
        <v>1309.56</v>
      </c>
      <c r="G24" s="62" t="s">
        <v>1913</v>
      </c>
      <c r="H24" s="63">
        <f t="shared" si="0"/>
        <v>1463.47</v>
      </c>
    </row>
    <row r="25" spans="1:8" s="51" customFormat="1" ht="15.5" x14ac:dyDescent="0.25">
      <c r="A25" s="52">
        <v>12</v>
      </c>
      <c r="B25" s="53" t="s">
        <v>1925</v>
      </c>
      <c r="C25" s="53" t="s">
        <v>1566</v>
      </c>
      <c r="D25" s="54">
        <f>'ЛС 02-01-12'!J14</f>
        <v>6.12</v>
      </c>
      <c r="E25" s="54">
        <f>'ЛС 02-01-12'!J15</f>
        <v>243.07</v>
      </c>
      <c r="F25" s="54">
        <f>'ЛС 02-01-12'!J16</f>
        <v>82.53</v>
      </c>
      <c r="G25" s="62" t="s">
        <v>1913</v>
      </c>
      <c r="H25" s="63">
        <f t="shared" si="0"/>
        <v>331.72</v>
      </c>
    </row>
    <row r="26" spans="1:8" s="51" customFormat="1" ht="15.5" x14ac:dyDescent="0.25">
      <c r="A26" s="52">
        <v>13</v>
      </c>
      <c r="B26" s="53" t="s">
        <v>1926</v>
      </c>
      <c r="C26" s="53" t="s">
        <v>1624</v>
      </c>
      <c r="D26" s="54">
        <f>'ЛС 02-01-13'!J14</f>
        <v>347.43</v>
      </c>
      <c r="E26" s="54">
        <f>'ЛС 02-01-13'!J15</f>
        <v>1217.23</v>
      </c>
      <c r="F26" s="54">
        <f>'ЛС 02-01-13'!J16</f>
        <v>2352.16</v>
      </c>
      <c r="G26" s="62" t="s">
        <v>1913</v>
      </c>
      <c r="H26" s="63">
        <f t="shared" si="0"/>
        <v>3916.82</v>
      </c>
    </row>
    <row r="27" spans="1:8" s="51" customFormat="1" ht="15.5" x14ac:dyDescent="0.25">
      <c r="A27" s="52">
        <v>14</v>
      </c>
      <c r="B27" s="53" t="s">
        <v>1927</v>
      </c>
      <c r="C27" s="53" t="s">
        <v>1654</v>
      </c>
      <c r="D27" s="54">
        <f>'ЛС 02-01-14'!J14</f>
        <v>126.04</v>
      </c>
      <c r="E27" s="54">
        <f>'ЛС 02-01-14'!J15</f>
        <v>872.27</v>
      </c>
      <c r="F27" s="54">
        <f>'ЛС 02-01-14'!J16</f>
        <v>567.45000000000005</v>
      </c>
      <c r="G27" s="62" t="s">
        <v>1913</v>
      </c>
      <c r="H27" s="63">
        <f t="shared" si="0"/>
        <v>1565.76</v>
      </c>
    </row>
    <row r="28" spans="1:8" s="51" customFormat="1" ht="31" x14ac:dyDescent="0.25">
      <c r="A28" s="52">
        <v>15</v>
      </c>
      <c r="B28" s="53" t="s">
        <v>1928</v>
      </c>
      <c r="C28" s="53" t="s">
        <v>1698</v>
      </c>
      <c r="D28" s="54">
        <f>'ЛС 02-01-15'!J14</f>
        <v>37.840000000000003</v>
      </c>
      <c r="E28" s="54">
        <f>'ЛС 02-01-15'!J15</f>
        <v>2662.88</v>
      </c>
      <c r="F28" s="54">
        <f>'ЛС 02-01-15'!J16</f>
        <v>1531.58</v>
      </c>
      <c r="G28" s="62" t="s">
        <v>1913</v>
      </c>
      <c r="H28" s="63">
        <f t="shared" si="0"/>
        <v>4232.3</v>
      </c>
    </row>
    <row r="29" spans="1:8" s="51" customFormat="1" ht="15.5" x14ac:dyDescent="0.25">
      <c r="A29" s="52">
        <v>16</v>
      </c>
      <c r="B29" s="53" t="s">
        <v>1929</v>
      </c>
      <c r="C29" s="53" t="s">
        <v>1713</v>
      </c>
      <c r="D29" s="54">
        <f>'ЛС 02-01-16'!J14</f>
        <v>2.4900000000000002</v>
      </c>
      <c r="E29" s="54">
        <f>'ЛС 02-01-16'!J15</f>
        <v>40.54</v>
      </c>
      <c r="F29" s="54">
        <f>'ЛС 02-01-16'!J16</f>
        <v>54.25</v>
      </c>
      <c r="G29" s="62" t="s">
        <v>1913</v>
      </c>
      <c r="H29" s="63">
        <f t="shared" si="0"/>
        <v>97.28</v>
      </c>
    </row>
    <row r="30" spans="1:8" s="51" customFormat="1" ht="31" x14ac:dyDescent="0.25">
      <c r="A30" s="52">
        <v>17</v>
      </c>
      <c r="B30" s="53" t="s">
        <v>1930</v>
      </c>
      <c r="C30" s="53" t="s">
        <v>1885</v>
      </c>
      <c r="D30" s="54" t="s">
        <v>1913</v>
      </c>
      <c r="E30" s="54">
        <f>'ЛС 02-01-17'!J14</f>
        <v>269.14999999999998</v>
      </c>
      <c r="F30" s="54">
        <f>'ЛС 02-01-17'!J15</f>
        <v>106.86</v>
      </c>
      <c r="G30" s="62" t="s">
        <v>1913</v>
      </c>
      <c r="H30" s="63">
        <f t="shared" si="0"/>
        <v>376.01</v>
      </c>
    </row>
    <row r="31" spans="1:8" s="51" customFormat="1" ht="31" x14ac:dyDescent="0.25">
      <c r="A31" s="52">
        <v>18</v>
      </c>
      <c r="B31" s="53" t="s">
        <v>1931</v>
      </c>
      <c r="C31" s="53" t="s">
        <v>1886</v>
      </c>
      <c r="D31" s="54" t="s">
        <v>1913</v>
      </c>
      <c r="E31" s="54" t="s">
        <v>1913</v>
      </c>
      <c r="F31" s="54">
        <f>'ЛС 02-01-18'!J14</f>
        <v>2437.21</v>
      </c>
      <c r="G31" s="62" t="s">
        <v>1913</v>
      </c>
      <c r="H31" s="63">
        <f t="shared" si="0"/>
        <v>2437.21</v>
      </c>
    </row>
    <row r="32" spans="1:8" s="51" customFormat="1" ht="31" x14ac:dyDescent="0.25">
      <c r="A32" s="52">
        <v>19</v>
      </c>
      <c r="B32" s="53" t="s">
        <v>1912</v>
      </c>
      <c r="C32" s="53" t="s">
        <v>1862</v>
      </c>
      <c r="D32" s="54">
        <f>'ЛС 02-01-19'!J14</f>
        <v>65.760000000000005</v>
      </c>
      <c r="E32" s="54">
        <f>'ЛС 02-01-19'!J15</f>
        <v>2.31</v>
      </c>
      <c r="F32" s="54">
        <f>'ЛС 02-01-19'!J16</f>
        <v>58.11</v>
      </c>
      <c r="G32" s="62" t="s">
        <v>1913</v>
      </c>
      <c r="H32" s="63">
        <f>SUM(D32:G32)</f>
        <v>126.18</v>
      </c>
    </row>
    <row r="33" spans="1:8" s="51" customFormat="1" ht="29" x14ac:dyDescent="0.25">
      <c r="A33" s="52"/>
      <c r="B33" s="55"/>
      <c r="C33" s="88" t="s">
        <v>1914</v>
      </c>
      <c r="D33" s="89"/>
      <c r="E33" s="90"/>
      <c r="F33" s="91">
        <v>58.11</v>
      </c>
      <c r="G33" s="56"/>
      <c r="H33" s="63">
        <f t="shared" ref="H33:H34" si="1">SUM(D33:G33)</f>
        <v>58.11</v>
      </c>
    </row>
    <row r="34" spans="1:8" s="51" customFormat="1" ht="15.5" x14ac:dyDescent="0.25">
      <c r="A34" s="57"/>
      <c r="B34" s="58"/>
      <c r="C34" s="58" t="s">
        <v>1887</v>
      </c>
      <c r="D34" s="84">
        <f t="shared" ref="D34:E34" si="2">SUM(D14:D33)</f>
        <v>20114.37</v>
      </c>
      <c r="E34" s="84">
        <f t="shared" si="2"/>
        <v>17104.55</v>
      </c>
      <c r="F34" s="84">
        <f>SUM(F14:F32)</f>
        <v>13858.18</v>
      </c>
      <c r="G34" s="84" t="s">
        <v>1913</v>
      </c>
      <c r="H34" s="92">
        <f t="shared" si="1"/>
        <v>51077.1</v>
      </c>
    </row>
    <row r="40" spans="1:8" ht="20" x14ac:dyDescent="0.4">
      <c r="H40" s="98"/>
    </row>
  </sheetData>
  <mergeCells count="9">
    <mergeCell ref="A11:A12"/>
    <mergeCell ref="B11:B12"/>
    <mergeCell ref="C11:C12"/>
    <mergeCell ref="D11:H11"/>
    <mergeCell ref="A1:H1"/>
    <mergeCell ref="A3:H3"/>
    <mergeCell ref="A4:H4"/>
    <mergeCell ref="A6:C6"/>
    <mergeCell ref="A9:H9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D85A-B685-4D82-9FA9-B87F1ABA89C7}">
  <dimension ref="A1:K1259"/>
  <sheetViews>
    <sheetView topLeftCell="A1240" zoomScale="63" workbookViewId="0">
      <selection activeCell="C14" sqref="C14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13" style="27" bestFit="1" customWidth="1"/>
    <col min="6" max="6" width="10.1796875" style="27" bestFit="1" customWidth="1"/>
    <col min="7" max="7" width="8.54296875" style="27" bestFit="1" customWidth="1"/>
    <col min="8" max="8" width="9.26953125" style="27" bestFit="1" customWidth="1"/>
    <col min="9" max="9" width="11.26953125" style="27" bestFit="1" customWidth="1"/>
    <col min="10" max="10" width="15.1796875" style="27" customWidth="1"/>
    <col min="11" max="11" width="11.2695312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1293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1515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1011.48</v>
      </c>
      <c r="J13" s="5">
        <v>16193.97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1009.53</v>
      </c>
      <c r="J14" s="7">
        <v>16184.58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237</v>
      </c>
      <c r="F15" s="145"/>
      <c r="G15" s="145"/>
      <c r="H15" s="145"/>
      <c r="I15" s="7">
        <v>1.95</v>
      </c>
      <c r="J15" s="7">
        <v>9.39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239</v>
      </c>
      <c r="F16" s="145"/>
      <c r="G16" s="145"/>
      <c r="H16" s="145"/>
      <c r="I16" s="7">
        <v>71.22</v>
      </c>
      <c r="J16" s="7">
        <v>4063.18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240</v>
      </c>
      <c r="F17" s="145"/>
      <c r="G17" s="145"/>
      <c r="H17" s="145"/>
      <c r="I17" s="7">
        <v>4444.17</v>
      </c>
      <c r="J17" s="7"/>
      <c r="K17" s="2" t="s">
        <v>224</v>
      </c>
    </row>
    <row r="18" spans="1:11" ht="14" x14ac:dyDescent="0.3">
      <c r="A18" s="2"/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14" x14ac:dyDescent="0.3">
      <c r="A19" s="2" t="s">
        <v>252</v>
      </c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37.5" customHeight="1" x14ac:dyDescent="0.3">
      <c r="A20" s="146" t="s">
        <v>457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 spans="1:11" ht="98" x14ac:dyDescent="0.25">
      <c r="A21" s="8" t="s">
        <v>241</v>
      </c>
      <c r="B21" s="8" t="s">
        <v>242</v>
      </c>
      <c r="C21" s="8" t="s">
        <v>243</v>
      </c>
      <c r="D21" s="8" t="s">
        <v>244</v>
      </c>
      <c r="E21" s="8" t="s">
        <v>245</v>
      </c>
      <c r="F21" s="8" t="s">
        <v>246</v>
      </c>
      <c r="G21" s="9" t="s">
        <v>247</v>
      </c>
      <c r="H21" s="9" t="s">
        <v>248</v>
      </c>
      <c r="I21" s="8" t="s">
        <v>254</v>
      </c>
      <c r="J21" s="8" t="s">
        <v>249</v>
      </c>
      <c r="K21" s="8" t="s">
        <v>250</v>
      </c>
    </row>
    <row r="22" spans="1:11" ht="14" x14ac:dyDescent="0.25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  <c r="G22" s="8">
        <v>7</v>
      </c>
      <c r="H22" s="8">
        <v>8</v>
      </c>
      <c r="I22" s="8">
        <v>9</v>
      </c>
      <c r="J22" s="8">
        <v>10</v>
      </c>
      <c r="K22" s="8">
        <v>11</v>
      </c>
    </row>
    <row r="23" spans="1:11" ht="16.5" x14ac:dyDescent="0.25">
      <c r="A23" s="144" t="s">
        <v>1294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ht="43.5" x14ac:dyDescent="0.25">
      <c r="A24" s="10">
        <v>1</v>
      </c>
      <c r="B24" s="10" t="s">
        <v>1295</v>
      </c>
      <c r="C24" s="10" t="s">
        <v>1087</v>
      </c>
      <c r="D24" s="12" t="s">
        <v>1296</v>
      </c>
      <c r="E24" s="11">
        <v>1</v>
      </c>
      <c r="F24" s="14"/>
      <c r="G24" s="13"/>
      <c r="H24" s="11"/>
      <c r="I24" s="14"/>
      <c r="J24" s="11"/>
      <c r="K24" s="14"/>
    </row>
    <row r="25" spans="1:11" ht="14.5" x14ac:dyDescent="0.25">
      <c r="A25" s="10"/>
      <c r="B25" s="10"/>
      <c r="C25" s="10" t="s">
        <v>256</v>
      </c>
      <c r="D25" s="12"/>
      <c r="E25" s="11"/>
      <c r="F25" s="14">
        <v>6.04</v>
      </c>
      <c r="G25" s="13" t="s">
        <v>460</v>
      </c>
      <c r="H25" s="11">
        <v>1</v>
      </c>
      <c r="I25" s="14">
        <v>8.34</v>
      </c>
      <c r="J25" s="11">
        <v>57.05</v>
      </c>
      <c r="K25" s="14">
        <v>475.8</v>
      </c>
    </row>
    <row r="26" spans="1:11" ht="14.5" x14ac:dyDescent="0.25">
      <c r="A26" s="10"/>
      <c r="B26" s="10"/>
      <c r="C26" s="10" t="s">
        <v>259</v>
      </c>
      <c r="D26" s="12"/>
      <c r="E26" s="11"/>
      <c r="F26" s="14">
        <v>0.31</v>
      </c>
      <c r="G26" s="13"/>
      <c r="H26" s="11">
        <v>1</v>
      </c>
      <c r="I26" s="14">
        <v>0.31</v>
      </c>
      <c r="J26" s="11">
        <v>11.39</v>
      </c>
      <c r="K26" s="14">
        <v>3.53</v>
      </c>
    </row>
    <row r="27" spans="1:11" ht="42" x14ac:dyDescent="0.25">
      <c r="A27" s="10" t="s">
        <v>6</v>
      </c>
      <c r="B27" s="10" t="s">
        <v>1297</v>
      </c>
      <c r="C27" s="10" t="s">
        <v>1088</v>
      </c>
      <c r="D27" s="12" t="s">
        <v>38</v>
      </c>
      <c r="E27" s="11">
        <v>1</v>
      </c>
      <c r="F27" s="14">
        <v>68.180000000000007</v>
      </c>
      <c r="G27" s="15" t="s">
        <v>1</v>
      </c>
      <c r="H27" s="11">
        <v>1</v>
      </c>
      <c r="I27" s="14">
        <v>68.180000000000007</v>
      </c>
      <c r="J27" s="11">
        <v>10.43</v>
      </c>
      <c r="K27" s="14">
        <v>711.12</v>
      </c>
    </row>
    <row r="28" spans="1:11" ht="14.5" x14ac:dyDescent="0.25">
      <c r="A28" s="10"/>
      <c r="B28" s="10"/>
      <c r="C28" s="10" t="s">
        <v>260</v>
      </c>
      <c r="D28" s="12" t="s">
        <v>261</v>
      </c>
      <c r="E28" s="11">
        <v>84</v>
      </c>
      <c r="F28" s="14"/>
      <c r="G28" s="13"/>
      <c r="H28" s="11"/>
      <c r="I28" s="14">
        <v>7.01</v>
      </c>
      <c r="J28" s="11">
        <v>84</v>
      </c>
      <c r="K28" s="14">
        <v>399.67</v>
      </c>
    </row>
    <row r="29" spans="1:11" ht="14.5" x14ac:dyDescent="0.25">
      <c r="A29" s="10"/>
      <c r="B29" s="10"/>
      <c r="C29" s="10" t="s">
        <v>262</v>
      </c>
      <c r="D29" s="12" t="s">
        <v>261</v>
      </c>
      <c r="E29" s="11">
        <v>53</v>
      </c>
      <c r="F29" s="14"/>
      <c r="G29" s="13"/>
      <c r="H29" s="11"/>
      <c r="I29" s="14">
        <v>4.42</v>
      </c>
      <c r="J29" s="11">
        <v>53</v>
      </c>
      <c r="K29" s="14">
        <v>252.17</v>
      </c>
    </row>
    <row r="30" spans="1:11" ht="14.5" x14ac:dyDescent="0.25">
      <c r="A30" s="17"/>
      <c r="B30" s="17"/>
      <c r="C30" s="17" t="s">
        <v>263</v>
      </c>
      <c r="D30" s="18" t="s">
        <v>264</v>
      </c>
      <c r="E30" s="19">
        <v>0.52</v>
      </c>
      <c r="F30" s="20"/>
      <c r="G30" s="37" t="s">
        <v>460</v>
      </c>
      <c r="H30" s="19">
        <v>1</v>
      </c>
      <c r="I30" s="20">
        <v>0.72</v>
      </c>
      <c r="J30" s="19"/>
      <c r="K30" s="20"/>
    </row>
    <row r="31" spans="1:11" ht="14" x14ac:dyDescent="0.25">
      <c r="C31" s="22" t="s">
        <v>265</v>
      </c>
      <c r="H31" s="143">
        <v>88.26</v>
      </c>
      <c r="I31" s="143"/>
      <c r="J31" s="143">
        <v>1842.29</v>
      </c>
      <c r="K31" s="143"/>
    </row>
    <row r="32" spans="1:11" ht="14" x14ac:dyDescent="0.25">
      <c r="C32" s="22" t="s">
        <v>267</v>
      </c>
      <c r="H32" s="141">
        <v>88.26</v>
      </c>
      <c r="I32" s="141"/>
      <c r="J32" s="141">
        <v>1842.29</v>
      </c>
      <c r="K32" s="141"/>
    </row>
    <row r="34" spans="1:11" ht="42" x14ac:dyDescent="0.25">
      <c r="A34" s="10">
        <v>2</v>
      </c>
      <c r="B34" s="10" t="s">
        <v>1298</v>
      </c>
      <c r="C34" s="10" t="s">
        <v>1089</v>
      </c>
      <c r="D34" s="12" t="s">
        <v>24</v>
      </c>
      <c r="E34" s="11">
        <v>1</v>
      </c>
      <c r="F34" s="14"/>
      <c r="G34" s="13"/>
      <c r="H34" s="11"/>
      <c r="I34" s="14"/>
      <c r="J34" s="11"/>
      <c r="K34" s="14"/>
    </row>
    <row r="35" spans="1:11" ht="14.5" x14ac:dyDescent="0.25">
      <c r="A35" s="10"/>
      <c r="B35" s="10"/>
      <c r="C35" s="10" t="s">
        <v>256</v>
      </c>
      <c r="D35" s="12"/>
      <c r="E35" s="11"/>
      <c r="F35" s="14">
        <v>10.9</v>
      </c>
      <c r="G35" s="13" t="s">
        <v>460</v>
      </c>
      <c r="H35" s="11">
        <v>1</v>
      </c>
      <c r="I35" s="14">
        <v>15.04</v>
      </c>
      <c r="J35" s="11">
        <v>57.05</v>
      </c>
      <c r="K35" s="14">
        <v>858.03</v>
      </c>
    </row>
    <row r="36" spans="1:11" ht="14.5" x14ac:dyDescent="0.25">
      <c r="A36" s="10"/>
      <c r="B36" s="10"/>
      <c r="C36" s="10" t="s">
        <v>259</v>
      </c>
      <c r="D36" s="12"/>
      <c r="E36" s="11"/>
      <c r="F36" s="14">
        <v>1</v>
      </c>
      <c r="G36" s="13"/>
      <c r="H36" s="11">
        <v>1</v>
      </c>
      <c r="I36" s="14">
        <v>1</v>
      </c>
      <c r="J36" s="11">
        <v>16.420000000000002</v>
      </c>
      <c r="K36" s="14">
        <v>16.420000000000002</v>
      </c>
    </row>
    <row r="37" spans="1:11" ht="56" x14ac:dyDescent="0.25">
      <c r="A37" s="10" t="s">
        <v>1090</v>
      </c>
      <c r="B37" s="10" t="s">
        <v>1299</v>
      </c>
      <c r="C37" s="10" t="s">
        <v>1091</v>
      </c>
      <c r="D37" s="12" t="s">
        <v>38</v>
      </c>
      <c r="E37" s="11">
        <v>1</v>
      </c>
      <c r="F37" s="14">
        <v>1952.68</v>
      </c>
      <c r="G37" s="15" t="s">
        <v>1</v>
      </c>
      <c r="H37" s="11">
        <v>1</v>
      </c>
      <c r="I37" s="14">
        <v>1952.68</v>
      </c>
      <c r="J37" s="11">
        <v>4.8099999999999996</v>
      </c>
      <c r="K37" s="14">
        <v>9392.39</v>
      </c>
    </row>
    <row r="38" spans="1:11" ht="14.5" x14ac:dyDescent="0.25">
      <c r="A38" s="10"/>
      <c r="B38" s="10"/>
      <c r="C38" s="10" t="s">
        <v>260</v>
      </c>
      <c r="D38" s="12" t="s">
        <v>261</v>
      </c>
      <c r="E38" s="11">
        <v>84</v>
      </c>
      <c r="F38" s="14"/>
      <c r="G38" s="13"/>
      <c r="H38" s="11"/>
      <c r="I38" s="14">
        <v>12.63</v>
      </c>
      <c r="J38" s="11">
        <v>84</v>
      </c>
      <c r="K38" s="14">
        <v>720.75</v>
      </c>
    </row>
    <row r="39" spans="1:11" ht="14.5" x14ac:dyDescent="0.25">
      <c r="A39" s="10"/>
      <c r="B39" s="10"/>
      <c r="C39" s="10" t="s">
        <v>262</v>
      </c>
      <c r="D39" s="12" t="s">
        <v>261</v>
      </c>
      <c r="E39" s="11">
        <v>53</v>
      </c>
      <c r="F39" s="14"/>
      <c r="G39" s="13"/>
      <c r="H39" s="11"/>
      <c r="I39" s="14">
        <v>7.97</v>
      </c>
      <c r="J39" s="11">
        <v>53</v>
      </c>
      <c r="K39" s="14">
        <v>454.76</v>
      </c>
    </row>
    <row r="40" spans="1:11" ht="14.5" x14ac:dyDescent="0.25">
      <c r="A40" s="17"/>
      <c r="B40" s="17"/>
      <c r="C40" s="17" t="s">
        <v>263</v>
      </c>
      <c r="D40" s="18" t="s">
        <v>264</v>
      </c>
      <c r="E40" s="19">
        <v>0.95</v>
      </c>
      <c r="F40" s="20"/>
      <c r="G40" s="37" t="s">
        <v>460</v>
      </c>
      <c r="H40" s="19">
        <v>1</v>
      </c>
      <c r="I40" s="20">
        <v>1.31</v>
      </c>
      <c r="J40" s="19"/>
      <c r="K40" s="20"/>
    </row>
    <row r="41" spans="1:11" ht="14" x14ac:dyDescent="0.25">
      <c r="C41" s="22" t="s">
        <v>265</v>
      </c>
      <c r="H41" s="143">
        <v>36.64</v>
      </c>
      <c r="I41" s="143"/>
      <c r="J41" s="143">
        <v>2049.96</v>
      </c>
      <c r="K41" s="143"/>
    </row>
    <row r="42" spans="1:11" ht="14" x14ac:dyDescent="0.25">
      <c r="C42" s="22" t="s">
        <v>266</v>
      </c>
      <c r="H42" s="141">
        <v>1952.68</v>
      </c>
      <c r="I42" s="141"/>
      <c r="J42" s="141">
        <v>9392.39</v>
      </c>
      <c r="K42" s="141"/>
    </row>
    <row r="43" spans="1:11" ht="14" x14ac:dyDescent="0.25">
      <c r="C43" s="22" t="s">
        <v>267</v>
      </c>
      <c r="H43" s="141">
        <v>1989.32</v>
      </c>
      <c r="I43" s="141"/>
      <c r="J43" s="141">
        <v>11442.35</v>
      </c>
      <c r="K43" s="141"/>
    </row>
    <row r="46" spans="1:11" ht="14" x14ac:dyDescent="0.3">
      <c r="A46" s="140" t="s">
        <v>1300</v>
      </c>
      <c r="B46" s="140"/>
      <c r="C46" s="140"/>
      <c r="D46" s="140"/>
      <c r="E46" s="140"/>
      <c r="F46" s="140"/>
      <c r="G46" s="140"/>
      <c r="H46" s="141">
        <v>2077.58</v>
      </c>
      <c r="I46" s="142"/>
      <c r="J46" s="141">
        <v>13284.64</v>
      </c>
      <c r="K46" s="142"/>
    </row>
    <row r="48" spans="1:11" ht="16.5" x14ac:dyDescent="0.25">
      <c r="A48" s="144" t="s">
        <v>1301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</row>
    <row r="49" spans="1:11" ht="28" x14ac:dyDescent="0.25">
      <c r="A49" s="10">
        <v>3</v>
      </c>
      <c r="B49" s="10" t="s">
        <v>1302</v>
      </c>
      <c r="C49" s="10" t="s">
        <v>1092</v>
      </c>
      <c r="D49" s="12" t="s">
        <v>50</v>
      </c>
      <c r="E49" s="11">
        <v>0.58299999999999996</v>
      </c>
      <c r="F49" s="14"/>
      <c r="G49" s="13"/>
      <c r="H49" s="11"/>
      <c r="I49" s="14"/>
      <c r="J49" s="11"/>
      <c r="K49" s="14"/>
    </row>
    <row r="50" spans="1:11" x14ac:dyDescent="0.25">
      <c r="C50" s="23" t="s">
        <v>1303</v>
      </c>
    </row>
    <row r="51" spans="1:11" ht="14.5" x14ac:dyDescent="0.25">
      <c r="A51" s="10"/>
      <c r="B51" s="10"/>
      <c r="C51" s="10" t="s">
        <v>256</v>
      </c>
      <c r="D51" s="12"/>
      <c r="E51" s="11"/>
      <c r="F51" s="14">
        <v>236.39</v>
      </c>
      <c r="G51" s="13" t="s">
        <v>13</v>
      </c>
      <c r="H51" s="11">
        <v>1</v>
      </c>
      <c r="I51" s="14">
        <v>165.38</v>
      </c>
      <c r="J51" s="11">
        <v>57.05</v>
      </c>
      <c r="K51" s="14">
        <v>9434.93</v>
      </c>
    </row>
    <row r="52" spans="1:11" ht="14.5" x14ac:dyDescent="0.25">
      <c r="A52" s="10"/>
      <c r="B52" s="10"/>
      <c r="C52" s="10" t="s">
        <v>259</v>
      </c>
      <c r="D52" s="12"/>
      <c r="E52" s="11"/>
      <c r="F52" s="14">
        <v>516.77</v>
      </c>
      <c r="G52" s="13"/>
      <c r="H52" s="11">
        <v>1</v>
      </c>
      <c r="I52" s="14">
        <v>301.27999999999997</v>
      </c>
      <c r="J52" s="11">
        <v>76.03</v>
      </c>
      <c r="K52" s="14">
        <v>22906.32</v>
      </c>
    </row>
    <row r="53" spans="1:11" ht="28" x14ac:dyDescent="0.25">
      <c r="A53" s="10" t="s">
        <v>14</v>
      </c>
      <c r="B53" s="10" t="s">
        <v>1304</v>
      </c>
      <c r="C53" s="10" t="s">
        <v>1093</v>
      </c>
      <c r="D53" s="12" t="s">
        <v>28</v>
      </c>
      <c r="E53" s="11">
        <v>3.8477999999999998E-2</v>
      </c>
      <c r="F53" s="14">
        <v>7383.97</v>
      </c>
      <c r="G53" s="15" t="s">
        <v>1</v>
      </c>
      <c r="H53" s="11">
        <v>1</v>
      </c>
      <c r="I53" s="14">
        <v>284.12</v>
      </c>
      <c r="J53" s="11">
        <v>9.56</v>
      </c>
      <c r="K53" s="14">
        <v>2716.19</v>
      </c>
    </row>
    <row r="54" spans="1:11" ht="28" x14ac:dyDescent="0.25">
      <c r="A54" s="10" t="s">
        <v>1094</v>
      </c>
      <c r="B54" s="10" t="s">
        <v>1305</v>
      </c>
      <c r="C54" s="10" t="s">
        <v>1095</v>
      </c>
      <c r="D54" s="12" t="s">
        <v>28</v>
      </c>
      <c r="E54" s="11">
        <v>0.178398</v>
      </c>
      <c r="F54" s="14">
        <v>14730.29</v>
      </c>
      <c r="G54" s="15" t="s">
        <v>1</v>
      </c>
      <c r="H54" s="11">
        <v>1</v>
      </c>
      <c r="I54" s="14">
        <v>2627.85</v>
      </c>
      <c r="J54" s="11">
        <v>5.12</v>
      </c>
      <c r="K54" s="14">
        <v>13454.59</v>
      </c>
    </row>
    <row r="55" spans="1:11" ht="14.5" x14ac:dyDescent="0.25">
      <c r="A55" s="10"/>
      <c r="B55" s="10"/>
      <c r="C55" s="10" t="s">
        <v>260</v>
      </c>
      <c r="D55" s="12" t="s">
        <v>261</v>
      </c>
      <c r="E55" s="11">
        <v>90</v>
      </c>
      <c r="F55" s="14"/>
      <c r="G55" s="13"/>
      <c r="H55" s="11"/>
      <c r="I55" s="14">
        <v>148.84</v>
      </c>
      <c r="J55" s="11">
        <v>90</v>
      </c>
      <c r="K55" s="14">
        <v>8491.44</v>
      </c>
    </row>
    <row r="56" spans="1:11" ht="14.5" x14ac:dyDescent="0.25">
      <c r="A56" s="10"/>
      <c r="B56" s="10"/>
      <c r="C56" s="10" t="s">
        <v>262</v>
      </c>
      <c r="D56" s="12" t="s">
        <v>261</v>
      </c>
      <c r="E56" s="11">
        <v>46</v>
      </c>
      <c r="F56" s="14"/>
      <c r="G56" s="13"/>
      <c r="H56" s="11"/>
      <c r="I56" s="14">
        <v>76.069999999999993</v>
      </c>
      <c r="J56" s="11">
        <v>46</v>
      </c>
      <c r="K56" s="14">
        <v>4340.07</v>
      </c>
    </row>
    <row r="57" spans="1:11" ht="14.5" x14ac:dyDescent="0.25">
      <c r="A57" s="17"/>
      <c r="B57" s="17"/>
      <c r="C57" s="17" t="s">
        <v>263</v>
      </c>
      <c r="D57" s="18" t="s">
        <v>264</v>
      </c>
      <c r="E57" s="19">
        <v>21.51</v>
      </c>
      <c r="F57" s="20"/>
      <c r="G57" s="37" t="s">
        <v>13</v>
      </c>
      <c r="H57" s="19">
        <v>1</v>
      </c>
      <c r="I57" s="20">
        <v>15.05</v>
      </c>
      <c r="J57" s="19"/>
      <c r="K57" s="20"/>
    </row>
    <row r="58" spans="1:11" ht="14" x14ac:dyDescent="0.25">
      <c r="C58" s="22" t="s">
        <v>265</v>
      </c>
      <c r="H58" s="143">
        <v>3603.54</v>
      </c>
      <c r="I58" s="143"/>
      <c r="J58" s="143">
        <v>61343.54</v>
      </c>
      <c r="K58" s="143"/>
    </row>
    <row r="59" spans="1:11" ht="14" x14ac:dyDescent="0.25">
      <c r="C59" s="22" t="s">
        <v>267</v>
      </c>
      <c r="H59" s="141">
        <v>3603.54</v>
      </c>
      <c r="I59" s="141"/>
      <c r="J59" s="141">
        <v>61343.54</v>
      </c>
      <c r="K59" s="141"/>
    </row>
    <row r="61" spans="1:11" ht="43.5" x14ac:dyDescent="0.25">
      <c r="A61" s="10">
        <v>4</v>
      </c>
      <c r="B61" s="10" t="s">
        <v>1306</v>
      </c>
      <c r="C61" s="10" t="s">
        <v>1096</v>
      </c>
      <c r="D61" s="12" t="s">
        <v>1307</v>
      </c>
      <c r="E61" s="11">
        <v>0.81</v>
      </c>
      <c r="F61" s="14"/>
      <c r="G61" s="13"/>
      <c r="H61" s="11"/>
      <c r="I61" s="14"/>
      <c r="J61" s="11"/>
      <c r="K61" s="14"/>
    </row>
    <row r="62" spans="1:11" x14ac:dyDescent="0.25">
      <c r="C62" s="23" t="s">
        <v>1308</v>
      </c>
    </row>
    <row r="63" spans="1:11" ht="14.5" x14ac:dyDescent="0.25">
      <c r="A63" s="10"/>
      <c r="B63" s="10"/>
      <c r="C63" s="10" t="s">
        <v>256</v>
      </c>
      <c r="D63" s="12"/>
      <c r="E63" s="11"/>
      <c r="F63" s="14">
        <v>68.5</v>
      </c>
      <c r="G63" s="13" t="s">
        <v>460</v>
      </c>
      <c r="H63" s="11">
        <v>1</v>
      </c>
      <c r="I63" s="14">
        <v>76.569999999999993</v>
      </c>
      <c r="J63" s="11">
        <v>57.05</v>
      </c>
      <c r="K63" s="14">
        <v>4368.32</v>
      </c>
    </row>
    <row r="64" spans="1:11" ht="14.5" x14ac:dyDescent="0.25">
      <c r="A64" s="10"/>
      <c r="B64" s="10"/>
      <c r="C64" s="10" t="s">
        <v>257</v>
      </c>
      <c r="D64" s="12"/>
      <c r="E64" s="11"/>
      <c r="F64" s="14">
        <v>40.020000000000003</v>
      </c>
      <c r="G64" s="13" t="s">
        <v>461</v>
      </c>
      <c r="H64" s="11">
        <v>1</v>
      </c>
      <c r="I64" s="14">
        <v>48.62</v>
      </c>
      <c r="J64" s="11">
        <v>15.19</v>
      </c>
      <c r="K64" s="14">
        <v>738.54</v>
      </c>
    </row>
    <row r="65" spans="1:11" ht="14.5" x14ac:dyDescent="0.25">
      <c r="A65" s="10"/>
      <c r="B65" s="10"/>
      <c r="C65" s="10" t="s">
        <v>258</v>
      </c>
      <c r="D65" s="12"/>
      <c r="E65" s="11"/>
      <c r="F65" s="14">
        <v>3.33</v>
      </c>
      <c r="G65" s="13" t="s">
        <v>461</v>
      </c>
      <c r="H65" s="11">
        <v>1</v>
      </c>
      <c r="I65" s="16">
        <v>4.05</v>
      </c>
      <c r="J65" s="11">
        <v>57.05</v>
      </c>
      <c r="K65" s="16">
        <v>231.05</v>
      </c>
    </row>
    <row r="66" spans="1:11" ht="14.5" x14ac:dyDescent="0.25">
      <c r="A66" s="10"/>
      <c r="B66" s="10"/>
      <c r="C66" s="10" t="s">
        <v>259</v>
      </c>
      <c r="D66" s="12"/>
      <c r="E66" s="11"/>
      <c r="F66" s="14">
        <v>15.61</v>
      </c>
      <c r="G66" s="13"/>
      <c r="H66" s="11">
        <v>1</v>
      </c>
      <c r="I66" s="14">
        <v>12.64</v>
      </c>
      <c r="J66" s="11">
        <v>6.53</v>
      </c>
      <c r="K66" s="14">
        <v>82.54</v>
      </c>
    </row>
    <row r="67" spans="1:11" ht="28" x14ac:dyDescent="0.25">
      <c r="A67" s="10" t="s">
        <v>627</v>
      </c>
      <c r="B67" s="10" t="s">
        <v>1309</v>
      </c>
      <c r="C67" s="10" t="s">
        <v>1097</v>
      </c>
      <c r="D67" s="12" t="s">
        <v>28</v>
      </c>
      <c r="E67" s="11">
        <v>0.24299999999999999</v>
      </c>
      <c r="F67" s="14">
        <v>14872.56</v>
      </c>
      <c r="G67" s="15" t="s">
        <v>1</v>
      </c>
      <c r="H67" s="11">
        <v>1</v>
      </c>
      <c r="I67" s="14">
        <v>3614.03</v>
      </c>
      <c r="J67" s="11">
        <v>9.92</v>
      </c>
      <c r="K67" s="14">
        <v>35851.18</v>
      </c>
    </row>
    <row r="68" spans="1:11" ht="14.5" x14ac:dyDescent="0.25">
      <c r="A68" s="10"/>
      <c r="B68" s="10"/>
      <c r="C68" s="10" t="s">
        <v>260</v>
      </c>
      <c r="D68" s="12" t="s">
        <v>261</v>
      </c>
      <c r="E68" s="11">
        <v>98</v>
      </c>
      <c r="F68" s="14"/>
      <c r="G68" s="13"/>
      <c r="H68" s="11"/>
      <c r="I68" s="14">
        <v>79.010000000000005</v>
      </c>
      <c r="J68" s="11">
        <v>98</v>
      </c>
      <c r="K68" s="14">
        <v>4507.38</v>
      </c>
    </row>
    <row r="69" spans="1:11" ht="14.5" x14ac:dyDescent="0.25">
      <c r="A69" s="10"/>
      <c r="B69" s="10"/>
      <c r="C69" s="10" t="s">
        <v>262</v>
      </c>
      <c r="D69" s="12" t="s">
        <v>261</v>
      </c>
      <c r="E69" s="11">
        <v>48</v>
      </c>
      <c r="F69" s="14"/>
      <c r="G69" s="13"/>
      <c r="H69" s="11"/>
      <c r="I69" s="14">
        <v>38.700000000000003</v>
      </c>
      <c r="J69" s="11">
        <v>48</v>
      </c>
      <c r="K69" s="14">
        <v>2207.6999999999998</v>
      </c>
    </row>
    <row r="70" spans="1:11" ht="14.5" x14ac:dyDescent="0.25">
      <c r="A70" s="17"/>
      <c r="B70" s="17"/>
      <c r="C70" s="17" t="s">
        <v>263</v>
      </c>
      <c r="D70" s="18" t="s">
        <v>264</v>
      </c>
      <c r="E70" s="19">
        <v>5.9</v>
      </c>
      <c r="F70" s="20"/>
      <c r="G70" s="37" t="s">
        <v>460</v>
      </c>
      <c r="H70" s="19">
        <v>1</v>
      </c>
      <c r="I70" s="20">
        <v>6.6</v>
      </c>
      <c r="J70" s="19"/>
      <c r="K70" s="20"/>
    </row>
    <row r="71" spans="1:11" ht="14" x14ac:dyDescent="0.25">
      <c r="C71" s="22" t="s">
        <v>265</v>
      </c>
      <c r="H71" s="143">
        <v>3869.57</v>
      </c>
      <c r="I71" s="143"/>
      <c r="J71" s="143">
        <v>47755.66</v>
      </c>
      <c r="K71" s="143"/>
    </row>
    <row r="72" spans="1:11" ht="14" x14ac:dyDescent="0.25">
      <c r="C72" s="22" t="s">
        <v>267</v>
      </c>
      <c r="H72" s="141">
        <v>3869.57</v>
      </c>
      <c r="I72" s="141"/>
      <c r="J72" s="141">
        <v>47755.66</v>
      </c>
      <c r="K72" s="141"/>
    </row>
    <row r="74" spans="1:11" ht="29" x14ac:dyDescent="0.25">
      <c r="A74" s="10">
        <v>5</v>
      </c>
      <c r="B74" s="10" t="s">
        <v>1310</v>
      </c>
      <c r="C74" s="10" t="s">
        <v>1098</v>
      </c>
      <c r="D74" s="12" t="s">
        <v>681</v>
      </c>
      <c r="E74" s="11">
        <v>0.59599999999999997</v>
      </c>
      <c r="F74" s="14"/>
      <c r="G74" s="13"/>
      <c r="H74" s="11"/>
      <c r="I74" s="14"/>
      <c r="J74" s="11"/>
      <c r="K74" s="14"/>
    </row>
    <row r="75" spans="1:11" x14ac:dyDescent="0.25">
      <c r="C75" s="23" t="s">
        <v>1311</v>
      </c>
    </row>
    <row r="76" spans="1:11" ht="14.5" x14ac:dyDescent="0.25">
      <c r="A76" s="10"/>
      <c r="B76" s="10"/>
      <c r="C76" s="10" t="s">
        <v>256</v>
      </c>
      <c r="D76" s="12"/>
      <c r="E76" s="11"/>
      <c r="F76" s="14">
        <v>560.83000000000004</v>
      </c>
      <c r="G76" s="13" t="s">
        <v>13</v>
      </c>
      <c r="H76" s="11">
        <v>1</v>
      </c>
      <c r="I76" s="14">
        <v>401.11</v>
      </c>
      <c r="J76" s="11">
        <v>57.05</v>
      </c>
      <c r="K76" s="14">
        <v>22883.33</v>
      </c>
    </row>
    <row r="77" spans="1:11" ht="14.5" x14ac:dyDescent="0.25">
      <c r="A77" s="10"/>
      <c r="B77" s="10"/>
      <c r="C77" s="10" t="s">
        <v>257</v>
      </c>
      <c r="D77" s="12"/>
      <c r="E77" s="11"/>
      <c r="F77" s="14">
        <v>2.4900000000000002</v>
      </c>
      <c r="G77" s="13" t="s">
        <v>13</v>
      </c>
      <c r="H77" s="11">
        <v>1</v>
      </c>
      <c r="I77" s="14">
        <v>1.78</v>
      </c>
      <c r="J77" s="11">
        <v>17.47</v>
      </c>
      <c r="K77" s="14">
        <v>31.1</v>
      </c>
    </row>
    <row r="78" spans="1:11" ht="14.5" x14ac:dyDescent="0.25">
      <c r="A78" s="10"/>
      <c r="B78" s="10"/>
      <c r="C78" s="10" t="s">
        <v>258</v>
      </c>
      <c r="D78" s="12"/>
      <c r="E78" s="11"/>
      <c r="F78" s="14">
        <v>0.38</v>
      </c>
      <c r="G78" s="13" t="s">
        <v>13</v>
      </c>
      <c r="H78" s="11">
        <v>1</v>
      </c>
      <c r="I78" s="16">
        <v>0.27</v>
      </c>
      <c r="J78" s="11">
        <v>57.05</v>
      </c>
      <c r="K78" s="16">
        <v>15.4</v>
      </c>
    </row>
    <row r="79" spans="1:11" ht="14.5" x14ac:dyDescent="0.25">
      <c r="A79" s="10"/>
      <c r="B79" s="10"/>
      <c r="C79" s="10" t="s">
        <v>259</v>
      </c>
      <c r="D79" s="12"/>
      <c r="E79" s="11"/>
      <c r="F79" s="14">
        <v>651.77</v>
      </c>
      <c r="G79" s="13"/>
      <c r="H79" s="11">
        <v>1</v>
      </c>
      <c r="I79" s="14">
        <v>388.45</v>
      </c>
      <c r="J79" s="11">
        <v>7.86</v>
      </c>
      <c r="K79" s="14">
        <v>3053.22</v>
      </c>
    </row>
    <row r="80" spans="1:11" ht="70" x14ac:dyDescent="0.25">
      <c r="A80" s="10" t="s">
        <v>19</v>
      </c>
      <c r="B80" s="10" t="s">
        <v>1312</v>
      </c>
      <c r="C80" s="10" t="s">
        <v>1099</v>
      </c>
      <c r="D80" s="12" t="s">
        <v>52</v>
      </c>
      <c r="E80" s="11">
        <v>59.6</v>
      </c>
      <c r="F80" s="14">
        <v>70.84</v>
      </c>
      <c r="G80" s="15" t="s">
        <v>1</v>
      </c>
      <c r="H80" s="11">
        <v>1</v>
      </c>
      <c r="I80" s="14">
        <v>4222.0600000000004</v>
      </c>
      <c r="J80" s="11">
        <v>4.25</v>
      </c>
      <c r="K80" s="14">
        <v>17943.759999999998</v>
      </c>
    </row>
    <row r="81" spans="1:11" ht="14.5" x14ac:dyDescent="0.25">
      <c r="A81" s="10"/>
      <c r="B81" s="10"/>
      <c r="C81" s="10" t="s">
        <v>260</v>
      </c>
      <c r="D81" s="12" t="s">
        <v>261</v>
      </c>
      <c r="E81" s="11">
        <v>90</v>
      </c>
      <c r="F81" s="14"/>
      <c r="G81" s="13"/>
      <c r="H81" s="11"/>
      <c r="I81" s="14">
        <v>361.24</v>
      </c>
      <c r="J81" s="11">
        <v>90</v>
      </c>
      <c r="K81" s="14">
        <v>20608.86</v>
      </c>
    </row>
    <row r="82" spans="1:11" ht="14.5" x14ac:dyDescent="0.25">
      <c r="A82" s="10"/>
      <c r="B82" s="10"/>
      <c r="C82" s="10" t="s">
        <v>262</v>
      </c>
      <c r="D82" s="12" t="s">
        <v>261</v>
      </c>
      <c r="E82" s="11">
        <v>46</v>
      </c>
      <c r="F82" s="14"/>
      <c r="G82" s="13"/>
      <c r="H82" s="11"/>
      <c r="I82" s="14">
        <v>184.63</v>
      </c>
      <c r="J82" s="11">
        <v>46</v>
      </c>
      <c r="K82" s="14">
        <v>10533.42</v>
      </c>
    </row>
    <row r="83" spans="1:11" ht="14.5" x14ac:dyDescent="0.25">
      <c r="A83" s="17"/>
      <c r="B83" s="17"/>
      <c r="C83" s="17" t="s">
        <v>263</v>
      </c>
      <c r="D83" s="18" t="s">
        <v>264</v>
      </c>
      <c r="E83" s="19">
        <v>44.44</v>
      </c>
      <c r="F83" s="20"/>
      <c r="G83" s="37" t="s">
        <v>13</v>
      </c>
      <c r="H83" s="19">
        <v>1</v>
      </c>
      <c r="I83" s="20">
        <v>31.78</v>
      </c>
      <c r="J83" s="19"/>
      <c r="K83" s="20"/>
    </row>
    <row r="84" spans="1:11" ht="14" x14ac:dyDescent="0.25">
      <c r="C84" s="22" t="s">
        <v>265</v>
      </c>
      <c r="H84" s="143">
        <v>5559.27</v>
      </c>
      <c r="I84" s="143"/>
      <c r="J84" s="143">
        <v>75053.69</v>
      </c>
      <c r="K84" s="143"/>
    </row>
    <row r="85" spans="1:11" ht="14" x14ac:dyDescent="0.25">
      <c r="C85" s="22" t="s">
        <v>267</v>
      </c>
      <c r="H85" s="141">
        <v>5559.27</v>
      </c>
      <c r="I85" s="141"/>
      <c r="J85" s="141">
        <v>75053.69</v>
      </c>
      <c r="K85" s="141"/>
    </row>
    <row r="87" spans="1:11" ht="42" x14ac:dyDescent="0.25">
      <c r="A87" s="10">
        <v>6</v>
      </c>
      <c r="B87" s="10" t="s">
        <v>1313</v>
      </c>
      <c r="C87" s="10" t="s">
        <v>1100</v>
      </c>
      <c r="D87" s="12" t="s">
        <v>24</v>
      </c>
      <c r="E87" s="11">
        <v>7</v>
      </c>
      <c r="F87" s="14"/>
      <c r="G87" s="13"/>
      <c r="H87" s="11"/>
      <c r="I87" s="14"/>
      <c r="J87" s="11"/>
      <c r="K87" s="14"/>
    </row>
    <row r="88" spans="1:11" ht="14.5" x14ac:dyDescent="0.25">
      <c r="A88" s="10"/>
      <c r="B88" s="10"/>
      <c r="C88" s="10" t="s">
        <v>256</v>
      </c>
      <c r="D88" s="12"/>
      <c r="E88" s="11"/>
      <c r="F88" s="14">
        <v>30.05</v>
      </c>
      <c r="G88" s="13" t="s">
        <v>13</v>
      </c>
      <c r="H88" s="11">
        <v>1</v>
      </c>
      <c r="I88" s="14">
        <v>252.42</v>
      </c>
      <c r="J88" s="11">
        <v>57.05</v>
      </c>
      <c r="K88" s="14">
        <v>14400.56</v>
      </c>
    </row>
    <row r="89" spans="1:11" ht="14.5" x14ac:dyDescent="0.25">
      <c r="A89" s="10"/>
      <c r="B89" s="10"/>
      <c r="C89" s="10" t="s">
        <v>259</v>
      </c>
      <c r="D89" s="12"/>
      <c r="E89" s="11"/>
      <c r="F89" s="14">
        <v>8.5299999999999994</v>
      </c>
      <c r="G89" s="13"/>
      <c r="H89" s="11">
        <v>1</v>
      </c>
      <c r="I89" s="14">
        <v>59.71</v>
      </c>
      <c r="J89" s="11">
        <v>6.7</v>
      </c>
      <c r="K89" s="14">
        <v>400.06</v>
      </c>
    </row>
    <row r="90" spans="1:11" ht="14.5" x14ac:dyDescent="0.25">
      <c r="A90" s="10"/>
      <c r="B90" s="10"/>
      <c r="C90" s="10" t="s">
        <v>260</v>
      </c>
      <c r="D90" s="12" t="s">
        <v>261</v>
      </c>
      <c r="E90" s="11">
        <v>90</v>
      </c>
      <c r="F90" s="14"/>
      <c r="G90" s="13"/>
      <c r="H90" s="11"/>
      <c r="I90" s="14">
        <v>227.18</v>
      </c>
      <c r="J90" s="11">
        <v>90</v>
      </c>
      <c r="K90" s="14">
        <v>12960.5</v>
      </c>
    </row>
    <row r="91" spans="1:11" ht="14.5" x14ac:dyDescent="0.25">
      <c r="A91" s="10"/>
      <c r="B91" s="10"/>
      <c r="C91" s="10" t="s">
        <v>262</v>
      </c>
      <c r="D91" s="12" t="s">
        <v>261</v>
      </c>
      <c r="E91" s="11">
        <v>46</v>
      </c>
      <c r="F91" s="14"/>
      <c r="G91" s="13"/>
      <c r="H91" s="11"/>
      <c r="I91" s="14">
        <v>116.11</v>
      </c>
      <c r="J91" s="11">
        <v>46</v>
      </c>
      <c r="K91" s="14">
        <v>6624.26</v>
      </c>
    </row>
    <row r="92" spans="1:11" ht="14.5" x14ac:dyDescent="0.25">
      <c r="A92" s="17"/>
      <c r="B92" s="17"/>
      <c r="C92" s="17" t="s">
        <v>263</v>
      </c>
      <c r="D92" s="18" t="s">
        <v>264</v>
      </c>
      <c r="E92" s="19">
        <v>2.62</v>
      </c>
      <c r="F92" s="20"/>
      <c r="G92" s="37" t="s">
        <v>13</v>
      </c>
      <c r="H92" s="19">
        <v>1</v>
      </c>
      <c r="I92" s="20">
        <v>22.01</v>
      </c>
      <c r="J92" s="19"/>
      <c r="K92" s="20"/>
    </row>
    <row r="93" spans="1:11" ht="14" x14ac:dyDescent="0.25">
      <c r="C93" s="22" t="s">
        <v>265</v>
      </c>
      <c r="H93" s="143">
        <v>655.42</v>
      </c>
      <c r="I93" s="143"/>
      <c r="J93" s="143">
        <v>34385.379999999997</v>
      </c>
      <c r="K93" s="143"/>
    </row>
    <row r="94" spans="1:11" ht="14" x14ac:dyDescent="0.25">
      <c r="C94" s="22" t="s">
        <v>267</v>
      </c>
      <c r="H94" s="141">
        <v>655.42</v>
      </c>
      <c r="I94" s="141"/>
      <c r="J94" s="141">
        <v>34385.379999999997</v>
      </c>
      <c r="K94" s="141"/>
    </row>
    <row r="96" spans="1:11" ht="27" x14ac:dyDescent="0.25">
      <c r="A96" s="17">
        <v>7</v>
      </c>
      <c r="B96" s="17" t="s">
        <v>409</v>
      </c>
      <c r="C96" s="17" t="s">
        <v>1101</v>
      </c>
      <c r="D96" s="18" t="s">
        <v>11</v>
      </c>
      <c r="E96" s="19">
        <v>7</v>
      </c>
      <c r="F96" s="20">
        <v>196.29</v>
      </c>
      <c r="G96" s="37"/>
      <c r="H96" s="19">
        <v>1</v>
      </c>
      <c r="I96" s="20">
        <v>1374.03</v>
      </c>
      <c r="J96" s="19">
        <v>10.18</v>
      </c>
      <c r="K96" s="20">
        <v>13987.63</v>
      </c>
    </row>
    <row r="97" spans="1:11" ht="14" x14ac:dyDescent="0.25">
      <c r="C97" s="22" t="s">
        <v>267</v>
      </c>
      <c r="H97" s="143">
        <v>1374.03</v>
      </c>
      <c r="I97" s="143"/>
      <c r="J97" s="143">
        <v>13987.63</v>
      </c>
      <c r="K97" s="143"/>
    </row>
    <row r="100" spans="1:11" ht="14" x14ac:dyDescent="0.3">
      <c r="A100" s="140" t="s">
        <v>1314</v>
      </c>
      <c r="B100" s="140"/>
      <c r="C100" s="140"/>
      <c r="D100" s="140"/>
      <c r="E100" s="140"/>
      <c r="F100" s="140"/>
      <c r="G100" s="140"/>
      <c r="H100" s="141">
        <v>15061.83</v>
      </c>
      <c r="I100" s="142"/>
      <c r="J100" s="141">
        <v>232525.9</v>
      </c>
      <c r="K100" s="142"/>
    </row>
    <row r="102" spans="1:11" ht="16.5" x14ac:dyDescent="0.25">
      <c r="A102" s="144" t="s">
        <v>1315</v>
      </c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</row>
    <row r="103" spans="1:11" ht="43.5" x14ac:dyDescent="0.25">
      <c r="A103" s="10">
        <v>8</v>
      </c>
      <c r="B103" s="10" t="s">
        <v>1316</v>
      </c>
      <c r="C103" s="10" t="s">
        <v>1102</v>
      </c>
      <c r="D103" s="12" t="s">
        <v>1317</v>
      </c>
      <c r="E103" s="11">
        <v>0.17330000000000001</v>
      </c>
      <c r="F103" s="14"/>
      <c r="G103" s="13"/>
      <c r="H103" s="11"/>
      <c r="I103" s="14"/>
      <c r="J103" s="11"/>
      <c r="K103" s="14"/>
    </row>
    <row r="104" spans="1:11" x14ac:dyDescent="0.25">
      <c r="C104" s="23" t="s">
        <v>1318</v>
      </c>
    </row>
    <row r="105" spans="1:11" ht="14.5" x14ac:dyDescent="0.25">
      <c r="A105" s="10"/>
      <c r="B105" s="10"/>
      <c r="C105" s="10" t="s">
        <v>256</v>
      </c>
      <c r="D105" s="12"/>
      <c r="E105" s="11"/>
      <c r="F105" s="14">
        <v>1083.72</v>
      </c>
      <c r="G105" s="13" t="s">
        <v>460</v>
      </c>
      <c r="H105" s="11">
        <v>1</v>
      </c>
      <c r="I105" s="14">
        <v>259.18</v>
      </c>
      <c r="J105" s="11">
        <v>57.05</v>
      </c>
      <c r="K105" s="14">
        <v>14786.22</v>
      </c>
    </row>
    <row r="106" spans="1:11" ht="14.5" x14ac:dyDescent="0.25">
      <c r="A106" s="10"/>
      <c r="B106" s="10"/>
      <c r="C106" s="10" t="s">
        <v>257</v>
      </c>
      <c r="D106" s="12"/>
      <c r="E106" s="11"/>
      <c r="F106" s="14">
        <v>150.77000000000001</v>
      </c>
      <c r="G106" s="13" t="s">
        <v>461</v>
      </c>
      <c r="H106" s="11">
        <v>1</v>
      </c>
      <c r="I106" s="14">
        <v>39.19</v>
      </c>
      <c r="J106" s="11">
        <v>16.079999999999998</v>
      </c>
      <c r="K106" s="14">
        <v>630.17999999999995</v>
      </c>
    </row>
    <row r="107" spans="1:11" ht="14.5" x14ac:dyDescent="0.25">
      <c r="A107" s="10"/>
      <c r="B107" s="10"/>
      <c r="C107" s="10" t="s">
        <v>258</v>
      </c>
      <c r="D107" s="12"/>
      <c r="E107" s="11"/>
      <c r="F107" s="14">
        <v>17.54</v>
      </c>
      <c r="G107" s="13" t="s">
        <v>461</v>
      </c>
      <c r="H107" s="11">
        <v>1</v>
      </c>
      <c r="I107" s="16">
        <v>4.5599999999999996</v>
      </c>
      <c r="J107" s="11">
        <v>57.05</v>
      </c>
      <c r="K107" s="16">
        <v>260.14999999999998</v>
      </c>
    </row>
    <row r="108" spans="1:11" ht="14.5" x14ac:dyDescent="0.25">
      <c r="A108" s="10"/>
      <c r="B108" s="10"/>
      <c r="C108" s="10" t="s">
        <v>259</v>
      </c>
      <c r="D108" s="12"/>
      <c r="E108" s="11"/>
      <c r="F108" s="14">
        <v>50.95</v>
      </c>
      <c r="G108" s="13"/>
      <c r="H108" s="11">
        <v>1</v>
      </c>
      <c r="I108" s="14">
        <v>8.83</v>
      </c>
      <c r="J108" s="11">
        <v>10.23</v>
      </c>
      <c r="K108" s="14">
        <v>90.33</v>
      </c>
    </row>
    <row r="109" spans="1:11" ht="14.5" x14ac:dyDescent="0.25">
      <c r="A109" s="10"/>
      <c r="B109" s="10"/>
      <c r="C109" s="10" t="s">
        <v>260</v>
      </c>
      <c r="D109" s="12" t="s">
        <v>261</v>
      </c>
      <c r="E109" s="11">
        <v>84</v>
      </c>
      <c r="F109" s="14"/>
      <c r="G109" s="13"/>
      <c r="H109" s="11"/>
      <c r="I109" s="14">
        <v>221.54</v>
      </c>
      <c r="J109" s="11">
        <v>84</v>
      </c>
      <c r="K109" s="14">
        <v>12638.95</v>
      </c>
    </row>
    <row r="110" spans="1:11" ht="14.5" x14ac:dyDescent="0.25">
      <c r="A110" s="10"/>
      <c r="B110" s="10"/>
      <c r="C110" s="10" t="s">
        <v>262</v>
      </c>
      <c r="D110" s="12" t="s">
        <v>261</v>
      </c>
      <c r="E110" s="11">
        <v>53</v>
      </c>
      <c r="F110" s="14"/>
      <c r="G110" s="13"/>
      <c r="H110" s="11"/>
      <c r="I110" s="14">
        <v>139.78</v>
      </c>
      <c r="J110" s="11">
        <v>53</v>
      </c>
      <c r="K110" s="14">
        <v>7974.58</v>
      </c>
    </row>
    <row r="111" spans="1:11" ht="14.5" x14ac:dyDescent="0.25">
      <c r="A111" s="17"/>
      <c r="B111" s="17"/>
      <c r="C111" s="17" t="s">
        <v>263</v>
      </c>
      <c r="D111" s="18" t="s">
        <v>264</v>
      </c>
      <c r="E111" s="19">
        <v>82.1</v>
      </c>
      <c r="F111" s="20"/>
      <c r="G111" s="37" t="s">
        <v>460</v>
      </c>
      <c r="H111" s="19">
        <v>1</v>
      </c>
      <c r="I111" s="20">
        <v>19.63</v>
      </c>
      <c r="J111" s="19"/>
      <c r="K111" s="20"/>
    </row>
    <row r="112" spans="1:11" ht="14" x14ac:dyDescent="0.25">
      <c r="C112" s="22" t="s">
        <v>265</v>
      </c>
      <c r="H112" s="143">
        <v>668.52</v>
      </c>
      <c r="I112" s="143"/>
      <c r="J112" s="143">
        <v>36120.26</v>
      </c>
      <c r="K112" s="143"/>
    </row>
    <row r="113" spans="1:11" ht="14" x14ac:dyDescent="0.25">
      <c r="C113" s="22" t="s">
        <v>267</v>
      </c>
      <c r="H113" s="141">
        <v>668.52</v>
      </c>
      <c r="I113" s="141"/>
      <c r="J113" s="141">
        <v>36120.26</v>
      </c>
      <c r="K113" s="141"/>
    </row>
    <row r="115" spans="1:11" ht="126" x14ac:dyDescent="0.25">
      <c r="A115" s="17">
        <v>9</v>
      </c>
      <c r="B115" s="17" t="s">
        <v>1319</v>
      </c>
      <c r="C115" s="17" t="s">
        <v>1103</v>
      </c>
      <c r="D115" s="18" t="s">
        <v>28</v>
      </c>
      <c r="E115" s="19">
        <v>1</v>
      </c>
      <c r="F115" s="20">
        <v>49100.56</v>
      </c>
      <c r="G115" s="37"/>
      <c r="H115" s="19">
        <v>1</v>
      </c>
      <c r="I115" s="20">
        <v>49100.56</v>
      </c>
      <c r="J115" s="19">
        <v>4.62</v>
      </c>
      <c r="K115" s="20">
        <v>226844.59</v>
      </c>
    </row>
    <row r="116" spans="1:11" ht="14" x14ac:dyDescent="0.25">
      <c r="C116" s="22" t="s">
        <v>267</v>
      </c>
      <c r="H116" s="143">
        <v>49100.56</v>
      </c>
      <c r="I116" s="143"/>
      <c r="J116" s="143">
        <v>226844.59</v>
      </c>
      <c r="K116" s="143"/>
    </row>
    <row r="118" spans="1:11" ht="140" x14ac:dyDescent="0.25">
      <c r="A118" s="17">
        <v>10</v>
      </c>
      <c r="B118" s="17" t="s">
        <v>1320</v>
      </c>
      <c r="C118" s="17" t="s">
        <v>2115</v>
      </c>
      <c r="D118" s="18" t="s">
        <v>28</v>
      </c>
      <c r="E118" s="19">
        <v>1</v>
      </c>
      <c r="F118" s="20">
        <v>52224.34</v>
      </c>
      <c r="G118" s="37"/>
      <c r="H118" s="19">
        <v>1</v>
      </c>
      <c r="I118" s="20">
        <v>52224.34</v>
      </c>
      <c r="J118" s="19">
        <v>4.5599999999999996</v>
      </c>
      <c r="K118" s="20">
        <v>238142.99</v>
      </c>
    </row>
    <row r="119" spans="1:11" ht="14" x14ac:dyDescent="0.25">
      <c r="C119" s="22" t="s">
        <v>267</v>
      </c>
      <c r="H119" s="143">
        <v>52224.34</v>
      </c>
      <c r="I119" s="143"/>
      <c r="J119" s="143">
        <v>238142.99</v>
      </c>
      <c r="K119" s="143"/>
    </row>
    <row r="121" spans="1:11" ht="43.5" x14ac:dyDescent="0.25">
      <c r="A121" s="10">
        <v>11</v>
      </c>
      <c r="B121" s="10" t="s">
        <v>1321</v>
      </c>
      <c r="C121" s="10" t="s">
        <v>1104</v>
      </c>
      <c r="D121" s="12" t="s">
        <v>706</v>
      </c>
      <c r="E121" s="11">
        <v>0.2</v>
      </c>
      <c r="F121" s="14"/>
      <c r="G121" s="13"/>
      <c r="H121" s="11"/>
      <c r="I121" s="14"/>
      <c r="J121" s="11"/>
      <c r="K121" s="14"/>
    </row>
    <row r="122" spans="1:11" x14ac:dyDescent="0.25">
      <c r="C122" s="23" t="s">
        <v>1322</v>
      </c>
    </row>
    <row r="123" spans="1:11" ht="14.5" x14ac:dyDescent="0.25">
      <c r="A123" s="10"/>
      <c r="B123" s="10"/>
      <c r="C123" s="10" t="s">
        <v>256</v>
      </c>
      <c r="D123" s="12"/>
      <c r="E123" s="11"/>
      <c r="F123" s="14">
        <v>57.51</v>
      </c>
      <c r="G123" s="13" t="s">
        <v>460</v>
      </c>
      <c r="H123" s="11">
        <v>1</v>
      </c>
      <c r="I123" s="14">
        <v>15.87</v>
      </c>
      <c r="J123" s="11">
        <v>57.05</v>
      </c>
      <c r="K123" s="14">
        <v>905.38</v>
      </c>
    </row>
    <row r="124" spans="1:11" ht="14.5" x14ac:dyDescent="0.25">
      <c r="A124" s="10"/>
      <c r="B124" s="10"/>
      <c r="C124" s="10" t="s">
        <v>257</v>
      </c>
      <c r="D124" s="12"/>
      <c r="E124" s="11"/>
      <c r="F124" s="14">
        <v>0.79</v>
      </c>
      <c r="G124" s="13" t="s">
        <v>461</v>
      </c>
      <c r="H124" s="11">
        <v>1</v>
      </c>
      <c r="I124" s="14">
        <v>0.24</v>
      </c>
      <c r="J124" s="11">
        <v>15.87</v>
      </c>
      <c r="K124" s="14">
        <v>3.81</v>
      </c>
    </row>
    <row r="125" spans="1:11" ht="14.5" x14ac:dyDescent="0.25">
      <c r="A125" s="10"/>
      <c r="B125" s="10"/>
      <c r="C125" s="10" t="s">
        <v>258</v>
      </c>
      <c r="D125" s="12"/>
      <c r="E125" s="11"/>
      <c r="F125" s="14">
        <v>0.09</v>
      </c>
      <c r="G125" s="13" t="s">
        <v>461</v>
      </c>
      <c r="H125" s="11">
        <v>1</v>
      </c>
      <c r="I125" s="16">
        <v>0.03</v>
      </c>
      <c r="J125" s="11">
        <v>57.05</v>
      </c>
      <c r="K125" s="16">
        <v>1.71</v>
      </c>
    </row>
    <row r="126" spans="1:11" ht="14.5" x14ac:dyDescent="0.25">
      <c r="A126" s="10"/>
      <c r="B126" s="10"/>
      <c r="C126" s="10" t="s">
        <v>259</v>
      </c>
      <c r="D126" s="12"/>
      <c r="E126" s="11"/>
      <c r="F126" s="14">
        <v>1.61</v>
      </c>
      <c r="G126" s="13"/>
      <c r="H126" s="11">
        <v>1</v>
      </c>
      <c r="I126" s="14">
        <v>0.32</v>
      </c>
      <c r="J126" s="11">
        <v>13.2</v>
      </c>
      <c r="K126" s="14">
        <v>4.22</v>
      </c>
    </row>
    <row r="127" spans="1:11" ht="56" x14ac:dyDescent="0.25">
      <c r="A127" s="10" t="s">
        <v>25</v>
      </c>
      <c r="B127" s="10" t="s">
        <v>1323</v>
      </c>
      <c r="C127" s="10" t="s">
        <v>1105</v>
      </c>
      <c r="D127" s="12" t="s">
        <v>38</v>
      </c>
      <c r="E127" s="11">
        <v>2</v>
      </c>
      <c r="F127" s="14">
        <v>99.55</v>
      </c>
      <c r="G127" s="15" t="s">
        <v>1</v>
      </c>
      <c r="H127" s="11">
        <v>1</v>
      </c>
      <c r="I127" s="14">
        <v>199.1</v>
      </c>
      <c r="J127" s="11">
        <v>11.95</v>
      </c>
      <c r="K127" s="14">
        <v>2379.25</v>
      </c>
    </row>
    <row r="128" spans="1:11" ht="14.5" x14ac:dyDescent="0.25">
      <c r="A128" s="10"/>
      <c r="B128" s="10"/>
      <c r="C128" s="10" t="s">
        <v>260</v>
      </c>
      <c r="D128" s="12" t="s">
        <v>261</v>
      </c>
      <c r="E128" s="11">
        <v>97</v>
      </c>
      <c r="F128" s="14"/>
      <c r="G128" s="13"/>
      <c r="H128" s="11"/>
      <c r="I128" s="14">
        <v>15.42</v>
      </c>
      <c r="J128" s="11">
        <v>97</v>
      </c>
      <c r="K128" s="14">
        <v>879.88</v>
      </c>
    </row>
    <row r="129" spans="1:11" ht="14.5" x14ac:dyDescent="0.25">
      <c r="A129" s="10"/>
      <c r="B129" s="10"/>
      <c r="C129" s="10" t="s">
        <v>262</v>
      </c>
      <c r="D129" s="12" t="s">
        <v>261</v>
      </c>
      <c r="E129" s="11">
        <v>47</v>
      </c>
      <c r="F129" s="14"/>
      <c r="G129" s="13"/>
      <c r="H129" s="11"/>
      <c r="I129" s="14">
        <v>7.47</v>
      </c>
      <c r="J129" s="11">
        <v>47</v>
      </c>
      <c r="K129" s="14">
        <v>426.33</v>
      </c>
    </row>
    <row r="130" spans="1:11" ht="14.5" x14ac:dyDescent="0.25">
      <c r="A130" s="17"/>
      <c r="B130" s="17"/>
      <c r="C130" s="17" t="s">
        <v>263</v>
      </c>
      <c r="D130" s="18" t="s">
        <v>264</v>
      </c>
      <c r="E130" s="19">
        <v>3.97</v>
      </c>
      <c r="F130" s="20"/>
      <c r="G130" s="37" t="s">
        <v>460</v>
      </c>
      <c r="H130" s="19">
        <v>1</v>
      </c>
      <c r="I130" s="20">
        <v>1.1000000000000001</v>
      </c>
      <c r="J130" s="19"/>
      <c r="K130" s="20"/>
    </row>
    <row r="131" spans="1:11" ht="14" x14ac:dyDescent="0.25">
      <c r="C131" s="22" t="s">
        <v>265</v>
      </c>
      <c r="H131" s="143">
        <v>238.42</v>
      </c>
      <c r="I131" s="143"/>
      <c r="J131" s="143">
        <v>4598.87</v>
      </c>
      <c r="K131" s="143"/>
    </row>
    <row r="132" spans="1:11" ht="14" x14ac:dyDescent="0.25">
      <c r="C132" s="22" t="s">
        <v>267</v>
      </c>
      <c r="H132" s="141">
        <v>238.42</v>
      </c>
      <c r="I132" s="141"/>
      <c r="J132" s="141">
        <v>4598.87</v>
      </c>
      <c r="K132" s="141"/>
    </row>
    <row r="134" spans="1:11" ht="28" x14ac:dyDescent="0.25">
      <c r="A134" s="10">
        <v>12</v>
      </c>
      <c r="B134" s="10" t="s">
        <v>1324</v>
      </c>
      <c r="C134" s="10" t="s">
        <v>1106</v>
      </c>
      <c r="D134" s="12" t="s">
        <v>34</v>
      </c>
      <c r="E134" s="11">
        <v>0.02</v>
      </c>
      <c r="F134" s="14"/>
      <c r="G134" s="13"/>
      <c r="H134" s="11"/>
      <c r="I134" s="14"/>
      <c r="J134" s="11"/>
      <c r="K134" s="14"/>
    </row>
    <row r="135" spans="1:11" x14ac:dyDescent="0.25">
      <c r="C135" s="23" t="s">
        <v>371</v>
      </c>
    </row>
    <row r="136" spans="1:11" ht="14.5" x14ac:dyDescent="0.25">
      <c r="A136" s="10"/>
      <c r="B136" s="10"/>
      <c r="C136" s="10" t="s">
        <v>256</v>
      </c>
      <c r="D136" s="12"/>
      <c r="E136" s="11"/>
      <c r="F136" s="14">
        <v>144.13</v>
      </c>
      <c r="G136" s="13" t="s">
        <v>460</v>
      </c>
      <c r="H136" s="11">
        <v>1</v>
      </c>
      <c r="I136" s="14">
        <v>3.98</v>
      </c>
      <c r="J136" s="11">
        <v>57.05</v>
      </c>
      <c r="K136" s="14">
        <v>227.06</v>
      </c>
    </row>
    <row r="137" spans="1:11" ht="14.5" x14ac:dyDescent="0.25">
      <c r="A137" s="10"/>
      <c r="B137" s="10"/>
      <c r="C137" s="10" t="s">
        <v>257</v>
      </c>
      <c r="D137" s="12"/>
      <c r="E137" s="11"/>
      <c r="F137" s="14">
        <v>18.690000000000001</v>
      </c>
      <c r="G137" s="13" t="s">
        <v>461</v>
      </c>
      <c r="H137" s="11">
        <v>1</v>
      </c>
      <c r="I137" s="14">
        <v>0.56000000000000005</v>
      </c>
      <c r="J137" s="11">
        <v>16.59</v>
      </c>
      <c r="K137" s="14">
        <v>9.2899999999999991</v>
      </c>
    </row>
    <row r="138" spans="1:11" ht="14.5" x14ac:dyDescent="0.25">
      <c r="A138" s="10"/>
      <c r="B138" s="10"/>
      <c r="C138" s="10" t="s">
        <v>258</v>
      </c>
      <c r="D138" s="12"/>
      <c r="E138" s="11"/>
      <c r="F138" s="14">
        <v>2.27</v>
      </c>
      <c r="G138" s="13" t="s">
        <v>461</v>
      </c>
      <c r="H138" s="11">
        <v>1</v>
      </c>
      <c r="I138" s="16">
        <v>7.0000000000000007E-2</v>
      </c>
      <c r="J138" s="11">
        <v>57.05</v>
      </c>
      <c r="K138" s="16">
        <v>3.99</v>
      </c>
    </row>
    <row r="139" spans="1:11" ht="14.5" x14ac:dyDescent="0.25">
      <c r="A139" s="10"/>
      <c r="B139" s="10"/>
      <c r="C139" s="10" t="s">
        <v>259</v>
      </c>
      <c r="D139" s="12"/>
      <c r="E139" s="11"/>
      <c r="F139" s="14">
        <v>132.34</v>
      </c>
      <c r="G139" s="13"/>
      <c r="H139" s="11">
        <v>1</v>
      </c>
      <c r="I139" s="14">
        <v>2.65</v>
      </c>
      <c r="J139" s="11">
        <v>3.46</v>
      </c>
      <c r="K139" s="14">
        <v>9.17</v>
      </c>
    </row>
    <row r="140" spans="1:11" ht="42" x14ac:dyDescent="0.25">
      <c r="A140" s="10" t="s">
        <v>1044</v>
      </c>
      <c r="B140" s="10" t="s">
        <v>1325</v>
      </c>
      <c r="C140" s="10" t="s">
        <v>1107</v>
      </c>
      <c r="D140" s="12" t="s">
        <v>230</v>
      </c>
      <c r="E140" s="11">
        <v>2</v>
      </c>
      <c r="F140" s="14">
        <v>1390.92</v>
      </c>
      <c r="G140" s="15" t="s">
        <v>1</v>
      </c>
      <c r="H140" s="11">
        <v>1</v>
      </c>
      <c r="I140" s="14">
        <v>2781.84</v>
      </c>
      <c r="J140" s="11">
        <v>7.38</v>
      </c>
      <c r="K140" s="14">
        <v>20529.98</v>
      </c>
    </row>
    <row r="141" spans="1:11" ht="14.5" x14ac:dyDescent="0.25">
      <c r="A141" s="10"/>
      <c r="B141" s="10"/>
      <c r="C141" s="10" t="s">
        <v>260</v>
      </c>
      <c r="D141" s="12" t="s">
        <v>261</v>
      </c>
      <c r="E141" s="11">
        <v>84</v>
      </c>
      <c r="F141" s="14"/>
      <c r="G141" s="13"/>
      <c r="H141" s="11"/>
      <c r="I141" s="14">
        <v>3.4</v>
      </c>
      <c r="J141" s="11">
        <v>84</v>
      </c>
      <c r="K141" s="14">
        <v>194.08</v>
      </c>
    </row>
    <row r="142" spans="1:11" ht="14.5" x14ac:dyDescent="0.25">
      <c r="A142" s="10"/>
      <c r="B142" s="10"/>
      <c r="C142" s="10" t="s">
        <v>262</v>
      </c>
      <c r="D142" s="12" t="s">
        <v>261</v>
      </c>
      <c r="E142" s="11">
        <v>53</v>
      </c>
      <c r="F142" s="14"/>
      <c r="G142" s="13"/>
      <c r="H142" s="11"/>
      <c r="I142" s="14">
        <v>2.15</v>
      </c>
      <c r="J142" s="11">
        <v>53</v>
      </c>
      <c r="K142" s="14">
        <v>122.46</v>
      </c>
    </row>
    <row r="143" spans="1:11" ht="14.5" x14ac:dyDescent="0.25">
      <c r="A143" s="17"/>
      <c r="B143" s="17"/>
      <c r="C143" s="17" t="s">
        <v>263</v>
      </c>
      <c r="D143" s="18" t="s">
        <v>264</v>
      </c>
      <c r="E143" s="19">
        <v>11.57</v>
      </c>
      <c r="F143" s="20"/>
      <c r="G143" s="37" t="s">
        <v>460</v>
      </c>
      <c r="H143" s="19">
        <v>1</v>
      </c>
      <c r="I143" s="20">
        <v>0.32</v>
      </c>
      <c r="J143" s="19"/>
      <c r="K143" s="20"/>
    </row>
    <row r="144" spans="1:11" ht="14" x14ac:dyDescent="0.25">
      <c r="C144" s="22" t="s">
        <v>265</v>
      </c>
      <c r="H144" s="143">
        <v>2794.58</v>
      </c>
      <c r="I144" s="143"/>
      <c r="J144" s="143">
        <v>21092.04</v>
      </c>
      <c r="K144" s="143"/>
    </row>
    <row r="145" spans="1:11" ht="14" x14ac:dyDescent="0.25">
      <c r="C145" s="22" t="s">
        <v>267</v>
      </c>
      <c r="H145" s="141">
        <v>2794.58</v>
      </c>
      <c r="I145" s="141"/>
      <c r="J145" s="141">
        <v>21092.04</v>
      </c>
      <c r="K145" s="141"/>
    </row>
    <row r="147" spans="1:11" ht="43.5" x14ac:dyDescent="0.25">
      <c r="A147" s="10">
        <v>13</v>
      </c>
      <c r="B147" s="10" t="s">
        <v>1316</v>
      </c>
      <c r="C147" s="10" t="s">
        <v>1108</v>
      </c>
      <c r="D147" s="12" t="s">
        <v>1317</v>
      </c>
      <c r="E147" s="11">
        <v>0.09</v>
      </c>
      <c r="F147" s="14"/>
      <c r="G147" s="13"/>
      <c r="H147" s="11"/>
      <c r="I147" s="14"/>
      <c r="J147" s="11"/>
      <c r="K147" s="14"/>
    </row>
    <row r="148" spans="1:11" ht="14.5" x14ac:dyDescent="0.25">
      <c r="A148" s="10"/>
      <c r="B148" s="10"/>
      <c r="C148" s="10" t="s">
        <v>256</v>
      </c>
      <c r="D148" s="12"/>
      <c r="E148" s="11"/>
      <c r="F148" s="14">
        <v>1083.72</v>
      </c>
      <c r="G148" s="13" t="s">
        <v>460</v>
      </c>
      <c r="H148" s="11">
        <v>1</v>
      </c>
      <c r="I148" s="14">
        <v>134.6</v>
      </c>
      <c r="J148" s="11">
        <v>57.05</v>
      </c>
      <c r="K148" s="14">
        <v>7678.93</v>
      </c>
    </row>
    <row r="149" spans="1:11" ht="14.5" x14ac:dyDescent="0.25">
      <c r="A149" s="10"/>
      <c r="B149" s="10"/>
      <c r="C149" s="10" t="s">
        <v>257</v>
      </c>
      <c r="D149" s="12"/>
      <c r="E149" s="11"/>
      <c r="F149" s="14">
        <v>150.77000000000001</v>
      </c>
      <c r="G149" s="13" t="s">
        <v>461</v>
      </c>
      <c r="H149" s="11">
        <v>1</v>
      </c>
      <c r="I149" s="14">
        <v>20.350000000000001</v>
      </c>
      <c r="J149" s="11">
        <v>16.079999999999998</v>
      </c>
      <c r="K149" s="14">
        <v>327.23</v>
      </c>
    </row>
    <row r="150" spans="1:11" ht="14.5" x14ac:dyDescent="0.25">
      <c r="A150" s="10"/>
      <c r="B150" s="10"/>
      <c r="C150" s="10" t="s">
        <v>258</v>
      </c>
      <c r="D150" s="12"/>
      <c r="E150" s="11"/>
      <c r="F150" s="14">
        <v>17.54</v>
      </c>
      <c r="G150" s="13" t="s">
        <v>461</v>
      </c>
      <c r="H150" s="11">
        <v>1</v>
      </c>
      <c r="I150" s="16">
        <v>2.37</v>
      </c>
      <c r="J150" s="11">
        <v>57.05</v>
      </c>
      <c r="K150" s="16">
        <v>135.21</v>
      </c>
    </row>
    <row r="151" spans="1:11" ht="14.5" x14ac:dyDescent="0.25">
      <c r="A151" s="10"/>
      <c r="B151" s="10"/>
      <c r="C151" s="10" t="s">
        <v>259</v>
      </c>
      <c r="D151" s="12"/>
      <c r="E151" s="11"/>
      <c r="F151" s="14">
        <v>50.95</v>
      </c>
      <c r="G151" s="13"/>
      <c r="H151" s="11">
        <v>1</v>
      </c>
      <c r="I151" s="14">
        <v>4.59</v>
      </c>
      <c r="J151" s="11">
        <v>10.23</v>
      </c>
      <c r="K151" s="14">
        <v>46.96</v>
      </c>
    </row>
    <row r="152" spans="1:11" ht="14.5" x14ac:dyDescent="0.25">
      <c r="A152" s="10"/>
      <c r="B152" s="10"/>
      <c r="C152" s="10" t="s">
        <v>260</v>
      </c>
      <c r="D152" s="12" t="s">
        <v>261</v>
      </c>
      <c r="E152" s="11">
        <v>84</v>
      </c>
      <c r="F152" s="14"/>
      <c r="G152" s="13"/>
      <c r="H152" s="11"/>
      <c r="I152" s="14">
        <v>115.05</v>
      </c>
      <c r="J152" s="11">
        <v>84</v>
      </c>
      <c r="K152" s="14">
        <v>6563.88</v>
      </c>
    </row>
    <row r="153" spans="1:11" ht="14.5" x14ac:dyDescent="0.25">
      <c r="A153" s="10"/>
      <c r="B153" s="10"/>
      <c r="C153" s="10" t="s">
        <v>262</v>
      </c>
      <c r="D153" s="12" t="s">
        <v>261</v>
      </c>
      <c r="E153" s="11">
        <v>53</v>
      </c>
      <c r="F153" s="14"/>
      <c r="G153" s="13"/>
      <c r="H153" s="11"/>
      <c r="I153" s="14">
        <v>72.59</v>
      </c>
      <c r="J153" s="11">
        <v>53</v>
      </c>
      <c r="K153" s="14">
        <v>4141.49</v>
      </c>
    </row>
    <row r="154" spans="1:11" ht="14.5" x14ac:dyDescent="0.25">
      <c r="A154" s="17"/>
      <c r="B154" s="17"/>
      <c r="C154" s="17" t="s">
        <v>263</v>
      </c>
      <c r="D154" s="18" t="s">
        <v>264</v>
      </c>
      <c r="E154" s="19">
        <v>82.1</v>
      </c>
      <c r="F154" s="20"/>
      <c r="G154" s="37" t="s">
        <v>460</v>
      </c>
      <c r="H154" s="19">
        <v>1</v>
      </c>
      <c r="I154" s="20">
        <v>10.199999999999999</v>
      </c>
      <c r="J154" s="19"/>
      <c r="K154" s="20"/>
    </row>
    <row r="155" spans="1:11" ht="14" x14ac:dyDescent="0.25">
      <c r="C155" s="22" t="s">
        <v>265</v>
      </c>
      <c r="H155" s="143">
        <v>347.18</v>
      </c>
      <c r="I155" s="143"/>
      <c r="J155" s="143">
        <v>18758.490000000002</v>
      </c>
      <c r="K155" s="143"/>
    </row>
    <row r="156" spans="1:11" ht="14" x14ac:dyDescent="0.25">
      <c r="C156" s="22" t="s">
        <v>267</v>
      </c>
      <c r="H156" s="141">
        <v>347.18</v>
      </c>
      <c r="I156" s="141"/>
      <c r="J156" s="141">
        <v>18758.490000000002</v>
      </c>
      <c r="K156" s="141"/>
    </row>
    <row r="158" spans="1:11" ht="98" x14ac:dyDescent="0.25">
      <c r="A158" s="17">
        <v>14</v>
      </c>
      <c r="B158" s="17" t="s">
        <v>1326</v>
      </c>
      <c r="C158" s="17" t="s">
        <v>1109</v>
      </c>
      <c r="D158" s="18" t="s">
        <v>28</v>
      </c>
      <c r="E158" s="19">
        <v>0.09</v>
      </c>
      <c r="F158" s="20">
        <v>63154.23</v>
      </c>
      <c r="G158" s="37"/>
      <c r="H158" s="19">
        <v>1</v>
      </c>
      <c r="I158" s="20">
        <v>5683.88</v>
      </c>
      <c r="J158" s="19">
        <v>5.34</v>
      </c>
      <c r="K158" s="20">
        <v>30351.919999999998</v>
      </c>
    </row>
    <row r="159" spans="1:11" ht="14" x14ac:dyDescent="0.25">
      <c r="C159" s="22" t="s">
        <v>267</v>
      </c>
      <c r="H159" s="143">
        <v>5683.88</v>
      </c>
      <c r="I159" s="143"/>
      <c r="J159" s="143">
        <v>30351.919999999998</v>
      </c>
      <c r="K159" s="143"/>
    </row>
    <row r="162" spans="1:11" ht="14" x14ac:dyDescent="0.3">
      <c r="A162" s="140" t="s">
        <v>1327</v>
      </c>
      <c r="B162" s="140"/>
      <c r="C162" s="140"/>
      <c r="D162" s="140"/>
      <c r="E162" s="140"/>
      <c r="F162" s="140"/>
      <c r="G162" s="140"/>
      <c r="H162" s="141">
        <v>111057.48</v>
      </c>
      <c r="I162" s="142"/>
      <c r="J162" s="141">
        <v>575909.16</v>
      </c>
      <c r="K162" s="142"/>
    </row>
    <row r="164" spans="1:11" ht="16.5" x14ac:dyDescent="0.25">
      <c r="A164" s="144" t="s">
        <v>1328</v>
      </c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</row>
    <row r="165" spans="1:11" ht="56" x14ac:dyDescent="0.25">
      <c r="A165" s="10">
        <v>15</v>
      </c>
      <c r="B165" s="10" t="s">
        <v>1329</v>
      </c>
      <c r="C165" s="10" t="s">
        <v>1110</v>
      </c>
      <c r="D165" s="12" t="s">
        <v>1330</v>
      </c>
      <c r="E165" s="11">
        <v>1.3419000000000001</v>
      </c>
      <c r="F165" s="14"/>
      <c r="G165" s="13"/>
      <c r="H165" s="11"/>
      <c r="I165" s="14"/>
      <c r="J165" s="11"/>
      <c r="K165" s="14"/>
    </row>
    <row r="166" spans="1:11" ht="25" x14ac:dyDescent="0.25">
      <c r="C166" s="23" t="s">
        <v>1331</v>
      </c>
    </row>
    <row r="167" spans="1:11" ht="14.5" x14ac:dyDescent="0.25">
      <c r="A167" s="10"/>
      <c r="B167" s="10"/>
      <c r="C167" s="10" t="s">
        <v>256</v>
      </c>
      <c r="D167" s="12"/>
      <c r="E167" s="11"/>
      <c r="F167" s="14">
        <v>1812.22</v>
      </c>
      <c r="G167" s="13" t="s">
        <v>460</v>
      </c>
      <c r="H167" s="11">
        <v>1</v>
      </c>
      <c r="I167" s="14">
        <v>3355.91</v>
      </c>
      <c r="J167" s="11">
        <v>57.05</v>
      </c>
      <c r="K167" s="14">
        <v>191454.67</v>
      </c>
    </row>
    <row r="168" spans="1:11" ht="14.5" x14ac:dyDescent="0.25">
      <c r="A168" s="10"/>
      <c r="B168" s="10"/>
      <c r="C168" s="10" t="s">
        <v>257</v>
      </c>
      <c r="D168" s="12"/>
      <c r="E168" s="11"/>
      <c r="F168" s="14">
        <v>297.5</v>
      </c>
      <c r="G168" s="13" t="s">
        <v>461</v>
      </c>
      <c r="H168" s="11">
        <v>1</v>
      </c>
      <c r="I168" s="14">
        <v>598.82000000000005</v>
      </c>
      <c r="J168" s="11">
        <v>17.45</v>
      </c>
      <c r="K168" s="14">
        <v>10449.41</v>
      </c>
    </row>
    <row r="169" spans="1:11" ht="14.5" x14ac:dyDescent="0.25">
      <c r="A169" s="10"/>
      <c r="B169" s="10"/>
      <c r="C169" s="10" t="s">
        <v>258</v>
      </c>
      <c r="D169" s="12"/>
      <c r="E169" s="11"/>
      <c r="F169" s="14">
        <v>45.18</v>
      </c>
      <c r="G169" s="13" t="s">
        <v>461</v>
      </c>
      <c r="H169" s="11">
        <v>1</v>
      </c>
      <c r="I169" s="16">
        <v>90.94</v>
      </c>
      <c r="J169" s="11">
        <v>57.05</v>
      </c>
      <c r="K169" s="16">
        <v>5188.13</v>
      </c>
    </row>
    <row r="170" spans="1:11" ht="14.5" x14ac:dyDescent="0.25">
      <c r="A170" s="10"/>
      <c r="B170" s="10"/>
      <c r="C170" s="10" t="s">
        <v>259</v>
      </c>
      <c r="D170" s="12"/>
      <c r="E170" s="11"/>
      <c r="F170" s="14">
        <v>1275.42</v>
      </c>
      <c r="G170" s="13"/>
      <c r="H170" s="11">
        <v>1</v>
      </c>
      <c r="I170" s="14">
        <v>1711.49</v>
      </c>
      <c r="J170" s="11">
        <v>13.16</v>
      </c>
      <c r="K170" s="14">
        <v>22523.21</v>
      </c>
    </row>
    <row r="171" spans="1:11" ht="28" x14ac:dyDescent="0.25">
      <c r="A171" s="10" t="s">
        <v>979</v>
      </c>
      <c r="B171" s="10" t="s">
        <v>1332</v>
      </c>
      <c r="C171" s="10" t="s">
        <v>1111</v>
      </c>
      <c r="D171" s="12" t="s">
        <v>52</v>
      </c>
      <c r="E171" s="11">
        <v>724.62599999999998</v>
      </c>
      <c r="F171" s="14">
        <v>36.17</v>
      </c>
      <c r="G171" s="15" t="s">
        <v>1</v>
      </c>
      <c r="H171" s="11">
        <v>1</v>
      </c>
      <c r="I171" s="14">
        <v>26209.72</v>
      </c>
      <c r="J171" s="11">
        <v>10.47</v>
      </c>
      <c r="K171" s="14">
        <v>274415.77</v>
      </c>
    </row>
    <row r="172" spans="1:11" ht="14.5" x14ac:dyDescent="0.25">
      <c r="A172" s="10"/>
      <c r="B172" s="10"/>
      <c r="C172" s="10" t="s">
        <v>260</v>
      </c>
      <c r="D172" s="12" t="s">
        <v>261</v>
      </c>
      <c r="E172" s="11">
        <v>97</v>
      </c>
      <c r="F172" s="14"/>
      <c r="G172" s="13"/>
      <c r="H172" s="11"/>
      <c r="I172" s="14">
        <v>3343.44</v>
      </c>
      <c r="J172" s="11">
        <v>97</v>
      </c>
      <c r="K172" s="14">
        <v>190743.52</v>
      </c>
    </row>
    <row r="173" spans="1:11" ht="14.5" x14ac:dyDescent="0.25">
      <c r="A173" s="10"/>
      <c r="B173" s="10"/>
      <c r="C173" s="10" t="s">
        <v>262</v>
      </c>
      <c r="D173" s="12" t="s">
        <v>261</v>
      </c>
      <c r="E173" s="11">
        <v>47</v>
      </c>
      <c r="F173" s="14"/>
      <c r="G173" s="13"/>
      <c r="H173" s="11"/>
      <c r="I173" s="14">
        <v>1620.02</v>
      </c>
      <c r="J173" s="11">
        <v>47</v>
      </c>
      <c r="K173" s="14">
        <v>92422.12</v>
      </c>
    </row>
    <row r="174" spans="1:11" ht="14.5" x14ac:dyDescent="0.25">
      <c r="A174" s="17"/>
      <c r="B174" s="17"/>
      <c r="C174" s="17" t="s">
        <v>263</v>
      </c>
      <c r="D174" s="18" t="s">
        <v>264</v>
      </c>
      <c r="E174" s="19">
        <v>115</v>
      </c>
      <c r="F174" s="20"/>
      <c r="G174" s="37" t="s">
        <v>460</v>
      </c>
      <c r="H174" s="19">
        <v>1</v>
      </c>
      <c r="I174" s="20">
        <v>212.96</v>
      </c>
      <c r="J174" s="19"/>
      <c r="K174" s="20"/>
    </row>
    <row r="175" spans="1:11" ht="14" x14ac:dyDescent="0.25">
      <c r="C175" s="22" t="s">
        <v>265</v>
      </c>
      <c r="H175" s="143">
        <v>36839.4</v>
      </c>
      <c r="I175" s="143"/>
      <c r="J175" s="143">
        <v>782008.7</v>
      </c>
      <c r="K175" s="143"/>
    </row>
    <row r="176" spans="1:11" ht="14" x14ac:dyDescent="0.25">
      <c r="C176" s="22" t="s">
        <v>267</v>
      </c>
      <c r="H176" s="141">
        <v>36839.4</v>
      </c>
      <c r="I176" s="141"/>
      <c r="J176" s="141">
        <v>782008.7</v>
      </c>
      <c r="K176" s="141"/>
    </row>
    <row r="178" spans="1:11" ht="112" x14ac:dyDescent="0.25">
      <c r="A178" s="10">
        <v>16</v>
      </c>
      <c r="B178" s="10" t="s">
        <v>1333</v>
      </c>
      <c r="C178" s="10" t="s">
        <v>1516</v>
      </c>
      <c r="D178" s="12" t="s">
        <v>227</v>
      </c>
      <c r="E178" s="11">
        <v>8.4</v>
      </c>
      <c r="F178" s="14">
        <v>503.1</v>
      </c>
      <c r="G178" s="13"/>
      <c r="H178" s="11">
        <v>1</v>
      </c>
      <c r="I178" s="14">
        <v>4226.04</v>
      </c>
      <c r="J178" s="11">
        <v>9.42</v>
      </c>
      <c r="K178" s="14">
        <v>39809.300000000003</v>
      </c>
    </row>
    <row r="179" spans="1:11" x14ac:dyDescent="0.25">
      <c r="A179" s="28"/>
      <c r="B179" s="28"/>
      <c r="C179" s="25" t="s">
        <v>1334</v>
      </c>
      <c r="D179" s="28"/>
      <c r="E179" s="28"/>
      <c r="F179" s="28"/>
      <c r="G179" s="28"/>
      <c r="H179" s="28"/>
      <c r="I179" s="28"/>
      <c r="J179" s="28"/>
      <c r="K179" s="28"/>
    </row>
    <row r="180" spans="1:11" ht="14" x14ac:dyDescent="0.25">
      <c r="C180" s="22" t="s">
        <v>267</v>
      </c>
      <c r="H180" s="143">
        <v>4226.04</v>
      </c>
      <c r="I180" s="143"/>
      <c r="J180" s="143">
        <v>39809.300000000003</v>
      </c>
      <c r="K180" s="143"/>
    </row>
    <row r="182" spans="1:11" ht="112" x14ac:dyDescent="0.25">
      <c r="A182" s="10">
        <v>17</v>
      </c>
      <c r="B182" s="10" t="s">
        <v>1335</v>
      </c>
      <c r="C182" s="10" t="s">
        <v>1517</v>
      </c>
      <c r="D182" s="12" t="s">
        <v>227</v>
      </c>
      <c r="E182" s="11">
        <v>1.89</v>
      </c>
      <c r="F182" s="14">
        <v>503.1</v>
      </c>
      <c r="G182" s="13"/>
      <c r="H182" s="11">
        <v>1</v>
      </c>
      <c r="I182" s="14">
        <v>950.86</v>
      </c>
      <c r="J182" s="11">
        <v>9.85</v>
      </c>
      <c r="K182" s="14">
        <v>9365.9699999999993</v>
      </c>
    </row>
    <row r="183" spans="1:11" x14ac:dyDescent="0.25">
      <c r="A183" s="28"/>
      <c r="B183" s="28"/>
      <c r="C183" s="25" t="s">
        <v>1336</v>
      </c>
      <c r="D183" s="28"/>
      <c r="E183" s="28"/>
      <c r="F183" s="28"/>
      <c r="G183" s="28"/>
      <c r="H183" s="28"/>
      <c r="I183" s="28"/>
      <c r="J183" s="28"/>
      <c r="K183" s="28"/>
    </row>
    <row r="184" spans="1:11" ht="14" x14ac:dyDescent="0.25">
      <c r="C184" s="22" t="s">
        <v>267</v>
      </c>
      <c r="H184" s="143">
        <v>950.86</v>
      </c>
      <c r="I184" s="143"/>
      <c r="J184" s="143">
        <v>9365.9699999999993</v>
      </c>
      <c r="K184" s="143"/>
    </row>
    <row r="186" spans="1:11" ht="112" x14ac:dyDescent="0.25">
      <c r="A186" s="10">
        <v>18</v>
      </c>
      <c r="B186" s="10" t="s">
        <v>1337</v>
      </c>
      <c r="C186" s="10" t="s">
        <v>1518</v>
      </c>
      <c r="D186" s="12" t="s">
        <v>227</v>
      </c>
      <c r="E186" s="11">
        <v>48.3</v>
      </c>
      <c r="F186" s="14">
        <v>503.41</v>
      </c>
      <c r="G186" s="13"/>
      <c r="H186" s="11">
        <v>1</v>
      </c>
      <c r="I186" s="14">
        <v>24314.7</v>
      </c>
      <c r="J186" s="11">
        <v>9.8800000000000008</v>
      </c>
      <c r="K186" s="14">
        <v>240229.24</v>
      </c>
    </row>
    <row r="187" spans="1:11" x14ac:dyDescent="0.25">
      <c r="A187" s="28"/>
      <c r="B187" s="28"/>
      <c r="C187" s="25" t="s">
        <v>1338</v>
      </c>
      <c r="D187" s="28"/>
      <c r="E187" s="28"/>
      <c r="F187" s="28"/>
      <c r="G187" s="28"/>
      <c r="H187" s="28"/>
      <c r="I187" s="28"/>
      <c r="J187" s="28"/>
      <c r="K187" s="28"/>
    </row>
    <row r="188" spans="1:11" ht="14" x14ac:dyDescent="0.25">
      <c r="C188" s="22" t="s">
        <v>267</v>
      </c>
      <c r="H188" s="143">
        <v>24314.7</v>
      </c>
      <c r="I188" s="143"/>
      <c r="J188" s="143">
        <v>240229.24</v>
      </c>
      <c r="K188" s="143"/>
    </row>
    <row r="190" spans="1:11" ht="43.5" x14ac:dyDescent="0.25">
      <c r="A190" s="10">
        <v>19</v>
      </c>
      <c r="B190" s="10" t="s">
        <v>1339</v>
      </c>
      <c r="C190" s="10" t="s">
        <v>1104</v>
      </c>
      <c r="D190" s="12" t="s">
        <v>706</v>
      </c>
      <c r="E190" s="11">
        <v>2.9</v>
      </c>
      <c r="F190" s="14"/>
      <c r="G190" s="13"/>
      <c r="H190" s="11"/>
      <c r="I190" s="14"/>
      <c r="J190" s="11"/>
      <c r="K190" s="14"/>
    </row>
    <row r="191" spans="1:11" x14ac:dyDescent="0.25">
      <c r="C191" s="23" t="s">
        <v>1340</v>
      </c>
    </row>
    <row r="192" spans="1:11" ht="14.5" x14ac:dyDescent="0.25">
      <c r="A192" s="10"/>
      <c r="B192" s="10"/>
      <c r="C192" s="10" t="s">
        <v>256</v>
      </c>
      <c r="D192" s="12"/>
      <c r="E192" s="11"/>
      <c r="F192" s="14">
        <v>77.06</v>
      </c>
      <c r="G192" s="13" t="s">
        <v>460</v>
      </c>
      <c r="H192" s="11">
        <v>1</v>
      </c>
      <c r="I192" s="14">
        <v>308.39</v>
      </c>
      <c r="J192" s="11">
        <v>57.05</v>
      </c>
      <c r="K192" s="14">
        <v>17593.650000000001</v>
      </c>
    </row>
    <row r="193" spans="1:11" ht="14.5" x14ac:dyDescent="0.25">
      <c r="A193" s="10"/>
      <c r="B193" s="10"/>
      <c r="C193" s="10" t="s">
        <v>257</v>
      </c>
      <c r="D193" s="12"/>
      <c r="E193" s="11"/>
      <c r="F193" s="14">
        <v>0.79</v>
      </c>
      <c r="G193" s="13" t="s">
        <v>461</v>
      </c>
      <c r="H193" s="11">
        <v>1</v>
      </c>
      <c r="I193" s="14">
        <v>3.44</v>
      </c>
      <c r="J193" s="11">
        <v>15.87</v>
      </c>
      <c r="K193" s="14">
        <v>54.59</v>
      </c>
    </row>
    <row r="194" spans="1:11" ht="14.5" x14ac:dyDescent="0.25">
      <c r="A194" s="10"/>
      <c r="B194" s="10"/>
      <c r="C194" s="10" t="s">
        <v>258</v>
      </c>
      <c r="D194" s="12"/>
      <c r="E194" s="11"/>
      <c r="F194" s="14">
        <v>0.09</v>
      </c>
      <c r="G194" s="13" t="s">
        <v>461</v>
      </c>
      <c r="H194" s="11">
        <v>1</v>
      </c>
      <c r="I194" s="16">
        <v>0.39</v>
      </c>
      <c r="J194" s="11">
        <v>57.05</v>
      </c>
      <c r="K194" s="16">
        <v>22.25</v>
      </c>
    </row>
    <row r="195" spans="1:11" ht="14.5" x14ac:dyDescent="0.25">
      <c r="A195" s="10"/>
      <c r="B195" s="10"/>
      <c r="C195" s="10" t="s">
        <v>259</v>
      </c>
      <c r="D195" s="12"/>
      <c r="E195" s="11"/>
      <c r="F195" s="14">
        <v>1.61</v>
      </c>
      <c r="G195" s="13"/>
      <c r="H195" s="11">
        <v>1</v>
      </c>
      <c r="I195" s="14">
        <v>4.67</v>
      </c>
      <c r="J195" s="11">
        <v>13.2</v>
      </c>
      <c r="K195" s="14">
        <v>61.64</v>
      </c>
    </row>
    <row r="196" spans="1:11" ht="29" x14ac:dyDescent="0.25">
      <c r="A196" s="10" t="s">
        <v>31</v>
      </c>
      <c r="B196" s="10" t="s">
        <v>1341</v>
      </c>
      <c r="C196" s="10" t="s">
        <v>1112</v>
      </c>
      <c r="D196" s="12" t="s">
        <v>230</v>
      </c>
      <c r="E196" s="11">
        <v>29</v>
      </c>
      <c r="F196" s="14">
        <v>72.27</v>
      </c>
      <c r="G196" s="15" t="s">
        <v>1</v>
      </c>
      <c r="H196" s="11">
        <v>1</v>
      </c>
      <c r="I196" s="14">
        <v>2095.83</v>
      </c>
      <c r="J196" s="11">
        <v>10.56</v>
      </c>
      <c r="K196" s="14">
        <v>22131.96</v>
      </c>
    </row>
    <row r="197" spans="1:11" ht="14.5" x14ac:dyDescent="0.25">
      <c r="A197" s="10"/>
      <c r="B197" s="10"/>
      <c r="C197" s="10" t="s">
        <v>260</v>
      </c>
      <c r="D197" s="12" t="s">
        <v>261</v>
      </c>
      <c r="E197" s="11">
        <v>97</v>
      </c>
      <c r="F197" s="14"/>
      <c r="G197" s="13"/>
      <c r="H197" s="11"/>
      <c r="I197" s="14">
        <v>299.52</v>
      </c>
      <c r="J197" s="11">
        <v>97</v>
      </c>
      <c r="K197" s="14">
        <v>17087.419999999998</v>
      </c>
    </row>
    <row r="198" spans="1:11" ht="14.5" x14ac:dyDescent="0.25">
      <c r="A198" s="10"/>
      <c r="B198" s="10"/>
      <c r="C198" s="10" t="s">
        <v>262</v>
      </c>
      <c r="D198" s="12" t="s">
        <v>261</v>
      </c>
      <c r="E198" s="11">
        <v>47</v>
      </c>
      <c r="F198" s="14"/>
      <c r="G198" s="13"/>
      <c r="H198" s="11"/>
      <c r="I198" s="14">
        <v>145.13</v>
      </c>
      <c r="J198" s="11">
        <v>47</v>
      </c>
      <c r="K198" s="14">
        <v>8279.4699999999993</v>
      </c>
    </row>
    <row r="199" spans="1:11" ht="14.5" x14ac:dyDescent="0.25">
      <c r="A199" s="17"/>
      <c r="B199" s="17"/>
      <c r="C199" s="17" t="s">
        <v>263</v>
      </c>
      <c r="D199" s="18" t="s">
        <v>264</v>
      </c>
      <c r="E199" s="19">
        <v>3.97</v>
      </c>
      <c r="F199" s="20"/>
      <c r="G199" s="37" t="s">
        <v>460</v>
      </c>
      <c r="H199" s="19">
        <v>1</v>
      </c>
      <c r="I199" s="20">
        <v>15.89</v>
      </c>
      <c r="J199" s="19"/>
      <c r="K199" s="20"/>
    </row>
    <row r="200" spans="1:11" ht="14" x14ac:dyDescent="0.25">
      <c r="C200" s="22" t="s">
        <v>265</v>
      </c>
      <c r="H200" s="143">
        <v>2856.98</v>
      </c>
      <c r="I200" s="143"/>
      <c r="J200" s="143">
        <v>65208.73</v>
      </c>
      <c r="K200" s="143"/>
    </row>
    <row r="201" spans="1:11" ht="14" x14ac:dyDescent="0.25">
      <c r="C201" s="22" t="s">
        <v>267</v>
      </c>
      <c r="H201" s="141">
        <v>2856.98</v>
      </c>
      <c r="I201" s="141"/>
      <c r="J201" s="141">
        <v>65208.73</v>
      </c>
      <c r="K201" s="141"/>
    </row>
    <row r="204" spans="1:11" ht="14" x14ac:dyDescent="0.3">
      <c r="A204" s="140" t="s">
        <v>1342</v>
      </c>
      <c r="B204" s="140"/>
      <c r="C204" s="140"/>
      <c r="D204" s="140"/>
      <c r="E204" s="140"/>
      <c r="F204" s="140"/>
      <c r="G204" s="140"/>
      <c r="H204" s="141">
        <v>69187.98</v>
      </c>
      <c r="I204" s="142"/>
      <c r="J204" s="141">
        <v>1136621.94</v>
      </c>
      <c r="K204" s="142"/>
    </row>
    <row r="206" spans="1:11" ht="16.5" x14ac:dyDescent="0.25">
      <c r="A206" s="144" t="s">
        <v>1343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</row>
    <row r="207" spans="1:11" ht="43.5" x14ac:dyDescent="0.25">
      <c r="A207" s="10">
        <v>20</v>
      </c>
      <c r="B207" s="10" t="s">
        <v>1344</v>
      </c>
      <c r="C207" s="10" t="s">
        <v>1102</v>
      </c>
      <c r="D207" s="12" t="s">
        <v>1317</v>
      </c>
      <c r="E207" s="11">
        <v>0.57899999999999996</v>
      </c>
      <c r="F207" s="14"/>
      <c r="G207" s="13"/>
      <c r="H207" s="11"/>
      <c r="I207" s="14"/>
      <c r="J207" s="11"/>
      <c r="K207" s="14"/>
    </row>
    <row r="208" spans="1:11" x14ac:dyDescent="0.25">
      <c r="C208" s="23" t="s">
        <v>1345</v>
      </c>
    </row>
    <row r="209" spans="1:11" ht="14.5" x14ac:dyDescent="0.25">
      <c r="A209" s="10"/>
      <c r="B209" s="10"/>
      <c r="C209" s="10" t="s">
        <v>256</v>
      </c>
      <c r="D209" s="12"/>
      <c r="E209" s="11"/>
      <c r="F209" s="14">
        <v>1452.18</v>
      </c>
      <c r="G209" s="13" t="s">
        <v>460</v>
      </c>
      <c r="H209" s="11">
        <v>1</v>
      </c>
      <c r="I209" s="14">
        <v>1160.32</v>
      </c>
      <c r="J209" s="11">
        <v>57.05</v>
      </c>
      <c r="K209" s="14">
        <v>66196.259999999995</v>
      </c>
    </row>
    <row r="210" spans="1:11" ht="14.5" x14ac:dyDescent="0.25">
      <c r="A210" s="10"/>
      <c r="B210" s="10"/>
      <c r="C210" s="10" t="s">
        <v>257</v>
      </c>
      <c r="D210" s="12"/>
      <c r="E210" s="11"/>
      <c r="F210" s="14">
        <v>150.77000000000001</v>
      </c>
      <c r="G210" s="13" t="s">
        <v>461</v>
      </c>
      <c r="H210" s="11">
        <v>1</v>
      </c>
      <c r="I210" s="14">
        <v>130.94</v>
      </c>
      <c r="J210" s="11">
        <v>16.079999999999998</v>
      </c>
      <c r="K210" s="14">
        <v>2105.52</v>
      </c>
    </row>
    <row r="211" spans="1:11" ht="14.5" x14ac:dyDescent="0.25">
      <c r="A211" s="10"/>
      <c r="B211" s="10"/>
      <c r="C211" s="10" t="s">
        <v>258</v>
      </c>
      <c r="D211" s="12"/>
      <c r="E211" s="11"/>
      <c r="F211" s="14">
        <v>17.54</v>
      </c>
      <c r="G211" s="13" t="s">
        <v>461</v>
      </c>
      <c r="H211" s="11">
        <v>1</v>
      </c>
      <c r="I211" s="16">
        <v>15.23</v>
      </c>
      <c r="J211" s="11">
        <v>57.05</v>
      </c>
      <c r="K211" s="16">
        <v>868.87</v>
      </c>
    </row>
    <row r="212" spans="1:11" ht="14.5" x14ac:dyDescent="0.25">
      <c r="A212" s="10"/>
      <c r="B212" s="10"/>
      <c r="C212" s="10" t="s">
        <v>259</v>
      </c>
      <c r="D212" s="12"/>
      <c r="E212" s="11"/>
      <c r="F212" s="14">
        <v>50.95</v>
      </c>
      <c r="G212" s="13"/>
      <c r="H212" s="11">
        <v>1</v>
      </c>
      <c r="I212" s="14">
        <v>29.5</v>
      </c>
      <c r="J212" s="11">
        <v>10.23</v>
      </c>
      <c r="K212" s="14">
        <v>301.79000000000002</v>
      </c>
    </row>
    <row r="213" spans="1:11" ht="14.5" x14ac:dyDescent="0.25">
      <c r="A213" s="10"/>
      <c r="B213" s="10"/>
      <c r="C213" s="10" t="s">
        <v>260</v>
      </c>
      <c r="D213" s="12" t="s">
        <v>261</v>
      </c>
      <c r="E213" s="11">
        <v>84</v>
      </c>
      <c r="F213" s="14"/>
      <c r="G213" s="13"/>
      <c r="H213" s="11"/>
      <c r="I213" s="14">
        <v>987.46</v>
      </c>
      <c r="J213" s="11">
        <v>84</v>
      </c>
      <c r="K213" s="14">
        <v>56334.71</v>
      </c>
    </row>
    <row r="214" spans="1:11" ht="14.5" x14ac:dyDescent="0.25">
      <c r="A214" s="10"/>
      <c r="B214" s="10"/>
      <c r="C214" s="10" t="s">
        <v>262</v>
      </c>
      <c r="D214" s="12" t="s">
        <v>261</v>
      </c>
      <c r="E214" s="11">
        <v>53</v>
      </c>
      <c r="F214" s="14"/>
      <c r="G214" s="13"/>
      <c r="H214" s="11"/>
      <c r="I214" s="14">
        <v>623.04</v>
      </c>
      <c r="J214" s="11">
        <v>53</v>
      </c>
      <c r="K214" s="14">
        <v>35544.519999999997</v>
      </c>
    </row>
    <row r="215" spans="1:11" ht="14.5" x14ac:dyDescent="0.25">
      <c r="A215" s="17"/>
      <c r="B215" s="17"/>
      <c r="C215" s="17" t="s">
        <v>263</v>
      </c>
      <c r="D215" s="18" t="s">
        <v>264</v>
      </c>
      <c r="E215" s="19">
        <v>82.1</v>
      </c>
      <c r="F215" s="20"/>
      <c r="G215" s="37" t="s">
        <v>460</v>
      </c>
      <c r="H215" s="19">
        <v>1</v>
      </c>
      <c r="I215" s="20">
        <v>65.599999999999994</v>
      </c>
      <c r="J215" s="19"/>
      <c r="K215" s="20"/>
    </row>
    <row r="216" spans="1:11" ht="14" x14ac:dyDescent="0.25">
      <c r="C216" s="22" t="s">
        <v>265</v>
      </c>
      <c r="H216" s="143">
        <v>2931.26</v>
      </c>
      <c r="I216" s="143"/>
      <c r="J216" s="143">
        <v>160482.79999999999</v>
      </c>
      <c r="K216" s="143"/>
    </row>
    <row r="217" spans="1:11" ht="14" x14ac:dyDescent="0.25">
      <c r="C217" s="22" t="s">
        <v>267</v>
      </c>
      <c r="H217" s="141">
        <v>2931.26</v>
      </c>
      <c r="I217" s="141"/>
      <c r="J217" s="141">
        <v>160482.79999999999</v>
      </c>
      <c r="K217" s="141"/>
    </row>
    <row r="219" spans="1:11" ht="126" x14ac:dyDescent="0.25">
      <c r="A219" s="10">
        <v>21</v>
      </c>
      <c r="B219" s="10" t="s">
        <v>1346</v>
      </c>
      <c r="C219" s="10" t="s">
        <v>2116</v>
      </c>
      <c r="D219" s="12" t="s">
        <v>28</v>
      </c>
      <c r="E219" s="11">
        <v>9.6000000000000002E-2</v>
      </c>
      <c r="F219" s="14">
        <v>50385.37</v>
      </c>
      <c r="G219" s="13"/>
      <c r="H219" s="11">
        <v>1</v>
      </c>
      <c r="I219" s="14">
        <v>4837</v>
      </c>
      <c r="J219" s="11">
        <v>3.39</v>
      </c>
      <c r="K219" s="14">
        <v>16397.43</v>
      </c>
    </row>
    <row r="220" spans="1:11" x14ac:dyDescent="0.25">
      <c r="A220" s="28"/>
      <c r="B220" s="28"/>
      <c r="C220" s="25" t="s">
        <v>1347</v>
      </c>
      <c r="D220" s="28"/>
      <c r="E220" s="28"/>
      <c r="F220" s="28"/>
      <c r="G220" s="28"/>
      <c r="H220" s="28"/>
      <c r="I220" s="28"/>
      <c r="J220" s="28"/>
      <c r="K220" s="28"/>
    </row>
    <row r="221" spans="1:11" ht="14" x14ac:dyDescent="0.25">
      <c r="C221" s="22" t="s">
        <v>267</v>
      </c>
      <c r="H221" s="143">
        <v>4837</v>
      </c>
      <c r="I221" s="143"/>
      <c r="J221" s="143">
        <v>16397.43</v>
      </c>
      <c r="K221" s="143"/>
    </row>
    <row r="223" spans="1:11" ht="112" x14ac:dyDescent="0.25">
      <c r="A223" s="10">
        <v>22</v>
      </c>
      <c r="B223" s="10" t="s">
        <v>1348</v>
      </c>
      <c r="C223" s="10" t="s">
        <v>2117</v>
      </c>
      <c r="D223" s="12" t="s">
        <v>28</v>
      </c>
      <c r="E223" s="11">
        <v>0.21</v>
      </c>
      <c r="F223" s="14">
        <v>49751.06</v>
      </c>
      <c r="G223" s="13"/>
      <c r="H223" s="11">
        <v>1</v>
      </c>
      <c r="I223" s="14">
        <v>10447.719999999999</v>
      </c>
      <c r="J223" s="11">
        <v>4.67</v>
      </c>
      <c r="K223" s="14">
        <v>48790.85</v>
      </c>
    </row>
    <row r="224" spans="1:11" x14ac:dyDescent="0.25">
      <c r="A224" s="28"/>
      <c r="B224" s="28"/>
      <c r="C224" s="25" t="s">
        <v>1349</v>
      </c>
      <c r="D224" s="28"/>
      <c r="E224" s="28"/>
      <c r="F224" s="28"/>
      <c r="G224" s="28"/>
      <c r="H224" s="28"/>
      <c r="I224" s="28"/>
      <c r="J224" s="28"/>
      <c r="K224" s="28"/>
    </row>
    <row r="225" spans="1:11" ht="14" x14ac:dyDescent="0.25">
      <c r="C225" s="22" t="s">
        <v>267</v>
      </c>
      <c r="H225" s="143">
        <v>10447.719999999999</v>
      </c>
      <c r="I225" s="143"/>
      <c r="J225" s="143">
        <v>48790.85</v>
      </c>
      <c r="K225" s="143"/>
    </row>
    <row r="227" spans="1:11" ht="126" x14ac:dyDescent="0.25">
      <c r="A227" s="17">
        <v>23</v>
      </c>
      <c r="B227" s="17" t="s">
        <v>1350</v>
      </c>
      <c r="C227" s="17" t="s">
        <v>2118</v>
      </c>
      <c r="D227" s="18" t="s">
        <v>28</v>
      </c>
      <c r="E227" s="19">
        <v>0.14599999999999999</v>
      </c>
      <c r="F227" s="20">
        <v>49819.79</v>
      </c>
      <c r="G227" s="37"/>
      <c r="H227" s="19">
        <v>1</v>
      </c>
      <c r="I227" s="20">
        <v>7273.69</v>
      </c>
      <c r="J227" s="19">
        <v>4.3600000000000003</v>
      </c>
      <c r="K227" s="20">
        <v>31713.29</v>
      </c>
    </row>
    <row r="228" spans="1:11" ht="14" x14ac:dyDescent="0.25">
      <c r="C228" s="22" t="s">
        <v>267</v>
      </c>
      <c r="H228" s="143">
        <v>7273.69</v>
      </c>
      <c r="I228" s="143"/>
      <c r="J228" s="143">
        <v>31713.29</v>
      </c>
      <c r="K228" s="143"/>
    </row>
    <row r="230" spans="1:11" ht="126" x14ac:dyDescent="0.25">
      <c r="A230" s="17">
        <v>24</v>
      </c>
      <c r="B230" s="17" t="s">
        <v>1351</v>
      </c>
      <c r="C230" s="17" t="s">
        <v>2119</v>
      </c>
      <c r="D230" s="18" t="s">
        <v>28</v>
      </c>
      <c r="E230" s="19">
        <v>0.127</v>
      </c>
      <c r="F230" s="20">
        <v>51027.9</v>
      </c>
      <c r="G230" s="37"/>
      <c r="H230" s="19">
        <v>1</v>
      </c>
      <c r="I230" s="20">
        <v>6480.54</v>
      </c>
      <c r="J230" s="19">
        <v>4.83</v>
      </c>
      <c r="K230" s="20">
        <v>31301.01</v>
      </c>
    </row>
    <row r="231" spans="1:11" ht="14" x14ac:dyDescent="0.25">
      <c r="C231" s="22" t="s">
        <v>267</v>
      </c>
      <c r="H231" s="143">
        <v>6480.54</v>
      </c>
      <c r="I231" s="143"/>
      <c r="J231" s="143">
        <v>31301.01</v>
      </c>
      <c r="K231" s="143"/>
    </row>
    <row r="233" spans="1:11" ht="43.5" x14ac:dyDescent="0.25">
      <c r="A233" s="10">
        <v>25</v>
      </c>
      <c r="B233" s="10" t="s">
        <v>1339</v>
      </c>
      <c r="C233" s="10" t="s">
        <v>1104</v>
      </c>
      <c r="D233" s="12" t="s">
        <v>706</v>
      </c>
      <c r="E233" s="11">
        <v>0.5</v>
      </c>
      <c r="F233" s="14"/>
      <c r="G233" s="13"/>
      <c r="H233" s="11"/>
      <c r="I233" s="14"/>
      <c r="J233" s="11"/>
      <c r="K233" s="14"/>
    </row>
    <row r="234" spans="1:11" x14ac:dyDescent="0.25">
      <c r="C234" s="23" t="s">
        <v>1352</v>
      </c>
    </row>
    <row r="235" spans="1:11" ht="14.5" x14ac:dyDescent="0.25">
      <c r="A235" s="10"/>
      <c r="B235" s="10"/>
      <c r="C235" s="10" t="s">
        <v>256</v>
      </c>
      <c r="D235" s="12"/>
      <c r="E235" s="11"/>
      <c r="F235" s="14">
        <v>77.06</v>
      </c>
      <c r="G235" s="13" t="s">
        <v>460</v>
      </c>
      <c r="H235" s="11">
        <v>1</v>
      </c>
      <c r="I235" s="14">
        <v>53.17</v>
      </c>
      <c r="J235" s="11">
        <v>57.05</v>
      </c>
      <c r="K235" s="14">
        <v>3033.35</v>
      </c>
    </row>
    <row r="236" spans="1:11" ht="14.5" x14ac:dyDescent="0.25">
      <c r="A236" s="10"/>
      <c r="B236" s="10"/>
      <c r="C236" s="10" t="s">
        <v>257</v>
      </c>
      <c r="D236" s="12"/>
      <c r="E236" s="11"/>
      <c r="F236" s="14">
        <v>0.79</v>
      </c>
      <c r="G236" s="13" t="s">
        <v>461</v>
      </c>
      <c r="H236" s="11">
        <v>1</v>
      </c>
      <c r="I236" s="14">
        <v>0.59</v>
      </c>
      <c r="J236" s="11">
        <v>15.87</v>
      </c>
      <c r="K236" s="14">
        <v>9.36</v>
      </c>
    </row>
    <row r="237" spans="1:11" ht="14.5" x14ac:dyDescent="0.25">
      <c r="A237" s="10"/>
      <c r="B237" s="10"/>
      <c r="C237" s="10" t="s">
        <v>258</v>
      </c>
      <c r="D237" s="12"/>
      <c r="E237" s="11"/>
      <c r="F237" s="14">
        <v>0.09</v>
      </c>
      <c r="G237" s="13" t="s">
        <v>461</v>
      </c>
      <c r="H237" s="11">
        <v>1</v>
      </c>
      <c r="I237" s="16">
        <v>7.0000000000000007E-2</v>
      </c>
      <c r="J237" s="11">
        <v>57.05</v>
      </c>
      <c r="K237" s="16">
        <v>3.99</v>
      </c>
    </row>
    <row r="238" spans="1:11" ht="14.5" x14ac:dyDescent="0.25">
      <c r="A238" s="10"/>
      <c r="B238" s="10"/>
      <c r="C238" s="10" t="s">
        <v>259</v>
      </c>
      <c r="D238" s="12"/>
      <c r="E238" s="11"/>
      <c r="F238" s="14">
        <v>1.61</v>
      </c>
      <c r="G238" s="13"/>
      <c r="H238" s="11">
        <v>1</v>
      </c>
      <c r="I238" s="14">
        <v>0.81</v>
      </c>
      <c r="J238" s="11">
        <v>13.2</v>
      </c>
      <c r="K238" s="14">
        <v>10.69</v>
      </c>
    </row>
    <row r="239" spans="1:11" ht="29" x14ac:dyDescent="0.25">
      <c r="A239" s="10" t="s">
        <v>1054</v>
      </c>
      <c r="B239" s="10" t="s">
        <v>1341</v>
      </c>
      <c r="C239" s="10" t="s">
        <v>1112</v>
      </c>
      <c r="D239" s="12" t="s">
        <v>230</v>
      </c>
      <c r="E239" s="11">
        <v>5</v>
      </c>
      <c r="F239" s="14">
        <v>72.27</v>
      </c>
      <c r="G239" s="15" t="s">
        <v>1</v>
      </c>
      <c r="H239" s="11">
        <v>1</v>
      </c>
      <c r="I239" s="14">
        <v>361.35</v>
      </c>
      <c r="J239" s="11">
        <v>10.56</v>
      </c>
      <c r="K239" s="14">
        <v>3815.86</v>
      </c>
    </row>
    <row r="240" spans="1:11" ht="14.5" x14ac:dyDescent="0.25">
      <c r="A240" s="10"/>
      <c r="B240" s="10"/>
      <c r="C240" s="10" t="s">
        <v>260</v>
      </c>
      <c r="D240" s="12" t="s">
        <v>261</v>
      </c>
      <c r="E240" s="11">
        <v>97</v>
      </c>
      <c r="F240" s="14"/>
      <c r="G240" s="13"/>
      <c r="H240" s="11"/>
      <c r="I240" s="14">
        <v>51.64</v>
      </c>
      <c r="J240" s="11">
        <v>97</v>
      </c>
      <c r="K240" s="14">
        <v>2946.22</v>
      </c>
    </row>
    <row r="241" spans="1:11" ht="14.5" x14ac:dyDescent="0.25">
      <c r="A241" s="10"/>
      <c r="B241" s="10"/>
      <c r="C241" s="10" t="s">
        <v>262</v>
      </c>
      <c r="D241" s="12" t="s">
        <v>261</v>
      </c>
      <c r="E241" s="11">
        <v>47</v>
      </c>
      <c r="F241" s="14"/>
      <c r="G241" s="13"/>
      <c r="H241" s="11"/>
      <c r="I241" s="14">
        <v>25.02</v>
      </c>
      <c r="J241" s="11">
        <v>47</v>
      </c>
      <c r="K241" s="14">
        <v>1427.55</v>
      </c>
    </row>
    <row r="242" spans="1:11" ht="14.5" x14ac:dyDescent="0.25">
      <c r="A242" s="17"/>
      <c r="B242" s="17"/>
      <c r="C242" s="17" t="s">
        <v>263</v>
      </c>
      <c r="D242" s="18" t="s">
        <v>264</v>
      </c>
      <c r="E242" s="19">
        <v>3.97</v>
      </c>
      <c r="F242" s="20"/>
      <c r="G242" s="37" t="s">
        <v>460</v>
      </c>
      <c r="H242" s="19">
        <v>1</v>
      </c>
      <c r="I242" s="20">
        <v>2.74</v>
      </c>
      <c r="J242" s="19"/>
      <c r="K242" s="20"/>
    </row>
    <row r="243" spans="1:11" ht="14" x14ac:dyDescent="0.25">
      <c r="C243" s="22" t="s">
        <v>265</v>
      </c>
      <c r="H243" s="143">
        <v>492.58</v>
      </c>
      <c r="I243" s="143"/>
      <c r="J243" s="143">
        <v>11243.03</v>
      </c>
      <c r="K243" s="143"/>
    </row>
    <row r="244" spans="1:11" ht="14" x14ac:dyDescent="0.25">
      <c r="C244" s="22" t="s">
        <v>267</v>
      </c>
      <c r="H244" s="141">
        <v>492.58</v>
      </c>
      <c r="I244" s="141"/>
      <c r="J244" s="141">
        <v>11243.03</v>
      </c>
      <c r="K244" s="141"/>
    </row>
    <row r="246" spans="1:11" ht="28" x14ac:dyDescent="0.25">
      <c r="A246" s="10">
        <v>26</v>
      </c>
      <c r="B246" s="10" t="s">
        <v>1353</v>
      </c>
      <c r="C246" s="10" t="s">
        <v>1106</v>
      </c>
      <c r="D246" s="12" t="s">
        <v>34</v>
      </c>
      <c r="E246" s="11">
        <v>0.05</v>
      </c>
      <c r="F246" s="14"/>
      <c r="G246" s="13"/>
      <c r="H246" s="11"/>
      <c r="I246" s="14"/>
      <c r="J246" s="11"/>
      <c r="K246" s="14"/>
    </row>
    <row r="247" spans="1:11" x14ac:dyDescent="0.25">
      <c r="C247" s="23" t="s">
        <v>593</v>
      </c>
    </row>
    <row r="248" spans="1:11" ht="14.5" x14ac:dyDescent="0.25">
      <c r="A248" s="10"/>
      <c r="B248" s="10"/>
      <c r="C248" s="10" t="s">
        <v>256</v>
      </c>
      <c r="D248" s="12"/>
      <c r="E248" s="11"/>
      <c r="F248" s="14">
        <v>193.13</v>
      </c>
      <c r="G248" s="13" t="s">
        <v>460</v>
      </c>
      <c r="H248" s="11">
        <v>1</v>
      </c>
      <c r="I248" s="14">
        <v>13.33</v>
      </c>
      <c r="J248" s="11">
        <v>57.05</v>
      </c>
      <c r="K248" s="14">
        <v>760.48</v>
      </c>
    </row>
    <row r="249" spans="1:11" ht="14.5" x14ac:dyDescent="0.25">
      <c r="A249" s="10"/>
      <c r="B249" s="10"/>
      <c r="C249" s="10" t="s">
        <v>257</v>
      </c>
      <c r="D249" s="12"/>
      <c r="E249" s="11"/>
      <c r="F249" s="14">
        <v>18.690000000000001</v>
      </c>
      <c r="G249" s="13" t="s">
        <v>461</v>
      </c>
      <c r="H249" s="11">
        <v>1</v>
      </c>
      <c r="I249" s="14">
        <v>1.4</v>
      </c>
      <c r="J249" s="11">
        <v>16.59</v>
      </c>
      <c r="K249" s="14">
        <v>23.23</v>
      </c>
    </row>
    <row r="250" spans="1:11" ht="14.5" x14ac:dyDescent="0.25">
      <c r="A250" s="10"/>
      <c r="B250" s="10"/>
      <c r="C250" s="10" t="s">
        <v>258</v>
      </c>
      <c r="D250" s="12"/>
      <c r="E250" s="11"/>
      <c r="F250" s="14">
        <v>2.27</v>
      </c>
      <c r="G250" s="13" t="s">
        <v>461</v>
      </c>
      <c r="H250" s="11">
        <v>1</v>
      </c>
      <c r="I250" s="16">
        <v>0.17</v>
      </c>
      <c r="J250" s="11">
        <v>57.05</v>
      </c>
      <c r="K250" s="16">
        <v>9.6999999999999993</v>
      </c>
    </row>
    <row r="251" spans="1:11" ht="14.5" x14ac:dyDescent="0.25">
      <c r="A251" s="10"/>
      <c r="B251" s="10"/>
      <c r="C251" s="10" t="s">
        <v>259</v>
      </c>
      <c r="D251" s="12"/>
      <c r="E251" s="11"/>
      <c r="F251" s="14">
        <v>132.34</v>
      </c>
      <c r="G251" s="13"/>
      <c r="H251" s="11">
        <v>1</v>
      </c>
      <c r="I251" s="14">
        <v>6.62</v>
      </c>
      <c r="J251" s="11">
        <v>3.46</v>
      </c>
      <c r="K251" s="14">
        <v>22.91</v>
      </c>
    </row>
    <row r="252" spans="1:11" ht="42" x14ac:dyDescent="0.25">
      <c r="A252" s="10" t="s">
        <v>917</v>
      </c>
      <c r="B252" s="10" t="s">
        <v>1325</v>
      </c>
      <c r="C252" s="10" t="s">
        <v>1107</v>
      </c>
      <c r="D252" s="12" t="s">
        <v>230</v>
      </c>
      <c r="E252" s="11">
        <v>5</v>
      </c>
      <c r="F252" s="14">
        <v>1390.92</v>
      </c>
      <c r="G252" s="15" t="s">
        <v>1</v>
      </c>
      <c r="H252" s="11">
        <v>1</v>
      </c>
      <c r="I252" s="14">
        <v>6954.6</v>
      </c>
      <c r="J252" s="11">
        <v>7.38</v>
      </c>
      <c r="K252" s="14">
        <v>51324.95</v>
      </c>
    </row>
    <row r="253" spans="1:11" ht="14.5" x14ac:dyDescent="0.25">
      <c r="A253" s="10"/>
      <c r="B253" s="10"/>
      <c r="C253" s="10" t="s">
        <v>260</v>
      </c>
      <c r="D253" s="12" t="s">
        <v>261</v>
      </c>
      <c r="E253" s="11">
        <v>84</v>
      </c>
      <c r="F253" s="14"/>
      <c r="G253" s="13"/>
      <c r="H253" s="11"/>
      <c r="I253" s="14">
        <v>11.34</v>
      </c>
      <c r="J253" s="11">
        <v>84</v>
      </c>
      <c r="K253" s="14">
        <v>646.95000000000005</v>
      </c>
    </row>
    <row r="254" spans="1:11" ht="14.5" x14ac:dyDescent="0.25">
      <c r="A254" s="10"/>
      <c r="B254" s="10"/>
      <c r="C254" s="10" t="s">
        <v>262</v>
      </c>
      <c r="D254" s="12" t="s">
        <v>261</v>
      </c>
      <c r="E254" s="11">
        <v>53</v>
      </c>
      <c r="F254" s="14"/>
      <c r="G254" s="13"/>
      <c r="H254" s="11"/>
      <c r="I254" s="14">
        <v>7.16</v>
      </c>
      <c r="J254" s="11">
        <v>53</v>
      </c>
      <c r="K254" s="14">
        <v>408.2</v>
      </c>
    </row>
    <row r="255" spans="1:11" ht="14.5" x14ac:dyDescent="0.25">
      <c r="A255" s="17"/>
      <c r="B255" s="17"/>
      <c r="C255" s="17" t="s">
        <v>263</v>
      </c>
      <c r="D255" s="18" t="s">
        <v>264</v>
      </c>
      <c r="E255" s="19">
        <v>11.57</v>
      </c>
      <c r="F255" s="20"/>
      <c r="G255" s="37" t="s">
        <v>460</v>
      </c>
      <c r="H255" s="19">
        <v>1</v>
      </c>
      <c r="I255" s="20">
        <v>0.8</v>
      </c>
      <c r="J255" s="19"/>
      <c r="K255" s="20"/>
    </row>
    <row r="256" spans="1:11" ht="14" x14ac:dyDescent="0.25">
      <c r="C256" s="22" t="s">
        <v>265</v>
      </c>
      <c r="H256" s="143">
        <v>6994.45</v>
      </c>
      <c r="I256" s="143"/>
      <c r="J256" s="143">
        <v>53186.720000000001</v>
      </c>
      <c r="K256" s="143"/>
    </row>
    <row r="257" spans="1:11" ht="14" x14ac:dyDescent="0.25">
      <c r="C257" s="22" t="s">
        <v>267</v>
      </c>
      <c r="H257" s="141">
        <v>6994.45</v>
      </c>
      <c r="I257" s="141"/>
      <c r="J257" s="141">
        <v>53186.720000000001</v>
      </c>
      <c r="K257" s="141"/>
    </row>
    <row r="260" spans="1:11" ht="14" x14ac:dyDescent="0.3">
      <c r="A260" s="140" t="s">
        <v>1354</v>
      </c>
      <c r="B260" s="140"/>
      <c r="C260" s="140"/>
      <c r="D260" s="140"/>
      <c r="E260" s="140"/>
      <c r="F260" s="140"/>
      <c r="G260" s="140"/>
      <c r="H260" s="141">
        <v>39457.24</v>
      </c>
      <c r="I260" s="142"/>
      <c r="J260" s="141">
        <v>353115.13</v>
      </c>
      <c r="K260" s="142"/>
    </row>
    <row r="262" spans="1:11" ht="14" x14ac:dyDescent="0.3">
      <c r="A262" s="140" t="s">
        <v>1355</v>
      </c>
      <c r="B262" s="140"/>
      <c r="C262" s="140"/>
      <c r="D262" s="140"/>
      <c r="E262" s="140"/>
      <c r="F262" s="140"/>
      <c r="G262" s="140"/>
      <c r="H262" s="141">
        <v>236842.11</v>
      </c>
      <c r="I262" s="142"/>
      <c r="J262" s="141">
        <v>2311456.77</v>
      </c>
      <c r="K262" s="142"/>
    </row>
    <row r="264" spans="1:11" ht="16.5" x14ac:dyDescent="0.25">
      <c r="A264" s="144" t="s">
        <v>1356</v>
      </c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</row>
    <row r="265" spans="1:11" ht="28" x14ac:dyDescent="0.25">
      <c r="A265" s="10">
        <v>27</v>
      </c>
      <c r="B265" s="10" t="s">
        <v>1357</v>
      </c>
      <c r="C265" s="10" t="s">
        <v>1113</v>
      </c>
      <c r="D265" s="12" t="s">
        <v>1066</v>
      </c>
      <c r="E265" s="11">
        <v>0.19</v>
      </c>
      <c r="F265" s="14"/>
      <c r="G265" s="13"/>
      <c r="H265" s="11"/>
      <c r="I265" s="14"/>
      <c r="J265" s="11"/>
      <c r="K265" s="14"/>
    </row>
    <row r="266" spans="1:11" ht="14.5" x14ac:dyDescent="0.25">
      <c r="A266" s="10"/>
      <c r="B266" s="10"/>
      <c r="C266" s="10" t="s">
        <v>256</v>
      </c>
      <c r="D266" s="12"/>
      <c r="E266" s="11"/>
      <c r="F266" s="14">
        <v>862.2</v>
      </c>
      <c r="G266" s="13" t="s">
        <v>460</v>
      </c>
      <c r="H266" s="11">
        <v>1</v>
      </c>
      <c r="I266" s="14">
        <v>226.07</v>
      </c>
      <c r="J266" s="11">
        <v>57.05</v>
      </c>
      <c r="K266" s="14">
        <v>12897.29</v>
      </c>
    </row>
    <row r="267" spans="1:11" ht="14.5" x14ac:dyDescent="0.25">
      <c r="A267" s="10"/>
      <c r="B267" s="10"/>
      <c r="C267" s="10" t="s">
        <v>257</v>
      </c>
      <c r="D267" s="12"/>
      <c r="E267" s="11"/>
      <c r="F267" s="14">
        <v>94.82</v>
      </c>
      <c r="G267" s="13" t="s">
        <v>461</v>
      </c>
      <c r="H267" s="11">
        <v>1</v>
      </c>
      <c r="I267" s="14">
        <v>27.02</v>
      </c>
      <c r="J267" s="11">
        <v>14.12</v>
      </c>
      <c r="K267" s="14">
        <v>381.52</v>
      </c>
    </row>
    <row r="268" spans="1:11" ht="14.5" x14ac:dyDescent="0.25">
      <c r="A268" s="10"/>
      <c r="B268" s="10"/>
      <c r="C268" s="10" t="s">
        <v>258</v>
      </c>
      <c r="D268" s="12"/>
      <c r="E268" s="11"/>
      <c r="F268" s="14">
        <v>8.91</v>
      </c>
      <c r="G268" s="13" t="s">
        <v>461</v>
      </c>
      <c r="H268" s="11">
        <v>1</v>
      </c>
      <c r="I268" s="16">
        <v>2.54</v>
      </c>
      <c r="J268" s="11">
        <v>57.05</v>
      </c>
      <c r="K268" s="16">
        <v>144.91</v>
      </c>
    </row>
    <row r="269" spans="1:11" ht="14.5" x14ac:dyDescent="0.25">
      <c r="A269" s="10"/>
      <c r="B269" s="10"/>
      <c r="C269" s="10" t="s">
        <v>259</v>
      </c>
      <c r="D269" s="12"/>
      <c r="E269" s="11"/>
      <c r="F269" s="14">
        <v>117.85</v>
      </c>
      <c r="G269" s="13"/>
      <c r="H269" s="11">
        <v>1</v>
      </c>
      <c r="I269" s="14">
        <v>22.39</v>
      </c>
      <c r="J269" s="11">
        <v>11.25</v>
      </c>
      <c r="K269" s="14">
        <v>251.89</v>
      </c>
    </row>
    <row r="270" spans="1:11" ht="14.5" x14ac:dyDescent="0.25">
      <c r="A270" s="10"/>
      <c r="B270" s="10"/>
      <c r="C270" s="10" t="s">
        <v>260</v>
      </c>
      <c r="D270" s="12" t="s">
        <v>261</v>
      </c>
      <c r="E270" s="11">
        <v>84</v>
      </c>
      <c r="F270" s="14"/>
      <c r="G270" s="13"/>
      <c r="H270" s="11"/>
      <c r="I270" s="14">
        <v>192.03</v>
      </c>
      <c r="J270" s="11">
        <v>84</v>
      </c>
      <c r="K270" s="14">
        <v>10955.45</v>
      </c>
    </row>
    <row r="271" spans="1:11" ht="14.5" x14ac:dyDescent="0.25">
      <c r="A271" s="10"/>
      <c r="B271" s="10"/>
      <c r="C271" s="10" t="s">
        <v>262</v>
      </c>
      <c r="D271" s="12" t="s">
        <v>261</v>
      </c>
      <c r="E271" s="11">
        <v>53</v>
      </c>
      <c r="F271" s="14"/>
      <c r="G271" s="13"/>
      <c r="H271" s="11"/>
      <c r="I271" s="14">
        <v>121.16</v>
      </c>
      <c r="J271" s="11">
        <v>53</v>
      </c>
      <c r="K271" s="14">
        <v>6912.37</v>
      </c>
    </row>
    <row r="272" spans="1:11" ht="14.5" x14ac:dyDescent="0.25">
      <c r="A272" s="17"/>
      <c r="B272" s="17"/>
      <c r="C272" s="17" t="s">
        <v>263</v>
      </c>
      <c r="D272" s="18" t="s">
        <v>264</v>
      </c>
      <c r="E272" s="19">
        <v>55.37</v>
      </c>
      <c r="F272" s="20"/>
      <c r="G272" s="37" t="s">
        <v>460</v>
      </c>
      <c r="H272" s="19">
        <v>1</v>
      </c>
      <c r="I272" s="20">
        <v>14.52</v>
      </c>
      <c r="J272" s="19"/>
      <c r="K272" s="20"/>
    </row>
    <row r="273" spans="1:11" ht="14" x14ac:dyDescent="0.25">
      <c r="C273" s="22" t="s">
        <v>265</v>
      </c>
      <c r="H273" s="143">
        <v>588.66999999999996</v>
      </c>
      <c r="I273" s="143"/>
      <c r="J273" s="143">
        <v>31398.52</v>
      </c>
      <c r="K273" s="143"/>
    </row>
    <row r="274" spans="1:11" ht="14" x14ac:dyDescent="0.25">
      <c r="C274" s="22" t="s">
        <v>267</v>
      </c>
      <c r="H274" s="141">
        <v>588.66999999999996</v>
      </c>
      <c r="I274" s="141"/>
      <c r="J274" s="141">
        <v>31398.52</v>
      </c>
      <c r="K274" s="141"/>
    </row>
    <row r="276" spans="1:11" ht="28" x14ac:dyDescent="0.25">
      <c r="A276" s="10">
        <v>28</v>
      </c>
      <c r="B276" s="10" t="s">
        <v>1358</v>
      </c>
      <c r="C276" s="10" t="s">
        <v>1114</v>
      </c>
      <c r="D276" s="12" t="s">
        <v>227</v>
      </c>
      <c r="E276" s="11">
        <v>36.046799999999998</v>
      </c>
      <c r="F276" s="14">
        <v>153.79</v>
      </c>
      <c r="G276" s="13"/>
      <c r="H276" s="11">
        <v>1</v>
      </c>
      <c r="I276" s="14">
        <v>5543.64</v>
      </c>
      <c r="J276" s="11">
        <v>7.46</v>
      </c>
      <c r="K276" s="14">
        <v>41355.550000000003</v>
      </c>
    </row>
    <row r="277" spans="1:11" x14ac:dyDescent="0.25">
      <c r="A277" s="28"/>
      <c r="B277" s="28"/>
      <c r="C277" s="25" t="s">
        <v>1359</v>
      </c>
      <c r="D277" s="28"/>
      <c r="E277" s="28"/>
      <c r="F277" s="28"/>
      <c r="G277" s="28"/>
      <c r="H277" s="28"/>
      <c r="I277" s="28"/>
      <c r="J277" s="28"/>
      <c r="K277" s="28"/>
    </row>
    <row r="278" spans="1:11" ht="14" x14ac:dyDescent="0.25">
      <c r="C278" s="22" t="s">
        <v>267</v>
      </c>
      <c r="H278" s="143">
        <v>5543.64</v>
      </c>
      <c r="I278" s="143"/>
      <c r="J278" s="143">
        <v>41355.550000000003</v>
      </c>
      <c r="K278" s="143"/>
    </row>
    <row r="280" spans="1:11" ht="28" x14ac:dyDescent="0.25">
      <c r="A280" s="10">
        <v>29</v>
      </c>
      <c r="B280" s="10" t="s">
        <v>1360</v>
      </c>
      <c r="C280" s="10" t="s">
        <v>1115</v>
      </c>
      <c r="D280" s="12" t="s">
        <v>50</v>
      </c>
      <c r="E280" s="11">
        <v>0.60333333300000003</v>
      </c>
      <c r="F280" s="14"/>
      <c r="G280" s="13"/>
      <c r="H280" s="11"/>
      <c r="I280" s="14"/>
      <c r="J280" s="11"/>
      <c r="K280" s="14"/>
    </row>
    <row r="281" spans="1:11" x14ac:dyDescent="0.25">
      <c r="C281" s="23" t="s">
        <v>1361</v>
      </c>
    </row>
    <row r="282" spans="1:11" ht="14.5" x14ac:dyDescent="0.25">
      <c r="A282" s="10"/>
      <c r="B282" s="10"/>
      <c r="C282" s="10" t="s">
        <v>256</v>
      </c>
      <c r="D282" s="12"/>
      <c r="E282" s="11"/>
      <c r="F282" s="14">
        <v>921.72</v>
      </c>
      <c r="G282" s="13" t="s">
        <v>460</v>
      </c>
      <c r="H282" s="11">
        <v>1</v>
      </c>
      <c r="I282" s="14">
        <v>767.42</v>
      </c>
      <c r="J282" s="11">
        <v>57.05</v>
      </c>
      <c r="K282" s="14">
        <v>43781.31</v>
      </c>
    </row>
    <row r="283" spans="1:11" ht="14.5" x14ac:dyDescent="0.25">
      <c r="A283" s="10"/>
      <c r="B283" s="10"/>
      <c r="C283" s="10" t="s">
        <v>257</v>
      </c>
      <c r="D283" s="12"/>
      <c r="E283" s="11"/>
      <c r="F283" s="14">
        <v>37.76</v>
      </c>
      <c r="G283" s="13" t="s">
        <v>461</v>
      </c>
      <c r="H283" s="11">
        <v>1</v>
      </c>
      <c r="I283" s="14">
        <v>34.17</v>
      </c>
      <c r="J283" s="11">
        <v>16.84</v>
      </c>
      <c r="K283" s="14">
        <v>575.41999999999996</v>
      </c>
    </row>
    <row r="284" spans="1:11" ht="14.5" x14ac:dyDescent="0.25">
      <c r="A284" s="10"/>
      <c r="B284" s="10"/>
      <c r="C284" s="10" t="s">
        <v>258</v>
      </c>
      <c r="D284" s="12"/>
      <c r="E284" s="11"/>
      <c r="F284" s="14">
        <v>4.92</v>
      </c>
      <c r="G284" s="13" t="s">
        <v>461</v>
      </c>
      <c r="H284" s="11">
        <v>1</v>
      </c>
      <c r="I284" s="16">
        <v>4.45</v>
      </c>
      <c r="J284" s="11">
        <v>57.05</v>
      </c>
      <c r="K284" s="16">
        <v>253.87</v>
      </c>
    </row>
    <row r="285" spans="1:11" ht="14.5" x14ac:dyDescent="0.25">
      <c r="A285" s="10"/>
      <c r="B285" s="10"/>
      <c r="C285" s="10" t="s">
        <v>259</v>
      </c>
      <c r="D285" s="12"/>
      <c r="E285" s="11"/>
      <c r="F285" s="14">
        <v>748.3</v>
      </c>
      <c r="G285" s="13"/>
      <c r="H285" s="11">
        <v>1</v>
      </c>
      <c r="I285" s="14">
        <v>451.47</v>
      </c>
      <c r="J285" s="11">
        <v>6.33</v>
      </c>
      <c r="K285" s="14">
        <v>2857.81</v>
      </c>
    </row>
    <row r="286" spans="1:11" ht="56" x14ac:dyDescent="0.25">
      <c r="A286" s="10" t="s">
        <v>1116</v>
      </c>
      <c r="B286" s="10" t="s">
        <v>1362</v>
      </c>
      <c r="C286" s="10" t="s">
        <v>1117</v>
      </c>
      <c r="D286" s="12" t="s">
        <v>52</v>
      </c>
      <c r="E286" s="11">
        <v>61.54</v>
      </c>
      <c r="F286" s="14">
        <v>196.14</v>
      </c>
      <c r="G286" s="15" t="s">
        <v>1</v>
      </c>
      <c r="H286" s="11">
        <v>1</v>
      </c>
      <c r="I286" s="14">
        <v>12070.46</v>
      </c>
      <c r="J286" s="11">
        <v>3.53</v>
      </c>
      <c r="K286" s="14">
        <v>42608.72</v>
      </c>
    </row>
    <row r="287" spans="1:11" ht="56" x14ac:dyDescent="0.25">
      <c r="A287" s="10" t="s">
        <v>1118</v>
      </c>
      <c r="B287" s="10" t="s">
        <v>1363</v>
      </c>
      <c r="C287" s="10" t="s">
        <v>1119</v>
      </c>
      <c r="D287" s="12" t="s">
        <v>38</v>
      </c>
      <c r="E287" s="11">
        <v>105.71225099999999</v>
      </c>
      <c r="F287" s="14">
        <v>10.41</v>
      </c>
      <c r="G287" s="15" t="s">
        <v>1</v>
      </c>
      <c r="H287" s="11">
        <v>1</v>
      </c>
      <c r="I287" s="14">
        <v>1100.46</v>
      </c>
      <c r="J287" s="11">
        <v>5.01</v>
      </c>
      <c r="K287" s="14">
        <v>5513.3</v>
      </c>
    </row>
    <row r="288" spans="1:11" ht="14.5" x14ac:dyDescent="0.25">
      <c r="A288" s="10"/>
      <c r="B288" s="10"/>
      <c r="C288" s="10" t="s">
        <v>260</v>
      </c>
      <c r="D288" s="12" t="s">
        <v>261</v>
      </c>
      <c r="E288" s="11">
        <v>97</v>
      </c>
      <c r="F288" s="14"/>
      <c r="G288" s="13"/>
      <c r="H288" s="11"/>
      <c r="I288" s="14">
        <v>748.71</v>
      </c>
      <c r="J288" s="11">
        <v>97</v>
      </c>
      <c r="K288" s="14">
        <v>42714.12</v>
      </c>
    </row>
    <row r="289" spans="1:11" ht="14.5" x14ac:dyDescent="0.25">
      <c r="A289" s="10"/>
      <c r="B289" s="10"/>
      <c r="C289" s="10" t="s">
        <v>262</v>
      </c>
      <c r="D289" s="12" t="s">
        <v>261</v>
      </c>
      <c r="E289" s="11">
        <v>47</v>
      </c>
      <c r="F289" s="14"/>
      <c r="G289" s="13"/>
      <c r="H289" s="11"/>
      <c r="I289" s="14">
        <v>362.78</v>
      </c>
      <c r="J289" s="11">
        <v>47</v>
      </c>
      <c r="K289" s="14">
        <v>20696.53</v>
      </c>
    </row>
    <row r="290" spans="1:11" ht="14.5" x14ac:dyDescent="0.25">
      <c r="A290" s="17"/>
      <c r="B290" s="17"/>
      <c r="C290" s="17" t="s">
        <v>263</v>
      </c>
      <c r="D290" s="18" t="s">
        <v>264</v>
      </c>
      <c r="E290" s="19">
        <v>54.82</v>
      </c>
      <c r="F290" s="20"/>
      <c r="G290" s="37" t="s">
        <v>460</v>
      </c>
      <c r="H290" s="19">
        <v>1</v>
      </c>
      <c r="I290" s="20">
        <v>45.64</v>
      </c>
      <c r="J290" s="19"/>
      <c r="K290" s="20"/>
    </row>
    <row r="291" spans="1:11" ht="14" x14ac:dyDescent="0.25">
      <c r="C291" s="22" t="s">
        <v>265</v>
      </c>
      <c r="H291" s="143">
        <v>15535.47</v>
      </c>
      <c r="I291" s="143"/>
      <c r="J291" s="143">
        <v>158747.21</v>
      </c>
      <c r="K291" s="143"/>
    </row>
    <row r="292" spans="1:11" ht="14" x14ac:dyDescent="0.25">
      <c r="C292" s="22" t="s">
        <v>267</v>
      </c>
      <c r="H292" s="141">
        <v>15535.47</v>
      </c>
      <c r="I292" s="141"/>
      <c r="J292" s="141">
        <v>158747.21</v>
      </c>
      <c r="K292" s="141"/>
    </row>
    <row r="295" spans="1:11" ht="14" x14ac:dyDescent="0.3">
      <c r="A295" s="140" t="s">
        <v>1364</v>
      </c>
      <c r="B295" s="140"/>
      <c r="C295" s="140"/>
      <c r="D295" s="140"/>
      <c r="E295" s="140"/>
      <c r="F295" s="140"/>
      <c r="G295" s="140"/>
      <c r="H295" s="141">
        <v>21667.78</v>
      </c>
      <c r="I295" s="142"/>
      <c r="J295" s="141">
        <v>231501.28</v>
      </c>
      <c r="K295" s="142"/>
    </row>
    <row r="297" spans="1:11" ht="16.5" x14ac:dyDescent="0.25">
      <c r="A297" s="144" t="s">
        <v>1365</v>
      </c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</row>
    <row r="298" spans="1:11" ht="42" x14ac:dyDescent="0.25">
      <c r="A298" s="10">
        <v>30</v>
      </c>
      <c r="B298" s="10" t="s">
        <v>1366</v>
      </c>
      <c r="C298" s="10" t="s">
        <v>1120</v>
      </c>
      <c r="D298" s="12" t="s">
        <v>1367</v>
      </c>
      <c r="E298" s="11">
        <v>0.27400000000000002</v>
      </c>
      <c r="F298" s="14"/>
      <c r="G298" s="13"/>
      <c r="H298" s="11"/>
      <c r="I298" s="14"/>
      <c r="J298" s="11"/>
      <c r="K298" s="14"/>
    </row>
    <row r="299" spans="1:11" x14ac:dyDescent="0.25">
      <c r="C299" s="23" t="s">
        <v>1368</v>
      </c>
    </row>
    <row r="300" spans="1:11" ht="14.5" x14ac:dyDescent="0.25">
      <c r="A300" s="10"/>
      <c r="B300" s="10"/>
      <c r="C300" s="10" t="s">
        <v>256</v>
      </c>
      <c r="D300" s="12"/>
      <c r="E300" s="11"/>
      <c r="F300" s="14">
        <v>154.19</v>
      </c>
      <c r="G300" s="13" t="s">
        <v>460</v>
      </c>
      <c r="H300" s="11">
        <v>1</v>
      </c>
      <c r="I300" s="14">
        <v>58.3</v>
      </c>
      <c r="J300" s="11">
        <v>57.05</v>
      </c>
      <c r="K300" s="14">
        <v>3326.02</v>
      </c>
    </row>
    <row r="301" spans="1:11" ht="14.5" x14ac:dyDescent="0.25">
      <c r="A301" s="10"/>
      <c r="B301" s="10"/>
      <c r="C301" s="10" t="s">
        <v>257</v>
      </c>
      <c r="D301" s="12"/>
      <c r="E301" s="11"/>
      <c r="F301" s="14">
        <v>2.4900000000000002</v>
      </c>
      <c r="G301" s="13" t="s">
        <v>461</v>
      </c>
      <c r="H301" s="11">
        <v>1</v>
      </c>
      <c r="I301" s="14">
        <v>1.02</v>
      </c>
      <c r="J301" s="11">
        <v>17.47</v>
      </c>
      <c r="K301" s="14">
        <v>17.82</v>
      </c>
    </row>
    <row r="302" spans="1:11" ht="14.5" x14ac:dyDescent="0.25">
      <c r="A302" s="10"/>
      <c r="B302" s="10"/>
      <c r="C302" s="10" t="s">
        <v>258</v>
      </c>
      <c r="D302" s="12"/>
      <c r="E302" s="11"/>
      <c r="F302" s="14">
        <v>0.38</v>
      </c>
      <c r="G302" s="13" t="s">
        <v>461</v>
      </c>
      <c r="H302" s="11">
        <v>1</v>
      </c>
      <c r="I302" s="16">
        <v>0.16</v>
      </c>
      <c r="J302" s="11">
        <v>57.05</v>
      </c>
      <c r="K302" s="16">
        <v>9.1300000000000008</v>
      </c>
    </row>
    <row r="303" spans="1:11" ht="98" x14ac:dyDescent="0.25">
      <c r="A303" s="10" t="s">
        <v>750</v>
      </c>
      <c r="B303" s="10" t="s">
        <v>1369</v>
      </c>
      <c r="C303" s="10" t="s">
        <v>1121</v>
      </c>
      <c r="D303" s="12" t="s">
        <v>9</v>
      </c>
      <c r="E303" s="11">
        <v>1.4111</v>
      </c>
      <c r="F303" s="14">
        <v>43.73</v>
      </c>
      <c r="G303" s="15" t="s">
        <v>1</v>
      </c>
      <c r="H303" s="11">
        <v>1</v>
      </c>
      <c r="I303" s="14">
        <v>61.71</v>
      </c>
      <c r="J303" s="11">
        <v>9.94</v>
      </c>
      <c r="K303" s="14">
        <v>613.4</v>
      </c>
    </row>
    <row r="304" spans="1:11" ht="42" x14ac:dyDescent="0.25">
      <c r="A304" s="10" t="s">
        <v>1122</v>
      </c>
      <c r="B304" s="10" t="s">
        <v>1370</v>
      </c>
      <c r="C304" s="10" t="s">
        <v>1123</v>
      </c>
      <c r="D304" s="12" t="s">
        <v>52</v>
      </c>
      <c r="E304" s="11">
        <v>27.673999999999999</v>
      </c>
      <c r="F304" s="14">
        <v>520.03</v>
      </c>
      <c r="G304" s="15" t="s">
        <v>1</v>
      </c>
      <c r="H304" s="11">
        <v>1</v>
      </c>
      <c r="I304" s="14">
        <v>14391.31</v>
      </c>
      <c r="J304" s="11">
        <v>2.4</v>
      </c>
      <c r="K304" s="14">
        <v>34539.14</v>
      </c>
    </row>
    <row r="305" spans="1:11" ht="14.5" x14ac:dyDescent="0.25">
      <c r="A305" s="10"/>
      <c r="B305" s="10"/>
      <c r="C305" s="10" t="s">
        <v>260</v>
      </c>
      <c r="D305" s="12" t="s">
        <v>261</v>
      </c>
      <c r="E305" s="11">
        <v>101</v>
      </c>
      <c r="F305" s="14"/>
      <c r="G305" s="13"/>
      <c r="H305" s="11"/>
      <c r="I305" s="14">
        <v>59.04</v>
      </c>
      <c r="J305" s="11">
        <v>101</v>
      </c>
      <c r="K305" s="14">
        <v>3368.5</v>
      </c>
    </row>
    <row r="306" spans="1:11" ht="14.5" x14ac:dyDescent="0.25">
      <c r="A306" s="10"/>
      <c r="B306" s="10"/>
      <c r="C306" s="10" t="s">
        <v>262</v>
      </c>
      <c r="D306" s="12" t="s">
        <v>261</v>
      </c>
      <c r="E306" s="11">
        <v>55</v>
      </c>
      <c r="F306" s="14"/>
      <c r="G306" s="13"/>
      <c r="H306" s="11"/>
      <c r="I306" s="14">
        <v>32.15</v>
      </c>
      <c r="J306" s="11">
        <v>55</v>
      </c>
      <c r="K306" s="14">
        <v>1834.33</v>
      </c>
    </row>
    <row r="307" spans="1:11" ht="14.5" x14ac:dyDescent="0.25">
      <c r="A307" s="17"/>
      <c r="B307" s="17"/>
      <c r="C307" s="17" t="s">
        <v>263</v>
      </c>
      <c r="D307" s="18" t="s">
        <v>264</v>
      </c>
      <c r="E307" s="19">
        <v>8.99</v>
      </c>
      <c r="F307" s="20"/>
      <c r="G307" s="37" t="s">
        <v>460</v>
      </c>
      <c r="H307" s="19">
        <v>1</v>
      </c>
      <c r="I307" s="20">
        <v>3.4</v>
      </c>
      <c r="J307" s="19"/>
      <c r="K307" s="20"/>
    </row>
    <row r="308" spans="1:11" ht="14" x14ac:dyDescent="0.25">
      <c r="C308" s="22" t="s">
        <v>265</v>
      </c>
      <c r="H308" s="143">
        <v>14603.53</v>
      </c>
      <c r="I308" s="143"/>
      <c r="J308" s="143">
        <v>43699.21</v>
      </c>
      <c r="K308" s="143"/>
    </row>
    <row r="309" spans="1:11" ht="14" x14ac:dyDescent="0.25">
      <c r="C309" s="22" t="s">
        <v>267</v>
      </c>
      <c r="H309" s="141">
        <v>14603.53</v>
      </c>
      <c r="I309" s="141"/>
      <c r="J309" s="141">
        <v>43699.21</v>
      </c>
      <c r="K309" s="141"/>
    </row>
    <row r="311" spans="1:11" ht="98" x14ac:dyDescent="0.25">
      <c r="A311" s="10">
        <v>31</v>
      </c>
      <c r="B311" s="10" t="s">
        <v>1371</v>
      </c>
      <c r="C311" s="10" t="s">
        <v>1124</v>
      </c>
      <c r="D311" s="12" t="s">
        <v>1372</v>
      </c>
      <c r="E311" s="11">
        <v>0.123</v>
      </c>
      <c r="F311" s="14"/>
      <c r="G311" s="13"/>
      <c r="H311" s="11"/>
      <c r="I311" s="14"/>
      <c r="J311" s="11"/>
      <c r="K311" s="14"/>
    </row>
    <row r="312" spans="1:11" x14ac:dyDescent="0.25">
      <c r="C312" s="23" t="s">
        <v>1373</v>
      </c>
    </row>
    <row r="313" spans="1:11" ht="14.5" x14ac:dyDescent="0.25">
      <c r="A313" s="10"/>
      <c r="B313" s="10"/>
      <c r="C313" s="10" t="s">
        <v>256</v>
      </c>
      <c r="D313" s="12"/>
      <c r="E313" s="11"/>
      <c r="F313" s="14">
        <v>2856.96</v>
      </c>
      <c r="G313" s="13" t="s">
        <v>460</v>
      </c>
      <c r="H313" s="11">
        <v>1</v>
      </c>
      <c r="I313" s="14">
        <v>484.94</v>
      </c>
      <c r="J313" s="11">
        <v>57.05</v>
      </c>
      <c r="K313" s="14">
        <v>27665.83</v>
      </c>
    </row>
    <row r="314" spans="1:11" ht="14.5" x14ac:dyDescent="0.25">
      <c r="A314" s="10"/>
      <c r="B314" s="10"/>
      <c r="C314" s="10" t="s">
        <v>257</v>
      </c>
      <c r="D314" s="12"/>
      <c r="E314" s="11"/>
      <c r="F314" s="14">
        <v>285.58999999999997</v>
      </c>
      <c r="G314" s="13" t="s">
        <v>461</v>
      </c>
      <c r="H314" s="11">
        <v>1</v>
      </c>
      <c r="I314" s="14">
        <v>52.69</v>
      </c>
      <c r="J314" s="11">
        <v>16.149999999999999</v>
      </c>
      <c r="K314" s="14">
        <v>850.94</v>
      </c>
    </row>
    <row r="315" spans="1:11" ht="14.5" x14ac:dyDescent="0.25">
      <c r="A315" s="10"/>
      <c r="B315" s="10"/>
      <c r="C315" s="10" t="s">
        <v>258</v>
      </c>
      <c r="D315" s="12"/>
      <c r="E315" s="11"/>
      <c r="F315" s="14">
        <v>33.71</v>
      </c>
      <c r="G315" s="13" t="s">
        <v>461</v>
      </c>
      <c r="H315" s="11">
        <v>1</v>
      </c>
      <c r="I315" s="16">
        <v>6.22</v>
      </c>
      <c r="J315" s="11">
        <v>57.05</v>
      </c>
      <c r="K315" s="16">
        <v>354.85</v>
      </c>
    </row>
    <row r="316" spans="1:11" ht="14.5" x14ac:dyDescent="0.25">
      <c r="A316" s="10"/>
      <c r="B316" s="10"/>
      <c r="C316" s="10" t="s">
        <v>259</v>
      </c>
      <c r="D316" s="12"/>
      <c r="E316" s="11"/>
      <c r="F316" s="14">
        <v>3027.74</v>
      </c>
      <c r="G316" s="13"/>
      <c r="H316" s="11">
        <v>1</v>
      </c>
      <c r="I316" s="14">
        <v>372.41</v>
      </c>
      <c r="J316" s="11">
        <v>5.28</v>
      </c>
      <c r="K316" s="14">
        <v>1966.32</v>
      </c>
    </row>
    <row r="317" spans="1:11" ht="42" x14ac:dyDescent="0.25">
      <c r="A317" s="10" t="s">
        <v>754</v>
      </c>
      <c r="B317" s="10" t="s">
        <v>1374</v>
      </c>
      <c r="C317" s="10" t="s">
        <v>1125</v>
      </c>
      <c r="D317" s="12" t="s">
        <v>227</v>
      </c>
      <c r="E317" s="11">
        <v>51.66</v>
      </c>
      <c r="F317" s="14">
        <v>31.39</v>
      </c>
      <c r="G317" s="15" t="s">
        <v>1</v>
      </c>
      <c r="H317" s="11">
        <v>1</v>
      </c>
      <c r="I317" s="14">
        <v>1621.61</v>
      </c>
      <c r="J317" s="11">
        <v>5.03</v>
      </c>
      <c r="K317" s="14">
        <v>8156.7</v>
      </c>
    </row>
    <row r="318" spans="1:11" ht="14.5" x14ac:dyDescent="0.25">
      <c r="A318" s="10"/>
      <c r="B318" s="10"/>
      <c r="C318" s="10" t="s">
        <v>260</v>
      </c>
      <c r="D318" s="12" t="s">
        <v>261</v>
      </c>
      <c r="E318" s="11">
        <v>97</v>
      </c>
      <c r="F318" s="14"/>
      <c r="G318" s="13"/>
      <c r="H318" s="11"/>
      <c r="I318" s="14">
        <v>476.43</v>
      </c>
      <c r="J318" s="11">
        <v>97</v>
      </c>
      <c r="K318" s="14">
        <v>27180.06</v>
      </c>
    </row>
    <row r="319" spans="1:11" ht="14.5" x14ac:dyDescent="0.25">
      <c r="A319" s="10"/>
      <c r="B319" s="10"/>
      <c r="C319" s="10" t="s">
        <v>262</v>
      </c>
      <c r="D319" s="12" t="s">
        <v>261</v>
      </c>
      <c r="E319" s="11">
        <v>47</v>
      </c>
      <c r="F319" s="14"/>
      <c r="G319" s="13"/>
      <c r="H319" s="11"/>
      <c r="I319" s="14">
        <v>230.85</v>
      </c>
      <c r="J319" s="11">
        <v>47</v>
      </c>
      <c r="K319" s="14">
        <v>13169.72</v>
      </c>
    </row>
    <row r="320" spans="1:11" ht="14.5" x14ac:dyDescent="0.25">
      <c r="A320" s="17"/>
      <c r="B320" s="17"/>
      <c r="C320" s="17" t="s">
        <v>263</v>
      </c>
      <c r="D320" s="18" t="s">
        <v>264</v>
      </c>
      <c r="E320" s="19">
        <v>194</v>
      </c>
      <c r="F320" s="20"/>
      <c r="G320" s="37" t="s">
        <v>460</v>
      </c>
      <c r="H320" s="19">
        <v>1</v>
      </c>
      <c r="I320" s="20">
        <v>32.93</v>
      </c>
      <c r="J320" s="19"/>
      <c r="K320" s="20"/>
    </row>
    <row r="321" spans="1:11" ht="14" x14ac:dyDescent="0.25">
      <c r="C321" s="22" t="s">
        <v>265</v>
      </c>
      <c r="H321" s="143">
        <v>3238.93</v>
      </c>
      <c r="I321" s="143"/>
      <c r="J321" s="143">
        <v>78989.570000000007</v>
      </c>
      <c r="K321" s="143"/>
    </row>
    <row r="322" spans="1:11" ht="14" x14ac:dyDescent="0.25">
      <c r="C322" s="22" t="s">
        <v>267</v>
      </c>
      <c r="H322" s="141">
        <v>3238.93</v>
      </c>
      <c r="I322" s="141"/>
      <c r="J322" s="141">
        <v>78989.570000000007</v>
      </c>
      <c r="K322" s="141"/>
    </row>
    <row r="324" spans="1:11" ht="28" x14ac:dyDescent="0.25">
      <c r="A324" s="10">
        <v>32</v>
      </c>
      <c r="B324" s="10" t="s">
        <v>1375</v>
      </c>
      <c r="C324" s="10" t="s">
        <v>1126</v>
      </c>
      <c r="D324" s="12" t="s">
        <v>50</v>
      </c>
      <c r="E324" s="11">
        <v>9.6000000000000002E-2</v>
      </c>
      <c r="F324" s="14"/>
      <c r="G324" s="13"/>
      <c r="H324" s="11"/>
      <c r="I324" s="14"/>
      <c r="J324" s="11"/>
      <c r="K324" s="14"/>
    </row>
    <row r="325" spans="1:11" x14ac:dyDescent="0.25">
      <c r="C325" s="23" t="s">
        <v>1376</v>
      </c>
    </row>
    <row r="326" spans="1:11" ht="14.5" x14ac:dyDescent="0.25">
      <c r="A326" s="10"/>
      <c r="B326" s="10"/>
      <c r="C326" s="10" t="s">
        <v>256</v>
      </c>
      <c r="D326" s="12"/>
      <c r="E326" s="11"/>
      <c r="F326" s="14">
        <v>121.12</v>
      </c>
      <c r="G326" s="13" t="s">
        <v>460</v>
      </c>
      <c r="H326" s="11">
        <v>1</v>
      </c>
      <c r="I326" s="14">
        <v>16.05</v>
      </c>
      <c r="J326" s="11">
        <v>57.05</v>
      </c>
      <c r="K326" s="14">
        <v>915.65</v>
      </c>
    </row>
    <row r="327" spans="1:11" ht="14.5" x14ac:dyDescent="0.25">
      <c r="A327" s="10"/>
      <c r="B327" s="10"/>
      <c r="C327" s="10" t="s">
        <v>257</v>
      </c>
      <c r="D327" s="12"/>
      <c r="E327" s="11"/>
      <c r="F327" s="14">
        <v>0.42</v>
      </c>
      <c r="G327" s="13" t="s">
        <v>461</v>
      </c>
      <c r="H327" s="11">
        <v>1</v>
      </c>
      <c r="I327" s="14">
        <v>0.06</v>
      </c>
      <c r="J327" s="11">
        <v>17.260000000000002</v>
      </c>
      <c r="K327" s="14">
        <v>1.04</v>
      </c>
    </row>
    <row r="328" spans="1:11" ht="14.5" x14ac:dyDescent="0.25">
      <c r="A328" s="10"/>
      <c r="B328" s="10"/>
      <c r="C328" s="10" t="s">
        <v>258</v>
      </c>
      <c r="D328" s="12"/>
      <c r="E328" s="11"/>
      <c r="F328" s="14">
        <v>0.06</v>
      </c>
      <c r="G328" s="13" t="s">
        <v>461</v>
      </c>
      <c r="H328" s="11">
        <v>1</v>
      </c>
      <c r="I328" s="16">
        <v>0.01</v>
      </c>
      <c r="J328" s="11">
        <v>57.05</v>
      </c>
      <c r="K328" s="16">
        <v>0.56999999999999995</v>
      </c>
    </row>
    <row r="329" spans="1:11" ht="14.5" x14ac:dyDescent="0.25">
      <c r="A329" s="10"/>
      <c r="B329" s="10"/>
      <c r="C329" s="10" t="s">
        <v>259</v>
      </c>
      <c r="D329" s="12"/>
      <c r="E329" s="11"/>
      <c r="F329" s="14">
        <v>291.70999999999998</v>
      </c>
      <c r="G329" s="13"/>
      <c r="H329" s="11">
        <v>1</v>
      </c>
      <c r="I329" s="14">
        <v>28</v>
      </c>
      <c r="J329" s="11">
        <v>5.35</v>
      </c>
      <c r="K329" s="14">
        <v>149.80000000000001</v>
      </c>
    </row>
    <row r="330" spans="1:11" ht="14.5" x14ac:dyDescent="0.25">
      <c r="A330" s="10"/>
      <c r="B330" s="10"/>
      <c r="C330" s="10" t="s">
        <v>260</v>
      </c>
      <c r="D330" s="12" t="s">
        <v>261</v>
      </c>
      <c r="E330" s="11">
        <v>109</v>
      </c>
      <c r="F330" s="14"/>
      <c r="G330" s="13"/>
      <c r="H330" s="11"/>
      <c r="I330" s="14">
        <v>17.510000000000002</v>
      </c>
      <c r="J330" s="11">
        <v>109</v>
      </c>
      <c r="K330" s="14">
        <v>998.68</v>
      </c>
    </row>
    <row r="331" spans="1:11" ht="14.5" x14ac:dyDescent="0.25">
      <c r="A331" s="10"/>
      <c r="B331" s="10"/>
      <c r="C331" s="10" t="s">
        <v>262</v>
      </c>
      <c r="D331" s="12" t="s">
        <v>261</v>
      </c>
      <c r="E331" s="11">
        <v>61</v>
      </c>
      <c r="F331" s="14"/>
      <c r="G331" s="13"/>
      <c r="H331" s="11"/>
      <c r="I331" s="14">
        <v>9.8000000000000007</v>
      </c>
      <c r="J331" s="11">
        <v>61</v>
      </c>
      <c r="K331" s="14">
        <v>558.89</v>
      </c>
    </row>
    <row r="332" spans="1:11" ht="14.5" x14ac:dyDescent="0.25">
      <c r="A332" s="17"/>
      <c r="B332" s="17"/>
      <c r="C332" s="17" t="s">
        <v>263</v>
      </c>
      <c r="D332" s="18" t="s">
        <v>264</v>
      </c>
      <c r="E332" s="19">
        <v>10.84</v>
      </c>
      <c r="F332" s="20"/>
      <c r="G332" s="37" t="s">
        <v>460</v>
      </c>
      <c r="H332" s="19">
        <v>1</v>
      </c>
      <c r="I332" s="20">
        <v>1.44</v>
      </c>
      <c r="J332" s="19"/>
      <c r="K332" s="20"/>
    </row>
    <row r="333" spans="1:11" ht="14" x14ac:dyDescent="0.25">
      <c r="C333" s="22" t="s">
        <v>265</v>
      </c>
      <c r="H333" s="143">
        <v>71.42</v>
      </c>
      <c r="I333" s="143"/>
      <c r="J333" s="143">
        <v>2624.06</v>
      </c>
      <c r="K333" s="143"/>
    </row>
    <row r="334" spans="1:11" ht="14" x14ac:dyDescent="0.25">
      <c r="C334" s="22" t="s">
        <v>267</v>
      </c>
      <c r="H334" s="141">
        <v>71.42</v>
      </c>
      <c r="I334" s="141"/>
      <c r="J334" s="141">
        <v>2624.06</v>
      </c>
      <c r="K334" s="141"/>
    </row>
    <row r="337" spans="1:11" ht="14" x14ac:dyDescent="0.3">
      <c r="A337" s="140" t="s">
        <v>1377</v>
      </c>
      <c r="B337" s="140"/>
      <c r="C337" s="140"/>
      <c r="D337" s="140"/>
      <c r="E337" s="140"/>
      <c r="F337" s="140"/>
      <c r="G337" s="140"/>
      <c r="H337" s="141">
        <v>17913.88</v>
      </c>
      <c r="I337" s="142"/>
      <c r="J337" s="141">
        <v>125312.84</v>
      </c>
      <c r="K337" s="142"/>
    </row>
    <row r="339" spans="1:11" ht="16.5" x14ac:dyDescent="0.25">
      <c r="A339" s="144" t="s">
        <v>1378</v>
      </c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</row>
    <row r="340" spans="1:11" ht="56" x14ac:dyDescent="0.25">
      <c r="A340" s="10">
        <v>33</v>
      </c>
      <c r="B340" s="10" t="s">
        <v>1379</v>
      </c>
      <c r="C340" s="10" t="s">
        <v>1127</v>
      </c>
      <c r="D340" s="12" t="s">
        <v>838</v>
      </c>
      <c r="E340" s="11">
        <v>4.258</v>
      </c>
      <c r="F340" s="14"/>
      <c r="G340" s="13"/>
      <c r="H340" s="11"/>
      <c r="I340" s="14"/>
      <c r="J340" s="11"/>
      <c r="K340" s="14"/>
    </row>
    <row r="341" spans="1:11" x14ac:dyDescent="0.25">
      <c r="C341" s="23" t="s">
        <v>1380</v>
      </c>
    </row>
    <row r="342" spans="1:11" ht="14.5" x14ac:dyDescent="0.25">
      <c r="A342" s="10"/>
      <c r="B342" s="10"/>
      <c r="C342" s="10" t="s">
        <v>256</v>
      </c>
      <c r="D342" s="12"/>
      <c r="E342" s="11"/>
      <c r="F342" s="14">
        <v>361</v>
      </c>
      <c r="G342" s="13" t="s">
        <v>460</v>
      </c>
      <c r="H342" s="11">
        <v>1</v>
      </c>
      <c r="I342" s="14">
        <v>2121.25</v>
      </c>
      <c r="J342" s="11">
        <v>57.05</v>
      </c>
      <c r="K342" s="14">
        <v>121017.31</v>
      </c>
    </row>
    <row r="343" spans="1:11" ht="14.5" x14ac:dyDescent="0.25">
      <c r="A343" s="10"/>
      <c r="B343" s="10"/>
      <c r="C343" s="10" t="s">
        <v>257</v>
      </c>
      <c r="D343" s="12"/>
      <c r="E343" s="11"/>
      <c r="F343" s="14">
        <v>6.21</v>
      </c>
      <c r="G343" s="13" t="s">
        <v>461</v>
      </c>
      <c r="H343" s="11">
        <v>1</v>
      </c>
      <c r="I343" s="14">
        <v>39.659999999999997</v>
      </c>
      <c r="J343" s="11">
        <v>17.2</v>
      </c>
      <c r="K343" s="14">
        <v>682.15</v>
      </c>
    </row>
    <row r="344" spans="1:11" ht="14.5" x14ac:dyDescent="0.25">
      <c r="A344" s="10"/>
      <c r="B344" s="10"/>
      <c r="C344" s="10" t="s">
        <v>258</v>
      </c>
      <c r="D344" s="12"/>
      <c r="E344" s="11"/>
      <c r="F344" s="14">
        <v>0.88</v>
      </c>
      <c r="G344" s="13" t="s">
        <v>461</v>
      </c>
      <c r="H344" s="11">
        <v>1</v>
      </c>
      <c r="I344" s="16">
        <v>5.62</v>
      </c>
      <c r="J344" s="11">
        <v>57.05</v>
      </c>
      <c r="K344" s="16">
        <v>320.62</v>
      </c>
    </row>
    <row r="345" spans="1:11" ht="14.5" x14ac:dyDescent="0.25">
      <c r="A345" s="10"/>
      <c r="B345" s="10"/>
      <c r="C345" s="10" t="s">
        <v>259</v>
      </c>
      <c r="D345" s="12"/>
      <c r="E345" s="11"/>
      <c r="F345" s="14">
        <v>41.9</v>
      </c>
      <c r="G345" s="13"/>
      <c r="H345" s="11">
        <v>1</v>
      </c>
      <c r="I345" s="14">
        <v>178.41</v>
      </c>
      <c r="J345" s="11">
        <v>2.0699999999999998</v>
      </c>
      <c r="K345" s="14">
        <v>369.31</v>
      </c>
    </row>
    <row r="346" spans="1:11" ht="112" x14ac:dyDescent="0.25">
      <c r="A346" s="10" t="s">
        <v>761</v>
      </c>
      <c r="B346" s="10" t="s">
        <v>1381</v>
      </c>
      <c r="C346" s="10" t="s">
        <v>1128</v>
      </c>
      <c r="D346" s="12" t="s">
        <v>28</v>
      </c>
      <c r="E346" s="11">
        <v>9.5463999999999993E-2</v>
      </c>
      <c r="F346" s="14">
        <v>26842.89</v>
      </c>
      <c r="G346" s="15" t="s">
        <v>1</v>
      </c>
      <c r="H346" s="11">
        <v>1</v>
      </c>
      <c r="I346" s="14">
        <v>2562.5300000000002</v>
      </c>
      <c r="J346" s="11">
        <v>8.9700000000000006</v>
      </c>
      <c r="K346" s="14">
        <v>22985.89</v>
      </c>
    </row>
    <row r="347" spans="1:11" ht="70" x14ac:dyDescent="0.25">
      <c r="A347" s="10" t="s">
        <v>1129</v>
      </c>
      <c r="B347" s="10" t="s">
        <v>1382</v>
      </c>
      <c r="C347" s="10" t="s">
        <v>1130</v>
      </c>
      <c r="D347" s="12" t="s">
        <v>9</v>
      </c>
      <c r="E347" s="11">
        <v>120.9272</v>
      </c>
      <c r="F347" s="14">
        <v>17.649999999999999</v>
      </c>
      <c r="G347" s="15" t="s">
        <v>1</v>
      </c>
      <c r="H347" s="11">
        <v>1</v>
      </c>
      <c r="I347" s="14">
        <v>2134.37</v>
      </c>
      <c r="J347" s="11">
        <v>5.44</v>
      </c>
      <c r="K347" s="14">
        <v>11610.97</v>
      </c>
    </row>
    <row r="348" spans="1:11" ht="98" x14ac:dyDescent="0.25">
      <c r="A348" s="10" t="s">
        <v>1131</v>
      </c>
      <c r="B348" s="10" t="s">
        <v>1383</v>
      </c>
      <c r="C348" s="10" t="s">
        <v>1132</v>
      </c>
      <c r="D348" s="12" t="s">
        <v>9</v>
      </c>
      <c r="E348" s="11">
        <v>330.08015999999998</v>
      </c>
      <c r="F348" s="14">
        <v>24.86</v>
      </c>
      <c r="G348" s="15" t="s">
        <v>1</v>
      </c>
      <c r="H348" s="11">
        <v>1</v>
      </c>
      <c r="I348" s="14">
        <v>8205.7900000000009</v>
      </c>
      <c r="J348" s="11">
        <v>2.96</v>
      </c>
      <c r="K348" s="14">
        <v>24289.14</v>
      </c>
    </row>
    <row r="349" spans="1:11" ht="14.5" x14ac:dyDescent="0.25">
      <c r="A349" s="10"/>
      <c r="B349" s="10"/>
      <c r="C349" s="10" t="s">
        <v>260</v>
      </c>
      <c r="D349" s="12" t="s">
        <v>261</v>
      </c>
      <c r="E349" s="11">
        <v>90</v>
      </c>
      <c r="F349" s="14"/>
      <c r="G349" s="13"/>
      <c r="H349" s="11"/>
      <c r="I349" s="14">
        <v>1914.18</v>
      </c>
      <c r="J349" s="11">
        <v>90</v>
      </c>
      <c r="K349" s="14">
        <v>109204.14</v>
      </c>
    </row>
    <row r="350" spans="1:11" ht="14.5" x14ac:dyDescent="0.25">
      <c r="A350" s="10"/>
      <c r="B350" s="10"/>
      <c r="C350" s="10" t="s">
        <v>262</v>
      </c>
      <c r="D350" s="12" t="s">
        <v>261</v>
      </c>
      <c r="E350" s="11">
        <v>42</v>
      </c>
      <c r="F350" s="14"/>
      <c r="G350" s="13"/>
      <c r="H350" s="11"/>
      <c r="I350" s="14">
        <v>893.29</v>
      </c>
      <c r="J350" s="11">
        <v>42</v>
      </c>
      <c r="K350" s="14">
        <v>50961.93</v>
      </c>
    </row>
    <row r="351" spans="1:11" ht="14.5" x14ac:dyDescent="0.25">
      <c r="A351" s="17"/>
      <c r="B351" s="17"/>
      <c r="C351" s="17" t="s">
        <v>263</v>
      </c>
      <c r="D351" s="18" t="s">
        <v>264</v>
      </c>
      <c r="E351" s="19">
        <v>23.34</v>
      </c>
      <c r="F351" s="20"/>
      <c r="G351" s="37" t="s">
        <v>460</v>
      </c>
      <c r="H351" s="19">
        <v>1</v>
      </c>
      <c r="I351" s="20">
        <v>137.15</v>
      </c>
      <c r="J351" s="19"/>
      <c r="K351" s="20"/>
    </row>
    <row r="352" spans="1:11" ht="14" x14ac:dyDescent="0.25">
      <c r="C352" s="22" t="s">
        <v>265</v>
      </c>
      <c r="H352" s="143">
        <v>18049.48</v>
      </c>
      <c r="I352" s="143"/>
      <c r="J352" s="143">
        <v>341120.84</v>
      </c>
      <c r="K352" s="143"/>
    </row>
    <row r="353" spans="1:11" ht="14" x14ac:dyDescent="0.25">
      <c r="C353" s="22" t="s">
        <v>267</v>
      </c>
      <c r="H353" s="141">
        <v>18049.48</v>
      </c>
      <c r="I353" s="141"/>
      <c r="J353" s="141">
        <v>341120.84</v>
      </c>
      <c r="K353" s="141"/>
    </row>
    <row r="355" spans="1:11" ht="70" x14ac:dyDescent="0.25">
      <c r="A355" s="10">
        <v>34</v>
      </c>
      <c r="B355" s="10" t="s">
        <v>1384</v>
      </c>
      <c r="C355" s="10" t="s">
        <v>1133</v>
      </c>
      <c r="D355" s="12" t="s">
        <v>838</v>
      </c>
      <c r="E355" s="11">
        <v>0.19</v>
      </c>
      <c r="F355" s="14"/>
      <c r="G355" s="13"/>
      <c r="H355" s="11"/>
      <c r="I355" s="14"/>
      <c r="J355" s="11"/>
      <c r="K355" s="14"/>
    </row>
    <row r="356" spans="1:11" x14ac:dyDescent="0.25">
      <c r="C356" s="23" t="s">
        <v>1385</v>
      </c>
    </row>
    <row r="357" spans="1:11" ht="14.5" x14ac:dyDescent="0.25">
      <c r="A357" s="10"/>
      <c r="B357" s="10"/>
      <c r="C357" s="10" t="s">
        <v>256</v>
      </c>
      <c r="D357" s="12"/>
      <c r="E357" s="11"/>
      <c r="F357" s="14">
        <v>1430.4</v>
      </c>
      <c r="G357" s="13" t="s">
        <v>460</v>
      </c>
      <c r="H357" s="11">
        <v>1</v>
      </c>
      <c r="I357" s="14">
        <v>375.05</v>
      </c>
      <c r="J357" s="11">
        <v>57.05</v>
      </c>
      <c r="K357" s="14">
        <v>21396.6</v>
      </c>
    </row>
    <row r="358" spans="1:11" ht="14.5" x14ac:dyDescent="0.25">
      <c r="A358" s="10"/>
      <c r="B358" s="10"/>
      <c r="C358" s="10" t="s">
        <v>257</v>
      </c>
      <c r="D358" s="12"/>
      <c r="E358" s="11"/>
      <c r="F358" s="14">
        <v>68.75</v>
      </c>
      <c r="G358" s="13" t="s">
        <v>461</v>
      </c>
      <c r="H358" s="11">
        <v>1</v>
      </c>
      <c r="I358" s="14">
        <v>19.59</v>
      </c>
      <c r="J358" s="11">
        <v>15.49</v>
      </c>
      <c r="K358" s="14">
        <v>303.45</v>
      </c>
    </row>
    <row r="359" spans="1:11" ht="14.5" x14ac:dyDescent="0.25">
      <c r="A359" s="10"/>
      <c r="B359" s="10"/>
      <c r="C359" s="10" t="s">
        <v>258</v>
      </c>
      <c r="D359" s="12"/>
      <c r="E359" s="11"/>
      <c r="F359" s="14">
        <v>6.89</v>
      </c>
      <c r="G359" s="13" t="s">
        <v>461</v>
      </c>
      <c r="H359" s="11">
        <v>1</v>
      </c>
      <c r="I359" s="16">
        <v>1.96</v>
      </c>
      <c r="J359" s="11">
        <v>57.05</v>
      </c>
      <c r="K359" s="16">
        <v>111.82</v>
      </c>
    </row>
    <row r="360" spans="1:11" ht="14.5" x14ac:dyDescent="0.25">
      <c r="A360" s="10"/>
      <c r="B360" s="10"/>
      <c r="C360" s="10" t="s">
        <v>259</v>
      </c>
      <c r="D360" s="12"/>
      <c r="E360" s="11"/>
      <c r="F360" s="14">
        <v>7822.06</v>
      </c>
      <c r="G360" s="13"/>
      <c r="H360" s="11">
        <v>1</v>
      </c>
      <c r="I360" s="14">
        <v>1486.19</v>
      </c>
      <c r="J360" s="11">
        <v>3.73</v>
      </c>
      <c r="K360" s="14">
        <v>5543.49</v>
      </c>
    </row>
    <row r="361" spans="1:11" ht="112" x14ac:dyDescent="0.25">
      <c r="A361" s="10" t="s">
        <v>765</v>
      </c>
      <c r="B361" s="10" t="s">
        <v>1386</v>
      </c>
      <c r="C361" s="10" t="s">
        <v>1134</v>
      </c>
      <c r="D361" s="12" t="s">
        <v>52</v>
      </c>
      <c r="E361" s="11">
        <v>17.670000000000002</v>
      </c>
      <c r="F361" s="14">
        <v>1.35</v>
      </c>
      <c r="G361" s="15" t="s">
        <v>1</v>
      </c>
      <c r="H361" s="11">
        <v>1</v>
      </c>
      <c r="I361" s="14">
        <v>23.85</v>
      </c>
      <c r="J361" s="11">
        <v>12.99</v>
      </c>
      <c r="K361" s="14">
        <v>309.81</v>
      </c>
    </row>
    <row r="362" spans="1:11" ht="42" x14ac:dyDescent="0.25">
      <c r="A362" s="10" t="s">
        <v>1135</v>
      </c>
      <c r="B362" s="10" t="s">
        <v>1374</v>
      </c>
      <c r="C362" s="10" t="s">
        <v>1125</v>
      </c>
      <c r="D362" s="12" t="s">
        <v>227</v>
      </c>
      <c r="E362" s="11">
        <v>20.329999999999998</v>
      </c>
      <c r="F362" s="14">
        <v>31.39</v>
      </c>
      <c r="G362" s="15" t="s">
        <v>1</v>
      </c>
      <c r="H362" s="11">
        <v>1</v>
      </c>
      <c r="I362" s="14">
        <v>638.16</v>
      </c>
      <c r="J362" s="11">
        <v>5.03</v>
      </c>
      <c r="K362" s="14">
        <v>3209.94</v>
      </c>
    </row>
    <row r="363" spans="1:11" ht="14.5" x14ac:dyDescent="0.25">
      <c r="A363" s="10"/>
      <c r="B363" s="10"/>
      <c r="C363" s="10" t="s">
        <v>260</v>
      </c>
      <c r="D363" s="12" t="s">
        <v>261</v>
      </c>
      <c r="E363" s="11">
        <v>97</v>
      </c>
      <c r="F363" s="14"/>
      <c r="G363" s="13"/>
      <c r="H363" s="11"/>
      <c r="I363" s="14">
        <v>365.7</v>
      </c>
      <c r="J363" s="11">
        <v>97</v>
      </c>
      <c r="K363" s="14">
        <v>20863.169999999998</v>
      </c>
    </row>
    <row r="364" spans="1:11" ht="14.5" x14ac:dyDescent="0.25">
      <c r="A364" s="10"/>
      <c r="B364" s="10"/>
      <c r="C364" s="10" t="s">
        <v>262</v>
      </c>
      <c r="D364" s="12" t="s">
        <v>261</v>
      </c>
      <c r="E364" s="11">
        <v>47</v>
      </c>
      <c r="F364" s="14"/>
      <c r="G364" s="13"/>
      <c r="H364" s="11"/>
      <c r="I364" s="14">
        <v>177.19</v>
      </c>
      <c r="J364" s="11">
        <v>47</v>
      </c>
      <c r="K364" s="14">
        <v>10108.959999999999</v>
      </c>
    </row>
    <row r="365" spans="1:11" ht="14.5" x14ac:dyDescent="0.25">
      <c r="A365" s="17"/>
      <c r="B365" s="17"/>
      <c r="C365" s="17" t="s">
        <v>263</v>
      </c>
      <c r="D365" s="18" t="s">
        <v>264</v>
      </c>
      <c r="E365" s="19">
        <v>89.27</v>
      </c>
      <c r="F365" s="20"/>
      <c r="G365" s="37" t="s">
        <v>460</v>
      </c>
      <c r="H365" s="19">
        <v>1</v>
      </c>
      <c r="I365" s="20">
        <v>23.41</v>
      </c>
      <c r="J365" s="19"/>
      <c r="K365" s="20"/>
    </row>
    <row r="366" spans="1:11" ht="14" x14ac:dyDescent="0.25">
      <c r="C366" s="22" t="s">
        <v>265</v>
      </c>
      <c r="H366" s="143">
        <v>3085.73</v>
      </c>
      <c r="I366" s="143"/>
      <c r="J366" s="143">
        <v>61735.42</v>
      </c>
      <c r="K366" s="143"/>
    </row>
    <row r="367" spans="1:11" ht="14" x14ac:dyDescent="0.25">
      <c r="C367" s="22" t="s">
        <v>267</v>
      </c>
      <c r="H367" s="141">
        <v>3085.73</v>
      </c>
      <c r="I367" s="141"/>
      <c r="J367" s="141">
        <v>61735.42</v>
      </c>
      <c r="K367" s="141"/>
    </row>
    <row r="369" spans="1:11" ht="56" x14ac:dyDescent="0.25">
      <c r="A369" s="10">
        <v>35</v>
      </c>
      <c r="B369" s="10" t="s">
        <v>1379</v>
      </c>
      <c r="C369" s="10" t="s">
        <v>1127</v>
      </c>
      <c r="D369" s="12" t="s">
        <v>838</v>
      </c>
      <c r="E369" s="11">
        <v>0.19</v>
      </c>
      <c r="F369" s="14"/>
      <c r="G369" s="13"/>
      <c r="H369" s="11"/>
      <c r="I369" s="14"/>
      <c r="J369" s="11"/>
      <c r="K369" s="14"/>
    </row>
    <row r="370" spans="1:11" x14ac:dyDescent="0.25">
      <c r="C370" s="23" t="s">
        <v>1385</v>
      </c>
    </row>
    <row r="371" spans="1:11" ht="14.5" x14ac:dyDescent="0.25">
      <c r="A371" s="10"/>
      <c r="B371" s="10"/>
      <c r="C371" s="10" t="s">
        <v>256</v>
      </c>
      <c r="D371" s="12"/>
      <c r="E371" s="11"/>
      <c r="F371" s="14">
        <v>361</v>
      </c>
      <c r="G371" s="13" t="s">
        <v>460</v>
      </c>
      <c r="H371" s="11">
        <v>1</v>
      </c>
      <c r="I371" s="14">
        <v>94.65</v>
      </c>
      <c r="J371" s="11">
        <v>57.05</v>
      </c>
      <c r="K371" s="14">
        <v>5399.78</v>
      </c>
    </row>
    <row r="372" spans="1:11" ht="14.5" x14ac:dyDescent="0.25">
      <c r="A372" s="10"/>
      <c r="B372" s="10"/>
      <c r="C372" s="10" t="s">
        <v>257</v>
      </c>
      <c r="D372" s="12"/>
      <c r="E372" s="11"/>
      <c r="F372" s="14">
        <v>6.21</v>
      </c>
      <c r="G372" s="13" t="s">
        <v>461</v>
      </c>
      <c r="H372" s="11">
        <v>1</v>
      </c>
      <c r="I372" s="14">
        <v>1.77</v>
      </c>
      <c r="J372" s="11">
        <v>17.2</v>
      </c>
      <c r="K372" s="14">
        <v>30.44</v>
      </c>
    </row>
    <row r="373" spans="1:11" ht="14.5" x14ac:dyDescent="0.25">
      <c r="A373" s="10"/>
      <c r="B373" s="10"/>
      <c r="C373" s="10" t="s">
        <v>258</v>
      </c>
      <c r="D373" s="12"/>
      <c r="E373" s="11"/>
      <c r="F373" s="14">
        <v>0.88</v>
      </c>
      <c r="G373" s="13" t="s">
        <v>461</v>
      </c>
      <c r="H373" s="11">
        <v>1</v>
      </c>
      <c r="I373" s="16">
        <v>0.25</v>
      </c>
      <c r="J373" s="11">
        <v>57.05</v>
      </c>
      <c r="K373" s="16">
        <v>14.26</v>
      </c>
    </row>
    <row r="374" spans="1:11" ht="14.5" x14ac:dyDescent="0.25">
      <c r="A374" s="10"/>
      <c r="B374" s="10"/>
      <c r="C374" s="10" t="s">
        <v>259</v>
      </c>
      <c r="D374" s="12"/>
      <c r="E374" s="11"/>
      <c r="F374" s="14">
        <v>41.9</v>
      </c>
      <c r="G374" s="13"/>
      <c r="H374" s="11">
        <v>1</v>
      </c>
      <c r="I374" s="14">
        <v>7.96</v>
      </c>
      <c r="J374" s="11">
        <v>2.0699999999999998</v>
      </c>
      <c r="K374" s="14">
        <v>16.48</v>
      </c>
    </row>
    <row r="375" spans="1:11" ht="112" x14ac:dyDescent="0.25">
      <c r="A375" s="10" t="s">
        <v>769</v>
      </c>
      <c r="B375" s="10" t="s">
        <v>1381</v>
      </c>
      <c r="C375" s="10" t="s">
        <v>1128</v>
      </c>
      <c r="D375" s="12" t="s">
        <v>28</v>
      </c>
      <c r="E375" s="11">
        <v>4.2599999999999999E-3</v>
      </c>
      <c r="F375" s="14">
        <v>26842.89</v>
      </c>
      <c r="G375" s="15" t="s">
        <v>1</v>
      </c>
      <c r="H375" s="11">
        <v>1</v>
      </c>
      <c r="I375" s="14">
        <v>114.35</v>
      </c>
      <c r="J375" s="11">
        <v>8.9700000000000006</v>
      </c>
      <c r="K375" s="14">
        <v>1025.72</v>
      </c>
    </row>
    <row r="376" spans="1:11" ht="70" x14ac:dyDescent="0.25">
      <c r="A376" s="10" t="s">
        <v>939</v>
      </c>
      <c r="B376" s="10" t="s">
        <v>1382</v>
      </c>
      <c r="C376" s="10" t="s">
        <v>1130</v>
      </c>
      <c r="D376" s="12" t="s">
        <v>9</v>
      </c>
      <c r="E376" s="11">
        <v>5.3959999999999999</v>
      </c>
      <c r="F376" s="14">
        <v>17.649999999999999</v>
      </c>
      <c r="G376" s="15" t="s">
        <v>1</v>
      </c>
      <c r="H376" s="11">
        <v>1</v>
      </c>
      <c r="I376" s="14">
        <v>95.24</v>
      </c>
      <c r="J376" s="11">
        <v>5.44</v>
      </c>
      <c r="K376" s="14">
        <v>518.11</v>
      </c>
    </row>
    <row r="377" spans="1:11" ht="98" x14ac:dyDescent="0.25">
      <c r="A377" s="10" t="s">
        <v>1136</v>
      </c>
      <c r="B377" s="10" t="s">
        <v>1383</v>
      </c>
      <c r="C377" s="10" t="s">
        <v>1132</v>
      </c>
      <c r="D377" s="12" t="s">
        <v>9</v>
      </c>
      <c r="E377" s="11">
        <v>14.7288</v>
      </c>
      <c r="F377" s="14">
        <v>24.86</v>
      </c>
      <c r="G377" s="15" t="s">
        <v>1</v>
      </c>
      <c r="H377" s="11">
        <v>1</v>
      </c>
      <c r="I377" s="14">
        <v>366.16</v>
      </c>
      <c r="J377" s="11">
        <v>2.96</v>
      </c>
      <c r="K377" s="14">
        <v>1083.83</v>
      </c>
    </row>
    <row r="378" spans="1:11" ht="14.5" x14ac:dyDescent="0.25">
      <c r="A378" s="10"/>
      <c r="B378" s="10"/>
      <c r="C378" s="10" t="s">
        <v>260</v>
      </c>
      <c r="D378" s="12" t="s">
        <v>261</v>
      </c>
      <c r="E378" s="11">
        <v>90</v>
      </c>
      <c r="F378" s="14"/>
      <c r="G378" s="13"/>
      <c r="H378" s="11"/>
      <c r="I378" s="14">
        <v>85.41</v>
      </c>
      <c r="J378" s="11">
        <v>90</v>
      </c>
      <c r="K378" s="14">
        <v>4872.6400000000003</v>
      </c>
    </row>
    <row r="379" spans="1:11" ht="14.5" x14ac:dyDescent="0.25">
      <c r="A379" s="10"/>
      <c r="B379" s="10"/>
      <c r="C379" s="10" t="s">
        <v>262</v>
      </c>
      <c r="D379" s="12" t="s">
        <v>261</v>
      </c>
      <c r="E379" s="11">
        <v>42</v>
      </c>
      <c r="F379" s="14"/>
      <c r="G379" s="13"/>
      <c r="H379" s="11"/>
      <c r="I379" s="14">
        <v>39.86</v>
      </c>
      <c r="J379" s="11">
        <v>42</v>
      </c>
      <c r="K379" s="14">
        <v>2273.9</v>
      </c>
    </row>
    <row r="380" spans="1:11" ht="14.5" x14ac:dyDescent="0.25">
      <c r="A380" s="17"/>
      <c r="B380" s="17"/>
      <c r="C380" s="17" t="s">
        <v>263</v>
      </c>
      <c r="D380" s="18" t="s">
        <v>264</v>
      </c>
      <c r="E380" s="19">
        <v>23.34</v>
      </c>
      <c r="F380" s="20"/>
      <c r="G380" s="37" t="s">
        <v>460</v>
      </c>
      <c r="H380" s="19">
        <v>1</v>
      </c>
      <c r="I380" s="20">
        <v>6.12</v>
      </c>
      <c r="J380" s="19"/>
      <c r="K380" s="20"/>
    </row>
    <row r="381" spans="1:11" ht="14" x14ac:dyDescent="0.25">
      <c r="C381" s="22" t="s">
        <v>265</v>
      </c>
      <c r="H381" s="143">
        <v>805.4</v>
      </c>
      <c r="I381" s="143"/>
      <c r="J381" s="143">
        <v>15220.9</v>
      </c>
      <c r="K381" s="143"/>
    </row>
    <row r="382" spans="1:11" ht="14" x14ac:dyDescent="0.25">
      <c r="C382" s="22" t="s">
        <v>267</v>
      </c>
      <c r="H382" s="141">
        <v>805.4</v>
      </c>
      <c r="I382" s="141"/>
      <c r="J382" s="141">
        <v>15220.9</v>
      </c>
      <c r="K382" s="141"/>
    </row>
    <row r="384" spans="1:11" ht="72.5" x14ac:dyDescent="0.25">
      <c r="A384" s="10">
        <v>36</v>
      </c>
      <c r="B384" s="10" t="s">
        <v>1387</v>
      </c>
      <c r="C384" s="10" t="s">
        <v>1137</v>
      </c>
      <c r="D384" s="12" t="s">
        <v>1388</v>
      </c>
      <c r="E384" s="11">
        <v>0.8</v>
      </c>
      <c r="F384" s="14"/>
      <c r="G384" s="13"/>
      <c r="H384" s="11"/>
      <c r="I384" s="14"/>
      <c r="J384" s="11"/>
      <c r="K384" s="14"/>
    </row>
    <row r="385" spans="1:11" x14ac:dyDescent="0.25">
      <c r="C385" s="23" t="s">
        <v>1389</v>
      </c>
    </row>
    <row r="386" spans="1:11" ht="14.5" x14ac:dyDescent="0.25">
      <c r="A386" s="10"/>
      <c r="B386" s="10"/>
      <c r="C386" s="10" t="s">
        <v>256</v>
      </c>
      <c r="D386" s="12"/>
      <c r="E386" s="11"/>
      <c r="F386" s="14">
        <v>1148.33</v>
      </c>
      <c r="G386" s="13" t="s">
        <v>460</v>
      </c>
      <c r="H386" s="11">
        <v>1</v>
      </c>
      <c r="I386" s="14">
        <v>1267.76</v>
      </c>
      <c r="J386" s="11">
        <v>57.05</v>
      </c>
      <c r="K386" s="14">
        <v>72325.710000000006</v>
      </c>
    </row>
    <row r="387" spans="1:11" ht="14.5" x14ac:dyDescent="0.25">
      <c r="A387" s="10"/>
      <c r="B387" s="10"/>
      <c r="C387" s="10" t="s">
        <v>257</v>
      </c>
      <c r="D387" s="12"/>
      <c r="E387" s="11"/>
      <c r="F387" s="14">
        <v>113.19</v>
      </c>
      <c r="G387" s="13" t="s">
        <v>461</v>
      </c>
      <c r="H387" s="11">
        <v>1</v>
      </c>
      <c r="I387" s="14">
        <v>135.83000000000001</v>
      </c>
      <c r="J387" s="11">
        <v>36.64</v>
      </c>
      <c r="K387" s="14">
        <v>4976.8100000000004</v>
      </c>
    </row>
    <row r="388" spans="1:11" ht="14.5" x14ac:dyDescent="0.25">
      <c r="A388" s="10"/>
      <c r="B388" s="10"/>
      <c r="C388" s="10" t="s">
        <v>258</v>
      </c>
      <c r="D388" s="12"/>
      <c r="E388" s="11"/>
      <c r="F388" s="14">
        <v>55.94</v>
      </c>
      <c r="G388" s="13" t="s">
        <v>461</v>
      </c>
      <c r="H388" s="11">
        <v>1</v>
      </c>
      <c r="I388" s="16">
        <v>67.13</v>
      </c>
      <c r="J388" s="11">
        <v>57.05</v>
      </c>
      <c r="K388" s="16">
        <v>3829.77</v>
      </c>
    </row>
    <row r="389" spans="1:11" ht="14.5" x14ac:dyDescent="0.25">
      <c r="A389" s="10"/>
      <c r="B389" s="10"/>
      <c r="C389" s="10" t="s">
        <v>259</v>
      </c>
      <c r="D389" s="12"/>
      <c r="E389" s="11"/>
      <c r="F389" s="14">
        <v>177.71</v>
      </c>
      <c r="G389" s="13"/>
      <c r="H389" s="11">
        <v>1</v>
      </c>
      <c r="I389" s="14">
        <v>142.16999999999999</v>
      </c>
      <c r="J389" s="11">
        <v>30.45</v>
      </c>
      <c r="K389" s="14">
        <v>4329.08</v>
      </c>
    </row>
    <row r="390" spans="1:11" ht="14.5" x14ac:dyDescent="0.25">
      <c r="A390" s="10" t="s">
        <v>773</v>
      </c>
      <c r="B390" s="10" t="s">
        <v>1390</v>
      </c>
      <c r="C390" s="10" t="s">
        <v>1138</v>
      </c>
      <c r="D390" s="12" t="s">
        <v>1391</v>
      </c>
      <c r="E390" s="11">
        <v>8.4941000000000003E-2</v>
      </c>
      <c r="F390" s="14">
        <v>7.07</v>
      </c>
      <c r="G390" s="15" t="s">
        <v>1</v>
      </c>
      <c r="H390" s="11">
        <v>1</v>
      </c>
      <c r="I390" s="14">
        <v>0.6</v>
      </c>
      <c r="J390" s="11">
        <v>7.75</v>
      </c>
      <c r="K390" s="14">
        <v>4.6500000000000004</v>
      </c>
    </row>
    <row r="391" spans="1:11" ht="126" x14ac:dyDescent="0.25">
      <c r="A391" s="10" t="s">
        <v>944</v>
      </c>
      <c r="B391" s="10" t="s">
        <v>1392</v>
      </c>
      <c r="C391" s="10" t="s">
        <v>1139</v>
      </c>
      <c r="D391" s="12" t="s">
        <v>9</v>
      </c>
      <c r="E391" s="11">
        <v>485.37599999999998</v>
      </c>
      <c r="F391" s="14">
        <v>3.17</v>
      </c>
      <c r="G391" s="15" t="s">
        <v>1</v>
      </c>
      <c r="H391" s="11">
        <v>1</v>
      </c>
      <c r="I391" s="14">
        <v>1538.64</v>
      </c>
      <c r="J391" s="11">
        <v>4.2300000000000004</v>
      </c>
      <c r="K391" s="14">
        <v>6508.45</v>
      </c>
    </row>
    <row r="392" spans="1:11" ht="28" x14ac:dyDescent="0.25">
      <c r="A392" s="10" t="s">
        <v>1140</v>
      </c>
      <c r="B392" s="10" t="s">
        <v>1393</v>
      </c>
      <c r="C392" s="10" t="s">
        <v>1141</v>
      </c>
      <c r="D392" s="12" t="s">
        <v>1391</v>
      </c>
      <c r="E392" s="11">
        <v>0.20224</v>
      </c>
      <c r="F392" s="14">
        <v>470.7</v>
      </c>
      <c r="G392" s="15" t="s">
        <v>1</v>
      </c>
      <c r="H392" s="11">
        <v>1</v>
      </c>
      <c r="I392" s="14">
        <v>95.19</v>
      </c>
      <c r="J392" s="11">
        <v>10.91</v>
      </c>
      <c r="K392" s="14">
        <v>1038.52</v>
      </c>
    </row>
    <row r="393" spans="1:11" ht="14.5" x14ac:dyDescent="0.25">
      <c r="A393" s="10" t="s">
        <v>1142</v>
      </c>
      <c r="B393" s="10" t="s">
        <v>1394</v>
      </c>
      <c r="C393" s="10" t="s">
        <v>1143</v>
      </c>
      <c r="D393" s="12" t="s">
        <v>1391</v>
      </c>
      <c r="E393" s="11">
        <v>1.0112000000000001</v>
      </c>
      <c r="F393" s="14">
        <v>529.41999999999996</v>
      </c>
      <c r="G393" s="15" t="s">
        <v>1</v>
      </c>
      <c r="H393" s="11">
        <v>1</v>
      </c>
      <c r="I393" s="14">
        <v>535.35</v>
      </c>
      <c r="J393" s="11">
        <v>7.49</v>
      </c>
      <c r="K393" s="14">
        <v>4009.77</v>
      </c>
    </row>
    <row r="394" spans="1:11" ht="14.5" x14ac:dyDescent="0.25">
      <c r="A394" s="10"/>
      <c r="B394" s="10"/>
      <c r="C394" s="10" t="s">
        <v>260</v>
      </c>
      <c r="D394" s="12" t="s">
        <v>261</v>
      </c>
      <c r="E394" s="11">
        <v>90</v>
      </c>
      <c r="F394" s="14"/>
      <c r="G394" s="13"/>
      <c r="H394" s="11"/>
      <c r="I394" s="14">
        <v>1201.4000000000001</v>
      </c>
      <c r="J394" s="11">
        <v>90</v>
      </c>
      <c r="K394" s="14">
        <v>68539.929999999993</v>
      </c>
    </row>
    <row r="395" spans="1:11" ht="14.5" x14ac:dyDescent="0.25">
      <c r="A395" s="10"/>
      <c r="B395" s="10"/>
      <c r="C395" s="10" t="s">
        <v>262</v>
      </c>
      <c r="D395" s="12" t="s">
        <v>261</v>
      </c>
      <c r="E395" s="11">
        <v>42</v>
      </c>
      <c r="F395" s="14"/>
      <c r="G395" s="13"/>
      <c r="H395" s="11"/>
      <c r="I395" s="14">
        <v>560.65</v>
      </c>
      <c r="J395" s="11">
        <v>42</v>
      </c>
      <c r="K395" s="14">
        <v>31985.3</v>
      </c>
    </row>
    <row r="396" spans="1:11" ht="14.5" x14ac:dyDescent="0.25">
      <c r="A396" s="17"/>
      <c r="B396" s="17"/>
      <c r="C396" s="17" t="s">
        <v>263</v>
      </c>
      <c r="D396" s="18" t="s">
        <v>264</v>
      </c>
      <c r="E396" s="19">
        <v>64</v>
      </c>
      <c r="F396" s="20"/>
      <c r="G396" s="37" t="s">
        <v>460</v>
      </c>
      <c r="H396" s="19">
        <v>1</v>
      </c>
      <c r="I396" s="20">
        <v>70.66</v>
      </c>
      <c r="J396" s="19"/>
      <c r="K396" s="20"/>
    </row>
    <row r="397" spans="1:11" ht="14" x14ac:dyDescent="0.25">
      <c r="C397" s="22" t="s">
        <v>265</v>
      </c>
      <c r="H397" s="143">
        <v>5477.59</v>
      </c>
      <c r="I397" s="143"/>
      <c r="J397" s="143">
        <v>193718.22</v>
      </c>
      <c r="K397" s="143"/>
    </row>
    <row r="398" spans="1:11" ht="14" x14ac:dyDescent="0.25">
      <c r="C398" s="22" t="s">
        <v>267</v>
      </c>
      <c r="H398" s="141">
        <v>5477.59</v>
      </c>
      <c r="I398" s="141"/>
      <c r="J398" s="141">
        <v>193718.22</v>
      </c>
      <c r="K398" s="141"/>
    </row>
    <row r="400" spans="1:11" ht="70" x14ac:dyDescent="0.25">
      <c r="A400" s="10">
        <v>37</v>
      </c>
      <c r="B400" s="10" t="s">
        <v>1395</v>
      </c>
      <c r="C400" s="10" t="s">
        <v>1144</v>
      </c>
      <c r="D400" s="12" t="s">
        <v>838</v>
      </c>
      <c r="E400" s="11">
        <v>0.18</v>
      </c>
      <c r="F400" s="14"/>
      <c r="G400" s="13"/>
      <c r="H400" s="11"/>
      <c r="I400" s="14"/>
      <c r="J400" s="11"/>
      <c r="K400" s="14"/>
    </row>
    <row r="401" spans="1:11" x14ac:dyDescent="0.25">
      <c r="C401" s="23" t="s">
        <v>1396</v>
      </c>
    </row>
    <row r="402" spans="1:11" ht="14.5" x14ac:dyDescent="0.25">
      <c r="A402" s="10"/>
      <c r="B402" s="10"/>
      <c r="C402" s="10" t="s">
        <v>256</v>
      </c>
      <c r="D402" s="12"/>
      <c r="E402" s="11"/>
      <c r="F402" s="14">
        <v>2904.62</v>
      </c>
      <c r="G402" s="13" t="s">
        <v>460</v>
      </c>
      <c r="H402" s="11">
        <v>1</v>
      </c>
      <c r="I402" s="14">
        <v>721.51</v>
      </c>
      <c r="J402" s="11">
        <v>57.05</v>
      </c>
      <c r="K402" s="14">
        <v>41162.15</v>
      </c>
    </row>
    <row r="403" spans="1:11" ht="14.5" x14ac:dyDescent="0.25">
      <c r="A403" s="10"/>
      <c r="B403" s="10"/>
      <c r="C403" s="10" t="s">
        <v>257</v>
      </c>
      <c r="D403" s="12"/>
      <c r="E403" s="11"/>
      <c r="F403" s="14">
        <v>67.52</v>
      </c>
      <c r="G403" s="13" t="s">
        <v>461</v>
      </c>
      <c r="H403" s="11">
        <v>1</v>
      </c>
      <c r="I403" s="14">
        <v>18.23</v>
      </c>
      <c r="J403" s="11">
        <v>44.32</v>
      </c>
      <c r="K403" s="14">
        <v>807.95</v>
      </c>
    </row>
    <row r="404" spans="1:11" ht="14.5" x14ac:dyDescent="0.25">
      <c r="A404" s="10"/>
      <c r="B404" s="10"/>
      <c r="C404" s="10" t="s">
        <v>258</v>
      </c>
      <c r="D404" s="12"/>
      <c r="E404" s="11"/>
      <c r="F404" s="14">
        <v>44.04</v>
      </c>
      <c r="G404" s="13" t="s">
        <v>461</v>
      </c>
      <c r="H404" s="11">
        <v>1</v>
      </c>
      <c r="I404" s="16">
        <v>11.89</v>
      </c>
      <c r="J404" s="11">
        <v>57.05</v>
      </c>
      <c r="K404" s="16">
        <v>678.32</v>
      </c>
    </row>
    <row r="405" spans="1:11" ht="14.5" x14ac:dyDescent="0.25">
      <c r="A405" s="10"/>
      <c r="B405" s="10"/>
      <c r="C405" s="10" t="s">
        <v>259</v>
      </c>
      <c r="D405" s="12"/>
      <c r="E405" s="11"/>
      <c r="F405" s="14">
        <v>689.89</v>
      </c>
      <c r="G405" s="13"/>
      <c r="H405" s="11">
        <v>1</v>
      </c>
      <c r="I405" s="14">
        <v>124.18</v>
      </c>
      <c r="J405" s="11">
        <v>10.95</v>
      </c>
      <c r="K405" s="14">
        <v>1359.77</v>
      </c>
    </row>
    <row r="406" spans="1:11" ht="28" x14ac:dyDescent="0.25">
      <c r="A406" s="10" t="s">
        <v>47</v>
      </c>
      <c r="B406" s="10" t="s">
        <v>1397</v>
      </c>
      <c r="C406" s="10" t="s">
        <v>1145</v>
      </c>
      <c r="D406" s="12" t="s">
        <v>34</v>
      </c>
      <c r="E406" s="11">
        <v>2</v>
      </c>
      <c r="F406" s="14">
        <v>7.17</v>
      </c>
      <c r="G406" s="15" t="s">
        <v>1</v>
      </c>
      <c r="H406" s="11">
        <v>1</v>
      </c>
      <c r="I406" s="14">
        <v>14.34</v>
      </c>
      <c r="J406" s="11">
        <v>9.98</v>
      </c>
      <c r="K406" s="14">
        <v>143.11000000000001</v>
      </c>
    </row>
    <row r="407" spans="1:11" ht="98" x14ac:dyDescent="0.25">
      <c r="A407" s="10" t="s">
        <v>48</v>
      </c>
      <c r="B407" s="10" t="s">
        <v>1398</v>
      </c>
      <c r="C407" s="10" t="s">
        <v>1146</v>
      </c>
      <c r="D407" s="12" t="s">
        <v>28</v>
      </c>
      <c r="E407" s="11">
        <v>8.9999999999999993E-3</v>
      </c>
      <c r="F407" s="14">
        <v>5978.05</v>
      </c>
      <c r="G407" s="15" t="s">
        <v>1</v>
      </c>
      <c r="H407" s="11">
        <v>1</v>
      </c>
      <c r="I407" s="14">
        <v>53.8</v>
      </c>
      <c r="J407" s="11">
        <v>16.07</v>
      </c>
      <c r="K407" s="14">
        <v>864.57</v>
      </c>
    </row>
    <row r="408" spans="1:11" ht="70" x14ac:dyDescent="0.25">
      <c r="A408" s="10" t="s">
        <v>1147</v>
      </c>
      <c r="B408" s="10" t="s">
        <v>1399</v>
      </c>
      <c r="C408" s="10" t="s">
        <v>1148</v>
      </c>
      <c r="D408" s="12" t="s">
        <v>227</v>
      </c>
      <c r="E408" s="11">
        <v>19.62</v>
      </c>
      <c r="F408" s="14">
        <v>186.36</v>
      </c>
      <c r="G408" s="15" t="s">
        <v>1</v>
      </c>
      <c r="H408" s="11">
        <v>1</v>
      </c>
      <c r="I408" s="14">
        <v>3656.38</v>
      </c>
      <c r="J408" s="11">
        <v>7.41</v>
      </c>
      <c r="K408" s="14">
        <v>27093.78</v>
      </c>
    </row>
    <row r="409" spans="1:11" ht="14.5" x14ac:dyDescent="0.25">
      <c r="A409" s="10"/>
      <c r="B409" s="10"/>
      <c r="C409" s="10" t="s">
        <v>260</v>
      </c>
      <c r="D409" s="12" t="s">
        <v>261</v>
      </c>
      <c r="E409" s="11">
        <v>90</v>
      </c>
      <c r="F409" s="14"/>
      <c r="G409" s="13"/>
      <c r="H409" s="11"/>
      <c r="I409" s="14">
        <v>660.06</v>
      </c>
      <c r="J409" s="11">
        <v>90</v>
      </c>
      <c r="K409" s="14">
        <v>37656.42</v>
      </c>
    </row>
    <row r="410" spans="1:11" ht="14.5" x14ac:dyDescent="0.25">
      <c r="A410" s="10"/>
      <c r="B410" s="10"/>
      <c r="C410" s="10" t="s">
        <v>262</v>
      </c>
      <c r="D410" s="12" t="s">
        <v>261</v>
      </c>
      <c r="E410" s="11">
        <v>42</v>
      </c>
      <c r="F410" s="14"/>
      <c r="G410" s="13"/>
      <c r="H410" s="11"/>
      <c r="I410" s="14">
        <v>308.02999999999997</v>
      </c>
      <c r="J410" s="11">
        <v>42</v>
      </c>
      <c r="K410" s="14">
        <v>17573</v>
      </c>
    </row>
    <row r="411" spans="1:11" ht="14.5" x14ac:dyDescent="0.25">
      <c r="A411" s="17"/>
      <c r="B411" s="17"/>
      <c r="C411" s="17" t="s">
        <v>263</v>
      </c>
      <c r="D411" s="18" t="s">
        <v>264</v>
      </c>
      <c r="E411" s="19">
        <v>179.19</v>
      </c>
      <c r="F411" s="20"/>
      <c r="G411" s="37" t="s">
        <v>460</v>
      </c>
      <c r="H411" s="19">
        <v>1</v>
      </c>
      <c r="I411" s="20">
        <v>44.51</v>
      </c>
      <c r="J411" s="19"/>
      <c r="K411" s="20"/>
    </row>
    <row r="412" spans="1:11" ht="14" x14ac:dyDescent="0.25">
      <c r="C412" s="22" t="s">
        <v>265</v>
      </c>
      <c r="H412" s="143">
        <v>5556.53</v>
      </c>
      <c r="I412" s="143"/>
      <c r="J412" s="143">
        <v>126660.75</v>
      </c>
      <c r="K412" s="143"/>
    </row>
    <row r="413" spans="1:11" ht="14" x14ac:dyDescent="0.25">
      <c r="C413" s="22" t="s">
        <v>267</v>
      </c>
      <c r="H413" s="141">
        <v>5556.53</v>
      </c>
      <c r="I413" s="141"/>
      <c r="J413" s="141">
        <v>126660.75</v>
      </c>
      <c r="K413" s="141"/>
    </row>
    <row r="415" spans="1:11" ht="70" x14ac:dyDescent="0.25">
      <c r="A415" s="10">
        <v>38</v>
      </c>
      <c r="B415" s="10" t="s">
        <v>1395</v>
      </c>
      <c r="C415" s="10" t="s">
        <v>1144</v>
      </c>
      <c r="D415" s="12" t="s">
        <v>838</v>
      </c>
      <c r="E415" s="11">
        <v>0.1</v>
      </c>
      <c r="F415" s="14"/>
      <c r="G415" s="13"/>
      <c r="H415" s="11"/>
      <c r="I415" s="14"/>
      <c r="J415" s="11"/>
      <c r="K415" s="14"/>
    </row>
    <row r="416" spans="1:11" x14ac:dyDescent="0.25">
      <c r="C416" s="23" t="s">
        <v>817</v>
      </c>
    </row>
    <row r="417" spans="1:11" ht="14.5" x14ac:dyDescent="0.25">
      <c r="A417" s="10"/>
      <c r="B417" s="10"/>
      <c r="C417" s="10" t="s">
        <v>256</v>
      </c>
      <c r="D417" s="12"/>
      <c r="E417" s="11"/>
      <c r="F417" s="14">
        <v>2904.62</v>
      </c>
      <c r="G417" s="13" t="s">
        <v>460</v>
      </c>
      <c r="H417" s="11">
        <v>1</v>
      </c>
      <c r="I417" s="14">
        <v>400.84</v>
      </c>
      <c r="J417" s="11">
        <v>57.05</v>
      </c>
      <c r="K417" s="14">
        <v>22867.919999999998</v>
      </c>
    </row>
    <row r="418" spans="1:11" ht="14.5" x14ac:dyDescent="0.25">
      <c r="A418" s="10"/>
      <c r="B418" s="10"/>
      <c r="C418" s="10" t="s">
        <v>257</v>
      </c>
      <c r="D418" s="12"/>
      <c r="E418" s="11"/>
      <c r="F418" s="14">
        <v>67.52</v>
      </c>
      <c r="G418" s="13" t="s">
        <v>461</v>
      </c>
      <c r="H418" s="11">
        <v>1</v>
      </c>
      <c r="I418" s="14">
        <v>10.130000000000001</v>
      </c>
      <c r="J418" s="11">
        <v>44.32</v>
      </c>
      <c r="K418" s="14">
        <v>448.96</v>
      </c>
    </row>
    <row r="419" spans="1:11" ht="14.5" x14ac:dyDescent="0.25">
      <c r="A419" s="10"/>
      <c r="B419" s="10"/>
      <c r="C419" s="10" t="s">
        <v>258</v>
      </c>
      <c r="D419" s="12"/>
      <c r="E419" s="11"/>
      <c r="F419" s="14">
        <v>44.04</v>
      </c>
      <c r="G419" s="13" t="s">
        <v>461</v>
      </c>
      <c r="H419" s="11">
        <v>1</v>
      </c>
      <c r="I419" s="16">
        <v>6.61</v>
      </c>
      <c r="J419" s="11">
        <v>57.05</v>
      </c>
      <c r="K419" s="16">
        <v>377.1</v>
      </c>
    </row>
    <row r="420" spans="1:11" ht="14.5" x14ac:dyDescent="0.25">
      <c r="A420" s="10"/>
      <c r="B420" s="10"/>
      <c r="C420" s="10" t="s">
        <v>259</v>
      </c>
      <c r="D420" s="12"/>
      <c r="E420" s="11"/>
      <c r="F420" s="14">
        <v>689.89</v>
      </c>
      <c r="G420" s="13"/>
      <c r="H420" s="11">
        <v>1</v>
      </c>
      <c r="I420" s="14">
        <v>68.989999999999995</v>
      </c>
      <c r="J420" s="11">
        <v>10.95</v>
      </c>
      <c r="K420" s="14">
        <v>755.44</v>
      </c>
    </row>
    <row r="421" spans="1:11" ht="28" x14ac:dyDescent="0.25">
      <c r="A421" s="10" t="s">
        <v>1149</v>
      </c>
      <c r="B421" s="10" t="s">
        <v>1397</v>
      </c>
      <c r="C421" s="10" t="s">
        <v>1145</v>
      </c>
      <c r="D421" s="12" t="s">
        <v>34</v>
      </c>
      <c r="E421" s="11">
        <v>1.111111</v>
      </c>
      <c r="F421" s="14">
        <v>7.17</v>
      </c>
      <c r="G421" s="15" t="s">
        <v>1</v>
      </c>
      <c r="H421" s="11">
        <v>1</v>
      </c>
      <c r="I421" s="14">
        <v>7.97</v>
      </c>
      <c r="J421" s="11">
        <v>9.98</v>
      </c>
      <c r="K421" s="14">
        <v>79.540000000000006</v>
      </c>
    </row>
    <row r="422" spans="1:11" ht="98" x14ac:dyDescent="0.25">
      <c r="A422" s="10" t="s">
        <v>1150</v>
      </c>
      <c r="B422" s="10" t="s">
        <v>1398</v>
      </c>
      <c r="C422" s="10" t="s">
        <v>1146</v>
      </c>
      <c r="D422" s="12" t="s">
        <v>28</v>
      </c>
      <c r="E422" s="11">
        <v>5.0000000000000001E-3</v>
      </c>
      <c r="F422" s="14">
        <v>5978.05</v>
      </c>
      <c r="G422" s="15" t="s">
        <v>1</v>
      </c>
      <c r="H422" s="11">
        <v>1</v>
      </c>
      <c r="I422" s="14">
        <v>29.89</v>
      </c>
      <c r="J422" s="11">
        <v>16.07</v>
      </c>
      <c r="K422" s="14">
        <v>480.33</v>
      </c>
    </row>
    <row r="423" spans="1:11" ht="70" x14ac:dyDescent="0.25">
      <c r="A423" s="10" t="s">
        <v>1151</v>
      </c>
      <c r="B423" s="10" t="s">
        <v>1399</v>
      </c>
      <c r="C423" s="10" t="s">
        <v>1519</v>
      </c>
      <c r="D423" s="12" t="s">
        <v>227</v>
      </c>
      <c r="E423" s="11">
        <v>10.9</v>
      </c>
      <c r="F423" s="14">
        <v>186.36</v>
      </c>
      <c r="G423" s="15" t="s">
        <v>1</v>
      </c>
      <c r="H423" s="11">
        <v>1</v>
      </c>
      <c r="I423" s="14">
        <v>2031.32</v>
      </c>
      <c r="J423" s="11">
        <v>7.41</v>
      </c>
      <c r="K423" s="14">
        <v>15052.08</v>
      </c>
    </row>
    <row r="424" spans="1:11" ht="14.5" x14ac:dyDescent="0.25">
      <c r="A424" s="10"/>
      <c r="B424" s="10"/>
      <c r="C424" s="10" t="s">
        <v>260</v>
      </c>
      <c r="D424" s="12" t="s">
        <v>261</v>
      </c>
      <c r="E424" s="11">
        <v>90</v>
      </c>
      <c r="F424" s="14"/>
      <c r="G424" s="13"/>
      <c r="H424" s="11"/>
      <c r="I424" s="14">
        <v>366.71</v>
      </c>
      <c r="J424" s="11">
        <v>90</v>
      </c>
      <c r="K424" s="14">
        <v>20920.52</v>
      </c>
    </row>
    <row r="425" spans="1:11" ht="14.5" x14ac:dyDescent="0.25">
      <c r="A425" s="10"/>
      <c r="B425" s="10"/>
      <c r="C425" s="10" t="s">
        <v>262</v>
      </c>
      <c r="D425" s="12" t="s">
        <v>261</v>
      </c>
      <c r="E425" s="11">
        <v>42</v>
      </c>
      <c r="F425" s="14"/>
      <c r="G425" s="13"/>
      <c r="H425" s="11"/>
      <c r="I425" s="14">
        <v>171.13</v>
      </c>
      <c r="J425" s="11">
        <v>42</v>
      </c>
      <c r="K425" s="14">
        <v>9762.91</v>
      </c>
    </row>
    <row r="426" spans="1:11" ht="14.5" x14ac:dyDescent="0.25">
      <c r="A426" s="17"/>
      <c r="B426" s="17"/>
      <c r="C426" s="17" t="s">
        <v>263</v>
      </c>
      <c r="D426" s="18" t="s">
        <v>264</v>
      </c>
      <c r="E426" s="19">
        <v>179.19</v>
      </c>
      <c r="F426" s="20"/>
      <c r="G426" s="37" t="s">
        <v>460</v>
      </c>
      <c r="H426" s="19">
        <v>1</v>
      </c>
      <c r="I426" s="20">
        <v>24.73</v>
      </c>
      <c r="J426" s="19"/>
      <c r="K426" s="20"/>
    </row>
    <row r="427" spans="1:11" ht="14" x14ac:dyDescent="0.25">
      <c r="C427" s="22" t="s">
        <v>265</v>
      </c>
      <c r="H427" s="143">
        <v>3086.98</v>
      </c>
      <c r="I427" s="143"/>
      <c r="J427" s="143">
        <v>70367.7</v>
      </c>
      <c r="K427" s="143"/>
    </row>
    <row r="428" spans="1:11" ht="14" x14ac:dyDescent="0.25">
      <c r="C428" s="22" t="s">
        <v>267</v>
      </c>
      <c r="H428" s="141">
        <v>3086.98</v>
      </c>
      <c r="I428" s="141"/>
      <c r="J428" s="141">
        <v>70367.7</v>
      </c>
      <c r="K428" s="141"/>
    </row>
    <row r="430" spans="1:11" ht="70" x14ac:dyDescent="0.25">
      <c r="A430" s="10">
        <v>39</v>
      </c>
      <c r="B430" s="10" t="s">
        <v>1395</v>
      </c>
      <c r="C430" s="10" t="s">
        <v>1144</v>
      </c>
      <c r="D430" s="12" t="s">
        <v>838</v>
      </c>
      <c r="E430" s="11">
        <v>0.12</v>
      </c>
      <c r="F430" s="14"/>
      <c r="G430" s="13"/>
      <c r="H430" s="11"/>
      <c r="I430" s="14"/>
      <c r="J430" s="11"/>
      <c r="K430" s="14"/>
    </row>
    <row r="431" spans="1:11" x14ac:dyDescent="0.25">
      <c r="C431" s="23" t="s">
        <v>1400</v>
      </c>
    </row>
    <row r="432" spans="1:11" ht="14.5" x14ac:dyDescent="0.25">
      <c r="A432" s="10"/>
      <c r="B432" s="10"/>
      <c r="C432" s="10" t="s">
        <v>256</v>
      </c>
      <c r="D432" s="12"/>
      <c r="E432" s="11"/>
      <c r="F432" s="14">
        <v>2904.62</v>
      </c>
      <c r="G432" s="13" t="s">
        <v>460</v>
      </c>
      <c r="H432" s="11">
        <v>1</v>
      </c>
      <c r="I432" s="14">
        <v>481.01</v>
      </c>
      <c r="J432" s="11">
        <v>57.05</v>
      </c>
      <c r="K432" s="14">
        <v>27441.62</v>
      </c>
    </row>
    <row r="433" spans="1:11" ht="14.5" x14ac:dyDescent="0.25">
      <c r="A433" s="10"/>
      <c r="B433" s="10"/>
      <c r="C433" s="10" t="s">
        <v>257</v>
      </c>
      <c r="D433" s="12"/>
      <c r="E433" s="11"/>
      <c r="F433" s="14">
        <v>67.52</v>
      </c>
      <c r="G433" s="13" t="s">
        <v>461</v>
      </c>
      <c r="H433" s="11">
        <v>1</v>
      </c>
      <c r="I433" s="14">
        <v>12.15</v>
      </c>
      <c r="J433" s="11">
        <v>44.32</v>
      </c>
      <c r="K433" s="14">
        <v>538.49</v>
      </c>
    </row>
    <row r="434" spans="1:11" ht="14.5" x14ac:dyDescent="0.25">
      <c r="A434" s="10"/>
      <c r="B434" s="10"/>
      <c r="C434" s="10" t="s">
        <v>258</v>
      </c>
      <c r="D434" s="12"/>
      <c r="E434" s="11"/>
      <c r="F434" s="14">
        <v>44.04</v>
      </c>
      <c r="G434" s="13" t="s">
        <v>461</v>
      </c>
      <c r="H434" s="11">
        <v>1</v>
      </c>
      <c r="I434" s="16">
        <v>7.93</v>
      </c>
      <c r="J434" s="11">
        <v>57.05</v>
      </c>
      <c r="K434" s="16">
        <v>452.41</v>
      </c>
    </row>
    <row r="435" spans="1:11" ht="14.5" x14ac:dyDescent="0.25">
      <c r="A435" s="10"/>
      <c r="B435" s="10"/>
      <c r="C435" s="10" t="s">
        <v>259</v>
      </c>
      <c r="D435" s="12"/>
      <c r="E435" s="11"/>
      <c r="F435" s="14">
        <v>689.89</v>
      </c>
      <c r="G435" s="13"/>
      <c r="H435" s="11">
        <v>1</v>
      </c>
      <c r="I435" s="14">
        <v>82.79</v>
      </c>
      <c r="J435" s="11">
        <v>10.95</v>
      </c>
      <c r="K435" s="14">
        <v>906.55</v>
      </c>
    </row>
    <row r="436" spans="1:11" ht="28" x14ac:dyDescent="0.25">
      <c r="A436" s="10" t="s">
        <v>1152</v>
      </c>
      <c r="B436" s="10" t="s">
        <v>1397</v>
      </c>
      <c r="C436" s="10" t="s">
        <v>1145</v>
      </c>
      <c r="D436" s="12" t="s">
        <v>34</v>
      </c>
      <c r="E436" s="11">
        <v>1.3333330000000001</v>
      </c>
      <c r="F436" s="14">
        <v>7.17</v>
      </c>
      <c r="G436" s="15" t="s">
        <v>1</v>
      </c>
      <c r="H436" s="11">
        <v>1</v>
      </c>
      <c r="I436" s="14">
        <v>9.56</v>
      </c>
      <c r="J436" s="11">
        <v>9.98</v>
      </c>
      <c r="K436" s="14">
        <v>95.41</v>
      </c>
    </row>
    <row r="437" spans="1:11" ht="98" x14ac:dyDescent="0.25">
      <c r="A437" s="10" t="s">
        <v>1153</v>
      </c>
      <c r="B437" s="10" t="s">
        <v>1398</v>
      </c>
      <c r="C437" s="10" t="s">
        <v>1146</v>
      </c>
      <c r="D437" s="12" t="s">
        <v>28</v>
      </c>
      <c r="E437" s="11">
        <v>6.0000000000000001E-3</v>
      </c>
      <c r="F437" s="14">
        <v>5978.05</v>
      </c>
      <c r="G437" s="15" t="s">
        <v>1</v>
      </c>
      <c r="H437" s="11">
        <v>1</v>
      </c>
      <c r="I437" s="14">
        <v>35.869999999999997</v>
      </c>
      <c r="J437" s="11">
        <v>16.07</v>
      </c>
      <c r="K437" s="14">
        <v>576.42999999999995</v>
      </c>
    </row>
    <row r="438" spans="1:11" ht="70" x14ac:dyDescent="0.25">
      <c r="A438" s="10" t="s">
        <v>1154</v>
      </c>
      <c r="B438" s="10" t="s">
        <v>1399</v>
      </c>
      <c r="C438" s="10" t="s">
        <v>1520</v>
      </c>
      <c r="D438" s="12" t="s">
        <v>227</v>
      </c>
      <c r="E438" s="11">
        <v>13.08</v>
      </c>
      <c r="F438" s="14">
        <v>186.36</v>
      </c>
      <c r="G438" s="15" t="s">
        <v>1</v>
      </c>
      <c r="H438" s="11">
        <v>1</v>
      </c>
      <c r="I438" s="14">
        <v>2437.59</v>
      </c>
      <c r="J438" s="11">
        <v>7.41</v>
      </c>
      <c r="K438" s="14">
        <v>18062.54</v>
      </c>
    </row>
    <row r="439" spans="1:11" ht="14.5" x14ac:dyDescent="0.25">
      <c r="A439" s="10"/>
      <c r="B439" s="10"/>
      <c r="C439" s="10" t="s">
        <v>260</v>
      </c>
      <c r="D439" s="12" t="s">
        <v>261</v>
      </c>
      <c r="E439" s="11">
        <v>90</v>
      </c>
      <c r="F439" s="14"/>
      <c r="G439" s="13"/>
      <c r="H439" s="11"/>
      <c r="I439" s="14">
        <v>440.05</v>
      </c>
      <c r="J439" s="11">
        <v>90</v>
      </c>
      <c r="K439" s="14">
        <v>25104.63</v>
      </c>
    </row>
    <row r="440" spans="1:11" ht="14.5" x14ac:dyDescent="0.25">
      <c r="A440" s="10"/>
      <c r="B440" s="10"/>
      <c r="C440" s="10" t="s">
        <v>262</v>
      </c>
      <c r="D440" s="12" t="s">
        <v>261</v>
      </c>
      <c r="E440" s="11">
        <v>42</v>
      </c>
      <c r="F440" s="14"/>
      <c r="G440" s="13"/>
      <c r="H440" s="11"/>
      <c r="I440" s="14">
        <v>205.35</v>
      </c>
      <c r="J440" s="11">
        <v>42</v>
      </c>
      <c r="K440" s="14">
        <v>11715.49</v>
      </c>
    </row>
    <row r="441" spans="1:11" ht="14.5" x14ac:dyDescent="0.25">
      <c r="A441" s="17"/>
      <c r="B441" s="17"/>
      <c r="C441" s="17" t="s">
        <v>263</v>
      </c>
      <c r="D441" s="18" t="s">
        <v>264</v>
      </c>
      <c r="E441" s="19">
        <v>179.19</v>
      </c>
      <c r="F441" s="20"/>
      <c r="G441" s="37" t="s">
        <v>460</v>
      </c>
      <c r="H441" s="19">
        <v>1</v>
      </c>
      <c r="I441" s="20">
        <v>29.67</v>
      </c>
      <c r="J441" s="19"/>
      <c r="K441" s="20"/>
    </row>
    <row r="442" spans="1:11" ht="14" x14ac:dyDescent="0.25">
      <c r="C442" s="22" t="s">
        <v>265</v>
      </c>
      <c r="H442" s="143">
        <v>3704.37</v>
      </c>
      <c r="I442" s="143"/>
      <c r="J442" s="143">
        <v>84441.16</v>
      </c>
      <c r="K442" s="143"/>
    </row>
    <row r="443" spans="1:11" ht="14" x14ac:dyDescent="0.25">
      <c r="C443" s="22" t="s">
        <v>267</v>
      </c>
      <c r="H443" s="141">
        <v>3704.37</v>
      </c>
      <c r="I443" s="141"/>
      <c r="J443" s="141">
        <v>84441.16</v>
      </c>
      <c r="K443" s="141"/>
    </row>
    <row r="445" spans="1:11" ht="56" x14ac:dyDescent="0.25">
      <c r="A445" s="10">
        <v>40</v>
      </c>
      <c r="B445" s="10" t="s">
        <v>1401</v>
      </c>
      <c r="C445" s="10" t="s">
        <v>1155</v>
      </c>
      <c r="D445" s="12" t="s">
        <v>838</v>
      </c>
      <c r="E445" s="11">
        <v>0.44</v>
      </c>
      <c r="F445" s="14"/>
      <c r="G445" s="13"/>
      <c r="H445" s="11"/>
      <c r="I445" s="14"/>
      <c r="J445" s="11"/>
      <c r="K445" s="14"/>
    </row>
    <row r="446" spans="1:11" x14ac:dyDescent="0.25">
      <c r="C446" s="23" t="s">
        <v>1402</v>
      </c>
    </row>
    <row r="447" spans="1:11" ht="14.5" x14ac:dyDescent="0.25">
      <c r="A447" s="10"/>
      <c r="B447" s="10"/>
      <c r="C447" s="10" t="s">
        <v>256</v>
      </c>
      <c r="D447" s="12"/>
      <c r="E447" s="11"/>
      <c r="F447" s="14">
        <v>2568.42</v>
      </c>
      <c r="G447" s="13" t="s">
        <v>460</v>
      </c>
      <c r="H447" s="11">
        <v>1</v>
      </c>
      <c r="I447" s="14">
        <v>1559.54</v>
      </c>
      <c r="J447" s="11">
        <v>57.05</v>
      </c>
      <c r="K447" s="14">
        <v>88971.76</v>
      </c>
    </row>
    <row r="448" spans="1:11" ht="14.5" x14ac:dyDescent="0.25">
      <c r="A448" s="10"/>
      <c r="B448" s="10"/>
      <c r="C448" s="10" t="s">
        <v>257</v>
      </c>
      <c r="D448" s="12"/>
      <c r="E448" s="11"/>
      <c r="F448" s="14">
        <v>14.28</v>
      </c>
      <c r="G448" s="13" t="s">
        <v>461</v>
      </c>
      <c r="H448" s="11">
        <v>1</v>
      </c>
      <c r="I448" s="14">
        <v>9.42</v>
      </c>
      <c r="J448" s="11">
        <v>14.88</v>
      </c>
      <c r="K448" s="14">
        <v>140.16999999999999</v>
      </c>
    </row>
    <row r="449" spans="1:11" ht="14.5" x14ac:dyDescent="0.25">
      <c r="A449" s="10"/>
      <c r="B449" s="10"/>
      <c r="C449" s="10" t="s">
        <v>258</v>
      </c>
      <c r="D449" s="12"/>
      <c r="E449" s="11"/>
      <c r="F449" s="14">
        <v>1.1599999999999999</v>
      </c>
      <c r="G449" s="13" t="s">
        <v>461</v>
      </c>
      <c r="H449" s="11">
        <v>1</v>
      </c>
      <c r="I449" s="16">
        <v>0.77</v>
      </c>
      <c r="J449" s="11">
        <v>57.05</v>
      </c>
      <c r="K449" s="16">
        <v>43.93</v>
      </c>
    </row>
    <row r="450" spans="1:11" ht="14.5" x14ac:dyDescent="0.25">
      <c r="A450" s="10"/>
      <c r="B450" s="10"/>
      <c r="C450" s="10" t="s">
        <v>259</v>
      </c>
      <c r="D450" s="12"/>
      <c r="E450" s="11"/>
      <c r="F450" s="14">
        <v>4188.78</v>
      </c>
      <c r="G450" s="13"/>
      <c r="H450" s="11">
        <v>1</v>
      </c>
      <c r="I450" s="14">
        <v>1843.06</v>
      </c>
      <c r="J450" s="11">
        <v>27.21</v>
      </c>
      <c r="K450" s="14">
        <v>50149.66</v>
      </c>
    </row>
    <row r="451" spans="1:11" ht="98" x14ac:dyDescent="0.25">
      <c r="A451" s="10" t="s">
        <v>1005</v>
      </c>
      <c r="B451" s="10" t="s">
        <v>1398</v>
      </c>
      <c r="C451" s="10" t="s">
        <v>1146</v>
      </c>
      <c r="D451" s="12" t="s">
        <v>28</v>
      </c>
      <c r="E451" s="11">
        <v>2.1999999999999999E-2</v>
      </c>
      <c r="F451" s="14">
        <v>5978.05</v>
      </c>
      <c r="G451" s="15" t="s">
        <v>1</v>
      </c>
      <c r="H451" s="11">
        <v>1</v>
      </c>
      <c r="I451" s="14">
        <v>131.52000000000001</v>
      </c>
      <c r="J451" s="11">
        <v>16.07</v>
      </c>
      <c r="K451" s="14">
        <v>2113.5300000000002</v>
      </c>
    </row>
    <row r="452" spans="1:11" ht="56" x14ac:dyDescent="0.25">
      <c r="A452" s="10" t="s">
        <v>1007</v>
      </c>
      <c r="B452" s="10" t="s">
        <v>1403</v>
      </c>
      <c r="C452" s="10" t="s">
        <v>1156</v>
      </c>
      <c r="D452" s="12" t="s">
        <v>28</v>
      </c>
      <c r="E452" s="11">
        <v>0.16500000000000001</v>
      </c>
      <c r="F452" s="14">
        <v>1416.73</v>
      </c>
      <c r="G452" s="15" t="s">
        <v>1</v>
      </c>
      <c r="H452" s="11">
        <v>1</v>
      </c>
      <c r="I452" s="14">
        <v>233.76</v>
      </c>
      <c r="J452" s="11">
        <v>22.03</v>
      </c>
      <c r="K452" s="14">
        <v>5149.7299999999996</v>
      </c>
    </row>
    <row r="453" spans="1:11" ht="70" x14ac:dyDescent="0.25">
      <c r="A453" s="10" t="s">
        <v>1008</v>
      </c>
      <c r="B453" s="10" t="s">
        <v>1399</v>
      </c>
      <c r="C453" s="10" t="s">
        <v>1520</v>
      </c>
      <c r="D453" s="12" t="s">
        <v>227</v>
      </c>
      <c r="E453" s="11">
        <v>47.96</v>
      </c>
      <c r="F453" s="14">
        <v>186.36</v>
      </c>
      <c r="G453" s="15" t="s">
        <v>1</v>
      </c>
      <c r="H453" s="11">
        <v>1</v>
      </c>
      <c r="I453" s="14">
        <v>8937.83</v>
      </c>
      <c r="J453" s="11">
        <v>7.41</v>
      </c>
      <c r="K453" s="14">
        <v>66229.320000000007</v>
      </c>
    </row>
    <row r="454" spans="1:11" ht="14.5" x14ac:dyDescent="0.25">
      <c r="A454" s="10"/>
      <c r="B454" s="10"/>
      <c r="C454" s="10" t="s">
        <v>260</v>
      </c>
      <c r="D454" s="12" t="s">
        <v>261</v>
      </c>
      <c r="E454" s="11">
        <v>90</v>
      </c>
      <c r="F454" s="14"/>
      <c r="G454" s="13"/>
      <c r="H454" s="11"/>
      <c r="I454" s="14">
        <v>1404.28</v>
      </c>
      <c r="J454" s="11">
        <v>90</v>
      </c>
      <c r="K454" s="14">
        <v>80114.12</v>
      </c>
    </row>
    <row r="455" spans="1:11" ht="14.5" x14ac:dyDescent="0.25">
      <c r="A455" s="10"/>
      <c r="B455" s="10"/>
      <c r="C455" s="10" t="s">
        <v>262</v>
      </c>
      <c r="D455" s="12" t="s">
        <v>261</v>
      </c>
      <c r="E455" s="11">
        <v>42</v>
      </c>
      <c r="F455" s="14"/>
      <c r="G455" s="13"/>
      <c r="H455" s="11"/>
      <c r="I455" s="14">
        <v>655.33000000000004</v>
      </c>
      <c r="J455" s="11">
        <v>42</v>
      </c>
      <c r="K455" s="14">
        <v>37386.589999999997</v>
      </c>
    </row>
    <row r="456" spans="1:11" ht="14.5" x14ac:dyDescent="0.25">
      <c r="A456" s="17"/>
      <c r="B456" s="17"/>
      <c r="C456" s="17" t="s">
        <v>263</v>
      </c>
      <c r="D456" s="18" t="s">
        <v>264</v>
      </c>
      <c r="E456" s="19">
        <v>167.15</v>
      </c>
      <c r="F456" s="20"/>
      <c r="G456" s="37" t="s">
        <v>460</v>
      </c>
      <c r="H456" s="19">
        <v>1</v>
      </c>
      <c r="I456" s="20">
        <v>101.49</v>
      </c>
      <c r="J456" s="19"/>
      <c r="K456" s="20"/>
    </row>
    <row r="457" spans="1:11" ht="14" x14ac:dyDescent="0.25">
      <c r="C457" s="22" t="s">
        <v>265</v>
      </c>
      <c r="H457" s="143">
        <v>14774.74</v>
      </c>
      <c r="I457" s="143"/>
      <c r="J457" s="143">
        <v>330254.88</v>
      </c>
      <c r="K457" s="143"/>
    </row>
    <row r="458" spans="1:11" ht="14" x14ac:dyDescent="0.25">
      <c r="C458" s="22" t="s">
        <v>267</v>
      </c>
      <c r="H458" s="141">
        <v>14774.74</v>
      </c>
      <c r="I458" s="141"/>
      <c r="J458" s="141">
        <v>330254.88</v>
      </c>
      <c r="K458" s="141"/>
    </row>
    <row r="460" spans="1:11" ht="70" x14ac:dyDescent="0.25">
      <c r="A460" s="10">
        <v>41</v>
      </c>
      <c r="B460" s="10" t="s">
        <v>1401</v>
      </c>
      <c r="C460" s="10" t="s">
        <v>1157</v>
      </c>
      <c r="D460" s="12" t="s">
        <v>838</v>
      </c>
      <c r="E460" s="11">
        <v>3.2000000000000001E-2</v>
      </c>
      <c r="F460" s="14"/>
      <c r="G460" s="13"/>
      <c r="H460" s="11"/>
      <c r="I460" s="14"/>
      <c r="J460" s="11"/>
      <c r="K460" s="14"/>
    </row>
    <row r="461" spans="1:11" x14ac:dyDescent="0.25">
      <c r="C461" s="23" t="s">
        <v>1404</v>
      </c>
    </row>
    <row r="462" spans="1:11" ht="14.5" x14ac:dyDescent="0.25">
      <c r="A462" s="10"/>
      <c r="B462" s="10"/>
      <c r="C462" s="10" t="s">
        <v>256</v>
      </c>
      <c r="D462" s="12"/>
      <c r="E462" s="11"/>
      <c r="F462" s="14">
        <v>2568.42</v>
      </c>
      <c r="G462" s="13" t="s">
        <v>460</v>
      </c>
      <c r="H462" s="11">
        <v>1</v>
      </c>
      <c r="I462" s="14">
        <v>113.42</v>
      </c>
      <c r="J462" s="11">
        <v>57.05</v>
      </c>
      <c r="K462" s="14">
        <v>6470.61</v>
      </c>
    </row>
    <row r="463" spans="1:11" ht="14.5" x14ac:dyDescent="0.25">
      <c r="A463" s="10"/>
      <c r="B463" s="10"/>
      <c r="C463" s="10" t="s">
        <v>257</v>
      </c>
      <c r="D463" s="12"/>
      <c r="E463" s="11"/>
      <c r="F463" s="14">
        <v>14.28</v>
      </c>
      <c r="G463" s="13" t="s">
        <v>461</v>
      </c>
      <c r="H463" s="11">
        <v>1</v>
      </c>
      <c r="I463" s="14">
        <v>0.69</v>
      </c>
      <c r="J463" s="11">
        <v>14.88</v>
      </c>
      <c r="K463" s="14">
        <v>10.27</v>
      </c>
    </row>
    <row r="464" spans="1:11" ht="14.5" x14ac:dyDescent="0.25">
      <c r="A464" s="10"/>
      <c r="B464" s="10"/>
      <c r="C464" s="10" t="s">
        <v>258</v>
      </c>
      <c r="D464" s="12"/>
      <c r="E464" s="11"/>
      <c r="F464" s="14">
        <v>1.1599999999999999</v>
      </c>
      <c r="G464" s="13" t="s">
        <v>461</v>
      </c>
      <c r="H464" s="11">
        <v>1</v>
      </c>
      <c r="I464" s="16">
        <v>0.06</v>
      </c>
      <c r="J464" s="11">
        <v>57.05</v>
      </c>
      <c r="K464" s="16">
        <v>3.42</v>
      </c>
    </row>
    <row r="465" spans="1:11" ht="14.5" x14ac:dyDescent="0.25">
      <c r="A465" s="10"/>
      <c r="B465" s="10"/>
      <c r="C465" s="10" t="s">
        <v>259</v>
      </c>
      <c r="D465" s="12"/>
      <c r="E465" s="11"/>
      <c r="F465" s="14">
        <v>4188.78</v>
      </c>
      <c r="G465" s="13"/>
      <c r="H465" s="11">
        <v>1</v>
      </c>
      <c r="I465" s="14">
        <v>134.04</v>
      </c>
      <c r="J465" s="11">
        <v>27.21</v>
      </c>
      <c r="K465" s="14">
        <v>3647.23</v>
      </c>
    </row>
    <row r="466" spans="1:11" ht="98" x14ac:dyDescent="0.25">
      <c r="A466" s="10" t="s">
        <v>1012</v>
      </c>
      <c r="B466" s="10" t="s">
        <v>1398</v>
      </c>
      <c r="C466" s="10" t="s">
        <v>1146</v>
      </c>
      <c r="D466" s="12" t="s">
        <v>28</v>
      </c>
      <c r="E466" s="11">
        <v>1.6000000000000001E-3</v>
      </c>
      <c r="F466" s="14">
        <v>5978.05</v>
      </c>
      <c r="G466" s="15" t="s">
        <v>1</v>
      </c>
      <c r="H466" s="11">
        <v>1</v>
      </c>
      <c r="I466" s="14">
        <v>9.56</v>
      </c>
      <c r="J466" s="11">
        <v>16.07</v>
      </c>
      <c r="K466" s="14">
        <v>153.63</v>
      </c>
    </row>
    <row r="467" spans="1:11" ht="70" x14ac:dyDescent="0.25">
      <c r="A467" s="10" t="s">
        <v>1158</v>
      </c>
      <c r="B467" s="10" t="s">
        <v>1405</v>
      </c>
      <c r="C467" s="10" t="s">
        <v>1159</v>
      </c>
      <c r="D467" s="12" t="s">
        <v>28</v>
      </c>
      <c r="E467" s="11">
        <v>1.2E-2</v>
      </c>
      <c r="F467" s="14">
        <v>3366.87</v>
      </c>
      <c r="G467" s="15" t="s">
        <v>1</v>
      </c>
      <c r="H467" s="11">
        <v>1</v>
      </c>
      <c r="I467" s="14">
        <v>40.4</v>
      </c>
      <c r="J467" s="11">
        <v>16.78</v>
      </c>
      <c r="K467" s="14">
        <v>677.91</v>
      </c>
    </row>
    <row r="468" spans="1:11" ht="42" x14ac:dyDescent="0.25">
      <c r="A468" s="10" t="s">
        <v>1160</v>
      </c>
      <c r="B468" s="10" t="s">
        <v>1406</v>
      </c>
      <c r="C468" s="10" t="s">
        <v>1161</v>
      </c>
      <c r="D468" s="12" t="s">
        <v>227</v>
      </c>
      <c r="E468" s="11">
        <v>3.488</v>
      </c>
      <c r="F468" s="14">
        <v>101.94</v>
      </c>
      <c r="G468" s="15" t="s">
        <v>1</v>
      </c>
      <c r="H468" s="11">
        <v>1</v>
      </c>
      <c r="I468" s="14">
        <v>355.57</v>
      </c>
      <c r="J468" s="11">
        <v>8.5500000000000007</v>
      </c>
      <c r="K468" s="14">
        <v>3040.12</v>
      </c>
    </row>
    <row r="469" spans="1:11" ht="14.5" x14ac:dyDescent="0.25">
      <c r="A469" s="10"/>
      <c r="B469" s="10"/>
      <c r="C469" s="10" t="s">
        <v>260</v>
      </c>
      <c r="D469" s="12" t="s">
        <v>261</v>
      </c>
      <c r="E469" s="11">
        <v>90</v>
      </c>
      <c r="F469" s="14"/>
      <c r="G469" s="13"/>
      <c r="H469" s="11"/>
      <c r="I469" s="14">
        <v>102.13</v>
      </c>
      <c r="J469" s="11">
        <v>90</v>
      </c>
      <c r="K469" s="14">
        <v>5826.63</v>
      </c>
    </row>
    <row r="470" spans="1:11" ht="14.5" x14ac:dyDescent="0.25">
      <c r="A470" s="10"/>
      <c r="B470" s="10"/>
      <c r="C470" s="10" t="s">
        <v>262</v>
      </c>
      <c r="D470" s="12" t="s">
        <v>261</v>
      </c>
      <c r="E470" s="11">
        <v>42</v>
      </c>
      <c r="F470" s="14"/>
      <c r="G470" s="13"/>
      <c r="H470" s="11"/>
      <c r="I470" s="14">
        <v>47.66</v>
      </c>
      <c r="J470" s="11">
        <v>42</v>
      </c>
      <c r="K470" s="14">
        <v>2719.09</v>
      </c>
    </row>
    <row r="471" spans="1:11" ht="14.5" x14ac:dyDescent="0.25">
      <c r="A471" s="17"/>
      <c r="B471" s="17"/>
      <c r="C471" s="17" t="s">
        <v>263</v>
      </c>
      <c r="D471" s="18" t="s">
        <v>264</v>
      </c>
      <c r="E471" s="19">
        <v>167.15</v>
      </c>
      <c r="F471" s="20"/>
      <c r="G471" s="37" t="s">
        <v>460</v>
      </c>
      <c r="H471" s="19">
        <v>1</v>
      </c>
      <c r="I471" s="20">
        <v>7.38</v>
      </c>
      <c r="J471" s="19"/>
      <c r="K471" s="20"/>
    </row>
    <row r="472" spans="1:11" ht="14" x14ac:dyDescent="0.25">
      <c r="C472" s="22" t="s">
        <v>265</v>
      </c>
      <c r="H472" s="143">
        <v>803.47</v>
      </c>
      <c r="I472" s="143"/>
      <c r="J472" s="143">
        <v>22545.49</v>
      </c>
      <c r="K472" s="143"/>
    </row>
    <row r="473" spans="1:11" ht="14" x14ac:dyDescent="0.25">
      <c r="C473" s="22" t="s">
        <v>267</v>
      </c>
      <c r="H473" s="141">
        <v>803.47</v>
      </c>
      <c r="I473" s="141"/>
      <c r="J473" s="141">
        <v>22545.49</v>
      </c>
      <c r="K473" s="141"/>
    </row>
    <row r="475" spans="1:11" ht="56" x14ac:dyDescent="0.25">
      <c r="A475" s="10">
        <v>42</v>
      </c>
      <c r="B475" s="10" t="s">
        <v>1379</v>
      </c>
      <c r="C475" s="10" t="s">
        <v>1127</v>
      </c>
      <c r="D475" s="12" t="s">
        <v>838</v>
      </c>
      <c r="E475" s="11">
        <v>7.2389000000000001</v>
      </c>
      <c r="F475" s="14"/>
      <c r="G475" s="13"/>
      <c r="H475" s="11"/>
      <c r="I475" s="14"/>
      <c r="J475" s="11"/>
      <c r="K475" s="14"/>
    </row>
    <row r="476" spans="1:11" x14ac:dyDescent="0.25">
      <c r="C476" s="23" t="s">
        <v>1407</v>
      </c>
    </row>
    <row r="477" spans="1:11" ht="14.5" x14ac:dyDescent="0.25">
      <c r="A477" s="10"/>
      <c r="B477" s="10"/>
      <c r="C477" s="10" t="s">
        <v>256</v>
      </c>
      <c r="D477" s="12"/>
      <c r="E477" s="11"/>
      <c r="F477" s="14">
        <v>361</v>
      </c>
      <c r="G477" s="13" t="s">
        <v>460</v>
      </c>
      <c r="H477" s="11">
        <v>1</v>
      </c>
      <c r="I477" s="14">
        <v>3606.28</v>
      </c>
      <c r="J477" s="11">
        <v>57.05</v>
      </c>
      <c r="K477" s="14">
        <v>205738.27</v>
      </c>
    </row>
    <row r="478" spans="1:11" ht="14.5" x14ac:dyDescent="0.25">
      <c r="A478" s="10"/>
      <c r="B478" s="10"/>
      <c r="C478" s="10" t="s">
        <v>257</v>
      </c>
      <c r="D478" s="12"/>
      <c r="E478" s="11"/>
      <c r="F478" s="14">
        <v>6.21</v>
      </c>
      <c r="G478" s="13" t="s">
        <v>461</v>
      </c>
      <c r="H478" s="11">
        <v>1</v>
      </c>
      <c r="I478" s="14">
        <v>67.430000000000007</v>
      </c>
      <c r="J478" s="11">
        <v>17.2</v>
      </c>
      <c r="K478" s="14">
        <v>1159.8</v>
      </c>
    </row>
    <row r="479" spans="1:11" ht="14.5" x14ac:dyDescent="0.25">
      <c r="A479" s="10"/>
      <c r="B479" s="10"/>
      <c r="C479" s="10" t="s">
        <v>258</v>
      </c>
      <c r="D479" s="12"/>
      <c r="E479" s="11"/>
      <c r="F479" s="14">
        <v>0.88</v>
      </c>
      <c r="G479" s="13" t="s">
        <v>461</v>
      </c>
      <c r="H479" s="11">
        <v>1</v>
      </c>
      <c r="I479" s="16">
        <v>9.56</v>
      </c>
      <c r="J479" s="11">
        <v>57.05</v>
      </c>
      <c r="K479" s="16">
        <v>545.4</v>
      </c>
    </row>
    <row r="480" spans="1:11" ht="14.5" x14ac:dyDescent="0.25">
      <c r="A480" s="10"/>
      <c r="B480" s="10"/>
      <c r="C480" s="10" t="s">
        <v>259</v>
      </c>
      <c r="D480" s="12"/>
      <c r="E480" s="11"/>
      <c r="F480" s="14">
        <v>41.9</v>
      </c>
      <c r="G480" s="13"/>
      <c r="H480" s="11">
        <v>1</v>
      </c>
      <c r="I480" s="14">
        <v>303.31</v>
      </c>
      <c r="J480" s="11">
        <v>2.0699999999999998</v>
      </c>
      <c r="K480" s="14">
        <v>627.85</v>
      </c>
    </row>
    <row r="481" spans="1:11" ht="112" x14ac:dyDescent="0.25">
      <c r="A481" s="10" t="s">
        <v>1162</v>
      </c>
      <c r="B481" s="10" t="s">
        <v>1381</v>
      </c>
      <c r="C481" s="10" t="s">
        <v>1128</v>
      </c>
      <c r="D481" s="12" t="s">
        <v>28</v>
      </c>
      <c r="E481" s="11">
        <v>0.162296</v>
      </c>
      <c r="F481" s="14">
        <v>26842.89</v>
      </c>
      <c r="G481" s="15" t="s">
        <v>1</v>
      </c>
      <c r="H481" s="11">
        <v>1</v>
      </c>
      <c r="I481" s="14">
        <v>4356.49</v>
      </c>
      <c r="J481" s="11">
        <v>8.9700000000000006</v>
      </c>
      <c r="K481" s="14">
        <v>39077.72</v>
      </c>
    </row>
    <row r="482" spans="1:11" ht="70" x14ac:dyDescent="0.25">
      <c r="A482" s="10" t="s">
        <v>1163</v>
      </c>
      <c r="B482" s="10" t="s">
        <v>1382</v>
      </c>
      <c r="C482" s="10" t="s">
        <v>1130</v>
      </c>
      <c r="D482" s="12" t="s">
        <v>9</v>
      </c>
      <c r="E482" s="11">
        <v>205.58475999999999</v>
      </c>
      <c r="F482" s="14">
        <v>17.649999999999999</v>
      </c>
      <c r="G482" s="15" t="s">
        <v>1</v>
      </c>
      <c r="H482" s="11">
        <v>1</v>
      </c>
      <c r="I482" s="14">
        <v>3628.57</v>
      </c>
      <c r="J482" s="11">
        <v>5.44</v>
      </c>
      <c r="K482" s="14">
        <v>19739.419999999998</v>
      </c>
    </row>
    <row r="483" spans="1:11" ht="98" x14ac:dyDescent="0.25">
      <c r="A483" s="10" t="s">
        <v>1164</v>
      </c>
      <c r="B483" s="10" t="s">
        <v>1383</v>
      </c>
      <c r="C483" s="10" t="s">
        <v>1132</v>
      </c>
      <c r="D483" s="12" t="s">
        <v>9</v>
      </c>
      <c r="E483" s="11">
        <v>561.15952800000002</v>
      </c>
      <c r="F483" s="14">
        <v>24.86</v>
      </c>
      <c r="G483" s="15" t="s">
        <v>1</v>
      </c>
      <c r="H483" s="11">
        <v>1</v>
      </c>
      <c r="I483" s="14">
        <v>13950.43</v>
      </c>
      <c r="J483" s="11">
        <v>2.96</v>
      </c>
      <c r="K483" s="14">
        <v>41293.269999999997</v>
      </c>
    </row>
    <row r="484" spans="1:11" ht="14.5" x14ac:dyDescent="0.25">
      <c r="A484" s="10"/>
      <c r="B484" s="10"/>
      <c r="C484" s="10" t="s">
        <v>260</v>
      </c>
      <c r="D484" s="12" t="s">
        <v>261</v>
      </c>
      <c r="E484" s="11">
        <v>90</v>
      </c>
      <c r="F484" s="14"/>
      <c r="G484" s="13"/>
      <c r="H484" s="11"/>
      <c r="I484" s="14">
        <v>3254.26</v>
      </c>
      <c r="J484" s="11">
        <v>90</v>
      </c>
      <c r="K484" s="14">
        <v>185655.3</v>
      </c>
    </row>
    <row r="485" spans="1:11" ht="14.5" x14ac:dyDescent="0.25">
      <c r="A485" s="10"/>
      <c r="B485" s="10"/>
      <c r="C485" s="10" t="s">
        <v>262</v>
      </c>
      <c r="D485" s="12" t="s">
        <v>261</v>
      </c>
      <c r="E485" s="11">
        <v>42</v>
      </c>
      <c r="F485" s="14"/>
      <c r="G485" s="13"/>
      <c r="H485" s="11"/>
      <c r="I485" s="14">
        <v>1518.65</v>
      </c>
      <c r="J485" s="11">
        <v>42</v>
      </c>
      <c r="K485" s="14">
        <v>86639.14</v>
      </c>
    </row>
    <row r="486" spans="1:11" ht="14.5" x14ac:dyDescent="0.25">
      <c r="A486" s="17"/>
      <c r="B486" s="17"/>
      <c r="C486" s="17" t="s">
        <v>263</v>
      </c>
      <c r="D486" s="18" t="s">
        <v>264</v>
      </c>
      <c r="E486" s="19">
        <v>23.34</v>
      </c>
      <c r="F486" s="20"/>
      <c r="G486" s="37" t="s">
        <v>460</v>
      </c>
      <c r="H486" s="19">
        <v>1</v>
      </c>
      <c r="I486" s="20">
        <v>233.16</v>
      </c>
      <c r="J486" s="19"/>
      <c r="K486" s="20"/>
    </row>
    <row r="487" spans="1:11" ht="14" x14ac:dyDescent="0.25">
      <c r="C487" s="22" t="s">
        <v>265</v>
      </c>
      <c r="H487" s="143">
        <v>30685.42</v>
      </c>
      <c r="I487" s="143"/>
      <c r="J487" s="143">
        <v>579930.77</v>
      </c>
      <c r="K487" s="143"/>
    </row>
    <row r="488" spans="1:11" ht="14" x14ac:dyDescent="0.25">
      <c r="C488" s="22" t="s">
        <v>267</v>
      </c>
      <c r="H488" s="141">
        <v>30685.42</v>
      </c>
      <c r="I488" s="141"/>
      <c r="J488" s="141">
        <v>579930.77</v>
      </c>
      <c r="K488" s="141"/>
    </row>
    <row r="490" spans="1:11" ht="42" x14ac:dyDescent="0.25">
      <c r="A490" s="10">
        <v>43</v>
      </c>
      <c r="B490" s="10" t="s">
        <v>1408</v>
      </c>
      <c r="C490" s="10" t="s">
        <v>1165</v>
      </c>
      <c r="D490" s="12" t="s">
        <v>1409</v>
      </c>
      <c r="E490" s="11">
        <v>3.3959999999999999</v>
      </c>
      <c r="F490" s="14"/>
      <c r="G490" s="13"/>
      <c r="H490" s="11"/>
      <c r="I490" s="14"/>
      <c r="J490" s="11"/>
      <c r="K490" s="14"/>
    </row>
    <row r="491" spans="1:11" x14ac:dyDescent="0.25">
      <c r="C491" s="23" t="s">
        <v>1410</v>
      </c>
    </row>
    <row r="492" spans="1:11" ht="14.5" x14ac:dyDescent="0.25">
      <c r="A492" s="10"/>
      <c r="B492" s="10"/>
      <c r="C492" s="10" t="s">
        <v>256</v>
      </c>
      <c r="D492" s="12"/>
      <c r="E492" s="11"/>
      <c r="F492" s="14">
        <v>801.17</v>
      </c>
      <c r="G492" s="13" t="s">
        <v>460</v>
      </c>
      <c r="H492" s="11">
        <v>1</v>
      </c>
      <c r="I492" s="14">
        <v>3754.67</v>
      </c>
      <c r="J492" s="11">
        <v>57.05</v>
      </c>
      <c r="K492" s="14">
        <v>214203.92</v>
      </c>
    </row>
    <row r="493" spans="1:11" ht="14.5" x14ac:dyDescent="0.25">
      <c r="A493" s="10"/>
      <c r="B493" s="10"/>
      <c r="C493" s="10" t="s">
        <v>257</v>
      </c>
      <c r="D493" s="12"/>
      <c r="E493" s="11"/>
      <c r="F493" s="14">
        <v>23.06</v>
      </c>
      <c r="G493" s="13" t="s">
        <v>461</v>
      </c>
      <c r="H493" s="11">
        <v>1</v>
      </c>
      <c r="I493" s="14">
        <v>117.47</v>
      </c>
      <c r="J493" s="11">
        <v>13.84</v>
      </c>
      <c r="K493" s="14">
        <v>1625.78</v>
      </c>
    </row>
    <row r="494" spans="1:11" ht="14.5" x14ac:dyDescent="0.25">
      <c r="A494" s="10"/>
      <c r="B494" s="10"/>
      <c r="C494" s="10" t="s">
        <v>258</v>
      </c>
      <c r="D494" s="12"/>
      <c r="E494" s="11"/>
      <c r="F494" s="14">
        <v>1.77</v>
      </c>
      <c r="G494" s="13" t="s">
        <v>461</v>
      </c>
      <c r="H494" s="11">
        <v>1</v>
      </c>
      <c r="I494" s="16">
        <v>9.02</v>
      </c>
      <c r="J494" s="11">
        <v>57.05</v>
      </c>
      <c r="K494" s="16">
        <v>514.59</v>
      </c>
    </row>
    <row r="495" spans="1:11" ht="14.5" x14ac:dyDescent="0.25">
      <c r="A495" s="10"/>
      <c r="B495" s="10"/>
      <c r="C495" s="10" t="s">
        <v>259</v>
      </c>
      <c r="D495" s="12"/>
      <c r="E495" s="11"/>
      <c r="F495" s="14">
        <v>101.63</v>
      </c>
      <c r="G495" s="13"/>
      <c r="H495" s="11">
        <v>1</v>
      </c>
      <c r="I495" s="14">
        <v>345.14</v>
      </c>
      <c r="J495" s="11">
        <v>8.0500000000000007</v>
      </c>
      <c r="K495" s="14">
        <v>2778.38</v>
      </c>
    </row>
    <row r="496" spans="1:11" ht="14.5" x14ac:dyDescent="0.25">
      <c r="A496" s="10"/>
      <c r="B496" s="10"/>
      <c r="C496" s="10" t="s">
        <v>260</v>
      </c>
      <c r="D496" s="12" t="s">
        <v>261</v>
      </c>
      <c r="E496" s="11">
        <v>90</v>
      </c>
      <c r="F496" s="14"/>
      <c r="G496" s="13"/>
      <c r="H496" s="11"/>
      <c r="I496" s="14">
        <v>3387.32</v>
      </c>
      <c r="J496" s="11">
        <v>90</v>
      </c>
      <c r="K496" s="14">
        <v>193246.66</v>
      </c>
    </row>
    <row r="497" spans="1:11" ht="14.5" x14ac:dyDescent="0.25">
      <c r="A497" s="10"/>
      <c r="B497" s="10"/>
      <c r="C497" s="10" t="s">
        <v>262</v>
      </c>
      <c r="D497" s="12" t="s">
        <v>261</v>
      </c>
      <c r="E497" s="11">
        <v>42</v>
      </c>
      <c r="F497" s="14"/>
      <c r="G497" s="13"/>
      <c r="H497" s="11"/>
      <c r="I497" s="14">
        <v>1580.75</v>
      </c>
      <c r="J497" s="11">
        <v>42</v>
      </c>
      <c r="K497" s="14">
        <v>90181.77</v>
      </c>
    </row>
    <row r="498" spans="1:11" ht="14.5" x14ac:dyDescent="0.25">
      <c r="A498" s="17"/>
      <c r="B498" s="17"/>
      <c r="C498" s="17" t="s">
        <v>263</v>
      </c>
      <c r="D498" s="18" t="s">
        <v>264</v>
      </c>
      <c r="E498" s="19">
        <v>49.7</v>
      </c>
      <c r="F498" s="20"/>
      <c r="G498" s="37" t="s">
        <v>460</v>
      </c>
      <c r="H498" s="19">
        <v>1</v>
      </c>
      <c r="I498" s="20">
        <v>232.92</v>
      </c>
      <c r="J498" s="19"/>
      <c r="K498" s="20"/>
    </row>
    <row r="499" spans="1:11" ht="14" x14ac:dyDescent="0.25">
      <c r="C499" s="22" t="s">
        <v>265</v>
      </c>
      <c r="H499" s="143">
        <v>9185.35</v>
      </c>
      <c r="I499" s="143"/>
      <c r="J499" s="143">
        <v>502036.51</v>
      </c>
      <c r="K499" s="143"/>
    </row>
    <row r="500" spans="1:11" ht="14" x14ac:dyDescent="0.25">
      <c r="C500" s="22" t="s">
        <v>267</v>
      </c>
      <c r="H500" s="141">
        <v>9185.35</v>
      </c>
      <c r="I500" s="141"/>
      <c r="J500" s="141">
        <v>502036.51</v>
      </c>
      <c r="K500" s="141"/>
    </row>
    <row r="502" spans="1:11" ht="27" x14ac:dyDescent="0.25">
      <c r="A502" s="10">
        <v>44</v>
      </c>
      <c r="B502" s="10" t="s">
        <v>409</v>
      </c>
      <c r="C502" s="10" t="s">
        <v>1949</v>
      </c>
      <c r="D502" s="12" t="s">
        <v>227</v>
      </c>
      <c r="E502" s="11">
        <v>344.3544</v>
      </c>
      <c r="F502" s="14">
        <v>68.989999999999995</v>
      </c>
      <c r="G502" s="13"/>
      <c r="H502" s="11">
        <v>1</v>
      </c>
      <c r="I502" s="14">
        <v>23757.01</v>
      </c>
      <c r="J502" s="11">
        <v>10.18</v>
      </c>
      <c r="K502" s="14">
        <v>241846.36</v>
      </c>
    </row>
    <row r="503" spans="1:11" x14ac:dyDescent="0.25">
      <c r="A503" s="28"/>
      <c r="B503" s="28"/>
      <c r="C503" s="25" t="s">
        <v>1411</v>
      </c>
      <c r="D503" s="28"/>
      <c r="E503" s="28"/>
      <c r="F503" s="28"/>
      <c r="G503" s="28"/>
      <c r="H503" s="28"/>
      <c r="I503" s="28"/>
      <c r="J503" s="28"/>
      <c r="K503" s="28"/>
    </row>
    <row r="504" spans="1:11" ht="14" x14ac:dyDescent="0.25">
      <c r="C504" s="22" t="s">
        <v>267</v>
      </c>
      <c r="H504" s="143">
        <v>23757.01</v>
      </c>
      <c r="I504" s="143"/>
      <c r="J504" s="143">
        <v>241846.36</v>
      </c>
      <c r="K504" s="143"/>
    </row>
    <row r="507" spans="1:11" ht="14" x14ac:dyDescent="0.3">
      <c r="A507" s="140" t="s">
        <v>1412</v>
      </c>
      <c r="B507" s="140"/>
      <c r="C507" s="140"/>
      <c r="D507" s="140"/>
      <c r="E507" s="140"/>
      <c r="F507" s="140"/>
      <c r="G507" s="140"/>
      <c r="H507" s="141">
        <v>118972.07</v>
      </c>
      <c r="I507" s="142"/>
      <c r="J507" s="141">
        <v>2569879</v>
      </c>
      <c r="K507" s="142"/>
    </row>
    <row r="509" spans="1:11" ht="16.5" x14ac:dyDescent="0.25">
      <c r="A509" s="144" t="s">
        <v>1413</v>
      </c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</row>
    <row r="510" spans="1:11" ht="29" x14ac:dyDescent="0.25">
      <c r="A510" s="10">
        <v>45</v>
      </c>
      <c r="B510" s="10" t="s">
        <v>1414</v>
      </c>
      <c r="C510" s="10" t="s">
        <v>1166</v>
      </c>
      <c r="D510" s="12" t="s">
        <v>1415</v>
      </c>
      <c r="E510" s="11">
        <v>0.113</v>
      </c>
      <c r="F510" s="14"/>
      <c r="G510" s="13"/>
      <c r="H510" s="11"/>
      <c r="I510" s="14"/>
      <c r="J510" s="11"/>
      <c r="K510" s="14"/>
    </row>
    <row r="511" spans="1:11" x14ac:dyDescent="0.25">
      <c r="C511" s="23" t="s">
        <v>1416</v>
      </c>
    </row>
    <row r="512" spans="1:11" ht="14.5" x14ac:dyDescent="0.25">
      <c r="A512" s="10"/>
      <c r="B512" s="10"/>
      <c r="C512" s="10" t="s">
        <v>256</v>
      </c>
      <c r="D512" s="12"/>
      <c r="E512" s="11"/>
      <c r="F512" s="14">
        <v>306.5</v>
      </c>
      <c r="G512" s="13" t="s">
        <v>460</v>
      </c>
      <c r="H512" s="11">
        <v>1</v>
      </c>
      <c r="I512" s="14">
        <v>47.8</v>
      </c>
      <c r="J512" s="11">
        <v>57.05</v>
      </c>
      <c r="K512" s="14">
        <v>2726.99</v>
      </c>
    </row>
    <row r="513" spans="1:11" ht="14.5" x14ac:dyDescent="0.25">
      <c r="A513" s="10"/>
      <c r="B513" s="10"/>
      <c r="C513" s="10" t="s">
        <v>257</v>
      </c>
      <c r="D513" s="12"/>
      <c r="E513" s="11"/>
      <c r="F513" s="14">
        <v>130.22999999999999</v>
      </c>
      <c r="G513" s="13" t="s">
        <v>461</v>
      </c>
      <c r="H513" s="11">
        <v>1</v>
      </c>
      <c r="I513" s="14">
        <v>22.07</v>
      </c>
      <c r="J513" s="11">
        <v>16.14</v>
      </c>
      <c r="K513" s="14">
        <v>356.21</v>
      </c>
    </row>
    <row r="514" spans="1:11" ht="14.5" x14ac:dyDescent="0.25">
      <c r="A514" s="10"/>
      <c r="B514" s="10"/>
      <c r="C514" s="10" t="s">
        <v>258</v>
      </c>
      <c r="D514" s="12"/>
      <c r="E514" s="11"/>
      <c r="F514" s="14">
        <v>15.36</v>
      </c>
      <c r="G514" s="13" t="s">
        <v>461</v>
      </c>
      <c r="H514" s="11">
        <v>1</v>
      </c>
      <c r="I514" s="16">
        <v>2.6</v>
      </c>
      <c r="J514" s="11">
        <v>57.05</v>
      </c>
      <c r="K514" s="16">
        <v>148.33000000000001</v>
      </c>
    </row>
    <row r="515" spans="1:11" ht="14.5" x14ac:dyDescent="0.25">
      <c r="A515" s="10"/>
      <c r="B515" s="10"/>
      <c r="C515" s="10" t="s">
        <v>259</v>
      </c>
      <c r="D515" s="12"/>
      <c r="E515" s="11"/>
      <c r="F515" s="14">
        <v>49.63</v>
      </c>
      <c r="G515" s="13"/>
      <c r="H515" s="11">
        <v>1</v>
      </c>
      <c r="I515" s="14">
        <v>5.61</v>
      </c>
      <c r="J515" s="11">
        <v>12.21</v>
      </c>
      <c r="K515" s="14">
        <v>68.5</v>
      </c>
    </row>
    <row r="516" spans="1:11" ht="14.5" x14ac:dyDescent="0.25">
      <c r="A516" s="10"/>
      <c r="B516" s="10"/>
      <c r="C516" s="10" t="s">
        <v>260</v>
      </c>
      <c r="D516" s="12" t="s">
        <v>261</v>
      </c>
      <c r="E516" s="11">
        <v>97</v>
      </c>
      <c r="F516" s="14"/>
      <c r="G516" s="13"/>
      <c r="H516" s="11"/>
      <c r="I516" s="14">
        <v>48.89</v>
      </c>
      <c r="J516" s="11">
        <v>97</v>
      </c>
      <c r="K516" s="14">
        <v>2789.06</v>
      </c>
    </row>
    <row r="517" spans="1:11" ht="14.5" x14ac:dyDescent="0.25">
      <c r="A517" s="10"/>
      <c r="B517" s="10"/>
      <c r="C517" s="10" t="s">
        <v>262</v>
      </c>
      <c r="D517" s="12" t="s">
        <v>261</v>
      </c>
      <c r="E517" s="11">
        <v>47</v>
      </c>
      <c r="F517" s="14"/>
      <c r="G517" s="13"/>
      <c r="H517" s="11"/>
      <c r="I517" s="14">
        <v>23.69</v>
      </c>
      <c r="J517" s="11">
        <v>47</v>
      </c>
      <c r="K517" s="14">
        <v>1351.4</v>
      </c>
    </row>
    <row r="518" spans="1:11" ht="14.5" x14ac:dyDescent="0.25">
      <c r="A518" s="17"/>
      <c r="B518" s="17"/>
      <c r="C518" s="17" t="s">
        <v>263</v>
      </c>
      <c r="D518" s="18" t="s">
        <v>264</v>
      </c>
      <c r="E518" s="19">
        <v>26.4</v>
      </c>
      <c r="F518" s="20"/>
      <c r="G518" s="37" t="s">
        <v>460</v>
      </c>
      <c r="H518" s="19">
        <v>1</v>
      </c>
      <c r="I518" s="20">
        <v>4.12</v>
      </c>
      <c r="J518" s="19"/>
      <c r="K518" s="20"/>
    </row>
    <row r="519" spans="1:11" ht="14" x14ac:dyDescent="0.25">
      <c r="C519" s="22" t="s">
        <v>265</v>
      </c>
      <c r="H519" s="143">
        <v>148.06</v>
      </c>
      <c r="I519" s="143"/>
      <c r="J519" s="143">
        <v>7292.16</v>
      </c>
      <c r="K519" s="143"/>
    </row>
    <row r="520" spans="1:11" ht="14" x14ac:dyDescent="0.25">
      <c r="C520" s="22" t="s">
        <v>267</v>
      </c>
      <c r="H520" s="141">
        <v>148.06</v>
      </c>
      <c r="I520" s="141"/>
      <c r="J520" s="141">
        <v>7292.16</v>
      </c>
      <c r="K520" s="141"/>
    </row>
    <row r="522" spans="1:11" ht="42" x14ac:dyDescent="0.25">
      <c r="A522" s="10">
        <v>46</v>
      </c>
      <c r="B522" s="10" t="s">
        <v>1417</v>
      </c>
      <c r="C522" s="10" t="s">
        <v>1167</v>
      </c>
      <c r="D522" s="12" t="s">
        <v>52</v>
      </c>
      <c r="E522" s="11">
        <v>11.526</v>
      </c>
      <c r="F522" s="14">
        <v>255.26</v>
      </c>
      <c r="G522" s="13"/>
      <c r="H522" s="11">
        <v>1</v>
      </c>
      <c r="I522" s="14">
        <v>2942.13</v>
      </c>
      <c r="J522" s="11">
        <v>3.56</v>
      </c>
      <c r="K522" s="14">
        <v>10473.98</v>
      </c>
    </row>
    <row r="523" spans="1:11" x14ac:dyDescent="0.25">
      <c r="A523" s="28"/>
      <c r="B523" s="28"/>
      <c r="C523" s="25" t="s">
        <v>1418</v>
      </c>
      <c r="D523" s="28"/>
      <c r="E523" s="28"/>
      <c r="F523" s="28"/>
      <c r="G523" s="28"/>
      <c r="H523" s="28"/>
      <c r="I523" s="28"/>
      <c r="J523" s="28"/>
      <c r="K523" s="28"/>
    </row>
    <row r="524" spans="1:11" ht="14" x14ac:dyDescent="0.25">
      <c r="C524" s="22" t="s">
        <v>267</v>
      </c>
      <c r="H524" s="143">
        <v>2942.13</v>
      </c>
      <c r="I524" s="143"/>
      <c r="J524" s="143">
        <v>10473.98</v>
      </c>
      <c r="K524" s="143"/>
    </row>
    <row r="526" spans="1:11" ht="28" x14ac:dyDescent="0.25">
      <c r="A526" s="10">
        <v>47</v>
      </c>
      <c r="B526" s="10" t="s">
        <v>1419</v>
      </c>
      <c r="C526" s="10" t="s">
        <v>1168</v>
      </c>
      <c r="D526" s="12" t="s">
        <v>1420</v>
      </c>
      <c r="E526" s="11">
        <v>10.199999999999999</v>
      </c>
      <c r="F526" s="14"/>
      <c r="G526" s="13"/>
      <c r="H526" s="11"/>
      <c r="I526" s="14"/>
      <c r="J526" s="11"/>
      <c r="K526" s="14"/>
    </row>
    <row r="527" spans="1:11" ht="14.5" x14ac:dyDescent="0.25">
      <c r="A527" s="10"/>
      <c r="B527" s="10"/>
      <c r="C527" s="10" t="s">
        <v>256</v>
      </c>
      <c r="D527" s="12"/>
      <c r="E527" s="11"/>
      <c r="F527" s="14">
        <v>13.48</v>
      </c>
      <c r="G527" s="13" t="s">
        <v>460</v>
      </c>
      <c r="H527" s="11">
        <v>1</v>
      </c>
      <c r="I527" s="14">
        <v>189.74</v>
      </c>
      <c r="J527" s="11">
        <v>57.05</v>
      </c>
      <c r="K527" s="14">
        <v>10824.67</v>
      </c>
    </row>
    <row r="528" spans="1:11" ht="14.5" x14ac:dyDescent="0.25">
      <c r="A528" s="10"/>
      <c r="B528" s="10"/>
      <c r="C528" s="10" t="s">
        <v>260</v>
      </c>
      <c r="D528" s="12" t="s">
        <v>261</v>
      </c>
      <c r="E528" s="11">
        <v>85</v>
      </c>
      <c r="F528" s="14"/>
      <c r="G528" s="13"/>
      <c r="H528" s="11"/>
      <c r="I528" s="14">
        <v>161.28</v>
      </c>
      <c r="J528" s="11">
        <v>85</v>
      </c>
      <c r="K528" s="14">
        <v>9200.9699999999993</v>
      </c>
    </row>
    <row r="529" spans="1:11" ht="14.5" x14ac:dyDescent="0.25">
      <c r="A529" s="10"/>
      <c r="B529" s="10"/>
      <c r="C529" s="10" t="s">
        <v>262</v>
      </c>
      <c r="D529" s="12" t="s">
        <v>261</v>
      </c>
      <c r="E529" s="11">
        <v>43</v>
      </c>
      <c r="F529" s="14"/>
      <c r="G529" s="13"/>
      <c r="H529" s="11"/>
      <c r="I529" s="14">
        <v>81.59</v>
      </c>
      <c r="J529" s="11">
        <v>43</v>
      </c>
      <c r="K529" s="14">
        <v>4654.6099999999997</v>
      </c>
    </row>
    <row r="530" spans="1:11" ht="14.5" x14ac:dyDescent="0.25">
      <c r="A530" s="17"/>
      <c r="B530" s="17"/>
      <c r="C530" s="17" t="s">
        <v>263</v>
      </c>
      <c r="D530" s="18" t="s">
        <v>264</v>
      </c>
      <c r="E530" s="19">
        <v>0.9</v>
      </c>
      <c r="F530" s="20"/>
      <c r="G530" s="37" t="s">
        <v>460</v>
      </c>
      <c r="H530" s="19">
        <v>1</v>
      </c>
      <c r="I530" s="20">
        <v>12.67</v>
      </c>
      <c r="J530" s="19"/>
      <c r="K530" s="20"/>
    </row>
    <row r="531" spans="1:11" ht="14" x14ac:dyDescent="0.25">
      <c r="C531" s="22" t="s">
        <v>265</v>
      </c>
      <c r="H531" s="143">
        <v>432.61</v>
      </c>
      <c r="I531" s="143"/>
      <c r="J531" s="143">
        <v>24680.25</v>
      </c>
      <c r="K531" s="143"/>
    </row>
    <row r="532" spans="1:11" ht="14" x14ac:dyDescent="0.25">
      <c r="C532" s="22" t="s">
        <v>267</v>
      </c>
      <c r="H532" s="141">
        <v>432.61</v>
      </c>
      <c r="I532" s="141"/>
      <c r="J532" s="141">
        <v>24680.25</v>
      </c>
      <c r="K532" s="141"/>
    </row>
    <row r="534" spans="1:11" ht="72.5" x14ac:dyDescent="0.25">
      <c r="A534" s="10">
        <v>48</v>
      </c>
      <c r="B534" s="10" t="s">
        <v>1421</v>
      </c>
      <c r="C534" s="10" t="s">
        <v>1169</v>
      </c>
      <c r="D534" s="12" t="s">
        <v>1422</v>
      </c>
      <c r="E534" s="11">
        <v>0.10199999999999999</v>
      </c>
      <c r="F534" s="14"/>
      <c r="G534" s="13"/>
      <c r="H534" s="11"/>
      <c r="I534" s="14"/>
      <c r="J534" s="11"/>
      <c r="K534" s="14"/>
    </row>
    <row r="535" spans="1:11" x14ac:dyDescent="0.25">
      <c r="C535" s="23" t="s">
        <v>1423</v>
      </c>
    </row>
    <row r="536" spans="1:11" ht="14.5" x14ac:dyDescent="0.25">
      <c r="A536" s="10"/>
      <c r="B536" s="10"/>
      <c r="C536" s="10" t="s">
        <v>256</v>
      </c>
      <c r="D536" s="12"/>
      <c r="E536" s="11"/>
      <c r="F536" s="14">
        <v>1018</v>
      </c>
      <c r="G536" s="13" t="s">
        <v>460</v>
      </c>
      <c r="H536" s="11">
        <v>1</v>
      </c>
      <c r="I536" s="14">
        <v>143.29</v>
      </c>
      <c r="J536" s="11">
        <v>57.05</v>
      </c>
      <c r="K536" s="14">
        <v>8174.69</v>
      </c>
    </row>
    <row r="537" spans="1:11" ht="14.5" x14ac:dyDescent="0.25">
      <c r="A537" s="10"/>
      <c r="B537" s="10"/>
      <c r="C537" s="10" t="s">
        <v>257</v>
      </c>
      <c r="D537" s="12"/>
      <c r="E537" s="11"/>
      <c r="F537" s="14">
        <v>2.4900000000000002</v>
      </c>
      <c r="G537" s="13" t="s">
        <v>461</v>
      </c>
      <c r="H537" s="11">
        <v>1</v>
      </c>
      <c r="I537" s="14">
        <v>0.38</v>
      </c>
      <c r="J537" s="11">
        <v>17.47</v>
      </c>
      <c r="K537" s="14">
        <v>6.64</v>
      </c>
    </row>
    <row r="538" spans="1:11" ht="14.5" x14ac:dyDescent="0.25">
      <c r="A538" s="10"/>
      <c r="B538" s="10"/>
      <c r="C538" s="10" t="s">
        <v>258</v>
      </c>
      <c r="D538" s="12"/>
      <c r="E538" s="11"/>
      <c r="F538" s="14">
        <v>0.38</v>
      </c>
      <c r="G538" s="13" t="s">
        <v>461</v>
      </c>
      <c r="H538" s="11">
        <v>1</v>
      </c>
      <c r="I538" s="16">
        <v>0.06</v>
      </c>
      <c r="J538" s="11">
        <v>57.05</v>
      </c>
      <c r="K538" s="16">
        <v>3.42</v>
      </c>
    </row>
    <row r="539" spans="1:11" ht="14.5" x14ac:dyDescent="0.25">
      <c r="A539" s="10"/>
      <c r="B539" s="10"/>
      <c r="C539" s="10" t="s">
        <v>259</v>
      </c>
      <c r="D539" s="12"/>
      <c r="E539" s="11"/>
      <c r="F539" s="14">
        <v>0.48</v>
      </c>
      <c r="G539" s="13"/>
      <c r="H539" s="11">
        <v>1</v>
      </c>
      <c r="I539" s="14">
        <v>0.05</v>
      </c>
      <c r="J539" s="11">
        <v>13.29</v>
      </c>
      <c r="K539" s="14">
        <v>0.66</v>
      </c>
    </row>
    <row r="540" spans="1:11" ht="84" x14ac:dyDescent="0.25">
      <c r="A540" s="10" t="s">
        <v>1170</v>
      </c>
      <c r="B540" s="10" t="s">
        <v>1424</v>
      </c>
      <c r="C540" s="10" t="s">
        <v>1171</v>
      </c>
      <c r="D540" s="12" t="s">
        <v>9</v>
      </c>
      <c r="E540" s="11">
        <v>2.5806</v>
      </c>
      <c r="F540" s="14">
        <v>105.3</v>
      </c>
      <c r="G540" s="15" t="s">
        <v>1</v>
      </c>
      <c r="H540" s="11">
        <v>1</v>
      </c>
      <c r="I540" s="14">
        <v>271.74</v>
      </c>
      <c r="J540" s="11">
        <v>6.93</v>
      </c>
      <c r="K540" s="14">
        <v>1883.16</v>
      </c>
    </row>
    <row r="541" spans="1:11" ht="98" x14ac:dyDescent="0.25">
      <c r="A541" s="10" t="s">
        <v>1172</v>
      </c>
      <c r="B541" s="10" t="s">
        <v>1425</v>
      </c>
      <c r="C541" s="10" t="s">
        <v>1173</v>
      </c>
      <c r="D541" s="12" t="s">
        <v>9</v>
      </c>
      <c r="E541" s="11">
        <v>0.27539999999999998</v>
      </c>
      <c r="F541" s="14">
        <v>79.099999999999994</v>
      </c>
      <c r="G541" s="15" t="s">
        <v>1</v>
      </c>
      <c r="H541" s="11">
        <v>1</v>
      </c>
      <c r="I541" s="14">
        <v>21.78</v>
      </c>
      <c r="J541" s="11">
        <v>10.81</v>
      </c>
      <c r="K541" s="14">
        <v>235.44</v>
      </c>
    </row>
    <row r="542" spans="1:11" ht="14.5" x14ac:dyDescent="0.25">
      <c r="A542" s="10"/>
      <c r="B542" s="10"/>
      <c r="C542" s="10" t="s">
        <v>260</v>
      </c>
      <c r="D542" s="12" t="s">
        <v>261</v>
      </c>
      <c r="E542" s="11">
        <v>90</v>
      </c>
      <c r="F542" s="14"/>
      <c r="G542" s="13"/>
      <c r="H542" s="11"/>
      <c r="I542" s="14">
        <v>129.02000000000001</v>
      </c>
      <c r="J542" s="11">
        <v>90</v>
      </c>
      <c r="K542" s="14">
        <v>7360.3</v>
      </c>
    </row>
    <row r="543" spans="1:11" ht="14.5" x14ac:dyDescent="0.25">
      <c r="A543" s="10"/>
      <c r="B543" s="10"/>
      <c r="C543" s="10" t="s">
        <v>262</v>
      </c>
      <c r="D543" s="12" t="s">
        <v>261</v>
      </c>
      <c r="E543" s="11">
        <v>42</v>
      </c>
      <c r="F543" s="14"/>
      <c r="G543" s="13"/>
      <c r="H543" s="11"/>
      <c r="I543" s="14">
        <v>60.21</v>
      </c>
      <c r="J543" s="11">
        <v>42</v>
      </c>
      <c r="K543" s="14">
        <v>3434.81</v>
      </c>
    </row>
    <row r="544" spans="1:11" ht="14.5" x14ac:dyDescent="0.25">
      <c r="A544" s="17"/>
      <c r="B544" s="17"/>
      <c r="C544" s="17" t="s">
        <v>263</v>
      </c>
      <c r="D544" s="18" t="s">
        <v>264</v>
      </c>
      <c r="E544" s="19">
        <v>64.599999999999994</v>
      </c>
      <c r="F544" s="20"/>
      <c r="G544" s="37" t="s">
        <v>460</v>
      </c>
      <c r="H544" s="19">
        <v>1</v>
      </c>
      <c r="I544" s="20">
        <v>9.09</v>
      </c>
      <c r="J544" s="19"/>
      <c r="K544" s="20"/>
    </row>
    <row r="545" spans="1:11" ht="14" x14ac:dyDescent="0.25">
      <c r="C545" s="22" t="s">
        <v>265</v>
      </c>
      <c r="H545" s="143">
        <v>626.47</v>
      </c>
      <c r="I545" s="143"/>
      <c r="J545" s="143">
        <v>21095.7</v>
      </c>
      <c r="K545" s="143"/>
    </row>
    <row r="546" spans="1:11" ht="14" x14ac:dyDescent="0.25">
      <c r="C546" s="22" t="s">
        <v>267</v>
      </c>
      <c r="H546" s="141">
        <v>626.47</v>
      </c>
      <c r="I546" s="141"/>
      <c r="J546" s="141">
        <v>21095.7</v>
      </c>
      <c r="K546" s="141"/>
    </row>
    <row r="548" spans="1:11" ht="43.5" x14ac:dyDescent="0.25">
      <c r="A548" s="10">
        <v>49</v>
      </c>
      <c r="B548" s="10" t="s">
        <v>1426</v>
      </c>
      <c r="C548" s="10" t="s">
        <v>1174</v>
      </c>
      <c r="D548" s="12" t="s">
        <v>1427</v>
      </c>
      <c r="E548" s="11">
        <v>0.13900000000000001</v>
      </c>
      <c r="F548" s="14"/>
      <c r="G548" s="13"/>
      <c r="H548" s="11"/>
      <c r="I548" s="14"/>
      <c r="J548" s="11"/>
      <c r="K548" s="14"/>
    </row>
    <row r="549" spans="1:11" x14ac:dyDescent="0.25">
      <c r="C549" s="23" t="s">
        <v>1428</v>
      </c>
    </row>
    <row r="550" spans="1:11" ht="14.5" x14ac:dyDescent="0.25">
      <c r="A550" s="10"/>
      <c r="B550" s="10"/>
      <c r="C550" s="10" t="s">
        <v>256</v>
      </c>
      <c r="D550" s="12"/>
      <c r="E550" s="11"/>
      <c r="F550" s="14">
        <v>2874.86</v>
      </c>
      <c r="G550" s="13" t="s">
        <v>460</v>
      </c>
      <c r="H550" s="11">
        <v>1</v>
      </c>
      <c r="I550" s="14">
        <v>551.46</v>
      </c>
      <c r="J550" s="11">
        <v>57.05</v>
      </c>
      <c r="K550" s="14">
        <v>31460.79</v>
      </c>
    </row>
    <row r="551" spans="1:11" ht="14.5" x14ac:dyDescent="0.25">
      <c r="A551" s="10"/>
      <c r="B551" s="10"/>
      <c r="C551" s="10" t="s">
        <v>257</v>
      </c>
      <c r="D551" s="12"/>
      <c r="E551" s="11"/>
      <c r="F551" s="14">
        <v>78.22</v>
      </c>
      <c r="G551" s="13" t="s">
        <v>461</v>
      </c>
      <c r="H551" s="11">
        <v>1</v>
      </c>
      <c r="I551" s="14">
        <v>16.309999999999999</v>
      </c>
      <c r="J551" s="11">
        <v>16.440000000000001</v>
      </c>
      <c r="K551" s="14">
        <v>268.14</v>
      </c>
    </row>
    <row r="552" spans="1:11" ht="14.5" x14ac:dyDescent="0.25">
      <c r="A552" s="10"/>
      <c r="B552" s="10"/>
      <c r="C552" s="10" t="s">
        <v>258</v>
      </c>
      <c r="D552" s="12"/>
      <c r="E552" s="11"/>
      <c r="F552" s="14">
        <v>9.82</v>
      </c>
      <c r="G552" s="13" t="s">
        <v>461</v>
      </c>
      <c r="H552" s="11">
        <v>1</v>
      </c>
      <c r="I552" s="16">
        <v>2.0499999999999998</v>
      </c>
      <c r="J552" s="11">
        <v>57.05</v>
      </c>
      <c r="K552" s="16">
        <v>116.95</v>
      </c>
    </row>
    <row r="553" spans="1:11" ht="28" x14ac:dyDescent="0.25">
      <c r="A553" s="10" t="s">
        <v>1175</v>
      </c>
      <c r="B553" s="10" t="s">
        <v>1309</v>
      </c>
      <c r="C553" s="10" t="s">
        <v>1097</v>
      </c>
      <c r="D553" s="12" t="s">
        <v>28</v>
      </c>
      <c r="E553" s="11">
        <v>0.29050999999999999</v>
      </c>
      <c r="F553" s="14">
        <v>14872.56</v>
      </c>
      <c r="G553" s="15" t="s">
        <v>1</v>
      </c>
      <c r="H553" s="11">
        <v>1</v>
      </c>
      <c r="I553" s="14">
        <v>4320.63</v>
      </c>
      <c r="J553" s="11">
        <v>9.92</v>
      </c>
      <c r="K553" s="14">
        <v>42860.65</v>
      </c>
    </row>
    <row r="554" spans="1:11" ht="42" x14ac:dyDescent="0.25">
      <c r="A554" s="10" t="s">
        <v>1176</v>
      </c>
      <c r="B554" s="10" t="s">
        <v>1417</v>
      </c>
      <c r="C554" s="10" t="s">
        <v>1167</v>
      </c>
      <c r="D554" s="12" t="s">
        <v>52</v>
      </c>
      <c r="E554" s="11">
        <v>14.178000000000001</v>
      </c>
      <c r="F554" s="14">
        <v>255.26</v>
      </c>
      <c r="G554" s="15" t="s">
        <v>1</v>
      </c>
      <c r="H554" s="11">
        <v>1</v>
      </c>
      <c r="I554" s="14">
        <v>3619.08</v>
      </c>
      <c r="J554" s="11">
        <v>3.56</v>
      </c>
      <c r="K554" s="14">
        <v>12883.92</v>
      </c>
    </row>
    <row r="555" spans="1:11" ht="56" x14ac:dyDescent="0.25">
      <c r="A555" s="10" t="s">
        <v>1177</v>
      </c>
      <c r="B555" s="10" t="s">
        <v>1429</v>
      </c>
      <c r="C555" s="10" t="s">
        <v>1178</v>
      </c>
      <c r="D555" s="12" t="s">
        <v>28</v>
      </c>
      <c r="E555" s="11">
        <v>2.085E-2</v>
      </c>
      <c r="F555" s="14">
        <v>313.5</v>
      </c>
      <c r="G555" s="15" t="s">
        <v>1</v>
      </c>
      <c r="H555" s="11">
        <v>1</v>
      </c>
      <c r="I555" s="14">
        <v>6.54</v>
      </c>
      <c r="J555" s="11">
        <v>22.94</v>
      </c>
      <c r="K555" s="14">
        <v>150.03</v>
      </c>
    </row>
    <row r="556" spans="1:11" ht="14.5" x14ac:dyDescent="0.25">
      <c r="A556" s="10"/>
      <c r="B556" s="10"/>
      <c r="C556" s="10" t="s">
        <v>260</v>
      </c>
      <c r="D556" s="12" t="s">
        <v>261</v>
      </c>
      <c r="E556" s="11">
        <v>99</v>
      </c>
      <c r="F556" s="14"/>
      <c r="G556" s="13"/>
      <c r="H556" s="11"/>
      <c r="I556" s="14">
        <v>547.97</v>
      </c>
      <c r="J556" s="11">
        <v>99</v>
      </c>
      <c r="K556" s="14">
        <v>31261.96</v>
      </c>
    </row>
    <row r="557" spans="1:11" ht="14.5" x14ac:dyDescent="0.25">
      <c r="A557" s="10"/>
      <c r="B557" s="10"/>
      <c r="C557" s="10" t="s">
        <v>262</v>
      </c>
      <c r="D557" s="12" t="s">
        <v>261</v>
      </c>
      <c r="E557" s="11">
        <v>62</v>
      </c>
      <c r="F557" s="14"/>
      <c r="G557" s="13"/>
      <c r="H557" s="11"/>
      <c r="I557" s="14">
        <v>343.18</v>
      </c>
      <c r="J557" s="11">
        <v>62</v>
      </c>
      <c r="K557" s="14">
        <v>19578.2</v>
      </c>
    </row>
    <row r="558" spans="1:11" ht="14.5" x14ac:dyDescent="0.25">
      <c r="A558" s="17"/>
      <c r="B558" s="17"/>
      <c r="C558" s="17" t="s">
        <v>263</v>
      </c>
      <c r="D558" s="18" t="s">
        <v>264</v>
      </c>
      <c r="E558" s="19">
        <v>174</v>
      </c>
      <c r="F558" s="20"/>
      <c r="G558" s="37" t="s">
        <v>460</v>
      </c>
      <c r="H558" s="19">
        <v>1</v>
      </c>
      <c r="I558" s="20">
        <v>33.380000000000003</v>
      </c>
      <c r="J558" s="19"/>
      <c r="K558" s="20"/>
    </row>
    <row r="559" spans="1:11" ht="14" x14ac:dyDescent="0.25">
      <c r="C559" s="22" t="s">
        <v>265</v>
      </c>
      <c r="H559" s="143">
        <v>9405.17</v>
      </c>
      <c r="I559" s="143"/>
      <c r="J559" s="143">
        <v>138463.69</v>
      </c>
      <c r="K559" s="143"/>
    </row>
    <row r="560" spans="1:11" ht="14" x14ac:dyDescent="0.25">
      <c r="C560" s="22" t="s">
        <v>267</v>
      </c>
      <c r="H560" s="141">
        <v>9405.17</v>
      </c>
      <c r="I560" s="141"/>
      <c r="J560" s="141">
        <v>138463.69</v>
      </c>
      <c r="K560" s="141"/>
    </row>
    <row r="563" spans="1:11" ht="14" x14ac:dyDescent="0.3">
      <c r="A563" s="140" t="s">
        <v>1430</v>
      </c>
      <c r="B563" s="140"/>
      <c r="C563" s="140"/>
      <c r="D563" s="140"/>
      <c r="E563" s="140"/>
      <c r="F563" s="140"/>
      <c r="G563" s="140"/>
      <c r="H563" s="141">
        <v>13554.44</v>
      </c>
      <c r="I563" s="142"/>
      <c r="J563" s="141">
        <v>202005.78</v>
      </c>
      <c r="K563" s="142"/>
    </row>
    <row r="565" spans="1:11" ht="16.5" x14ac:dyDescent="0.25">
      <c r="A565" s="144" t="s">
        <v>1431</v>
      </c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</row>
    <row r="567" spans="1:11" ht="16.5" x14ac:dyDescent="0.25">
      <c r="A567" s="144" t="s">
        <v>1432</v>
      </c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</row>
    <row r="568" spans="1:11" ht="42" x14ac:dyDescent="0.25">
      <c r="A568" s="10">
        <v>50</v>
      </c>
      <c r="B568" s="10" t="s">
        <v>1433</v>
      </c>
      <c r="C568" s="10" t="s">
        <v>1521</v>
      </c>
      <c r="D568" s="12" t="s">
        <v>838</v>
      </c>
      <c r="E568" s="11">
        <v>0.46800000000000003</v>
      </c>
      <c r="F568" s="14"/>
      <c r="G568" s="13"/>
      <c r="H568" s="11"/>
      <c r="I568" s="14"/>
      <c r="J568" s="11"/>
      <c r="K568" s="14"/>
    </row>
    <row r="569" spans="1:11" x14ac:dyDescent="0.25">
      <c r="C569" s="23" t="s">
        <v>1434</v>
      </c>
    </row>
    <row r="570" spans="1:11" ht="14.5" x14ac:dyDescent="0.25">
      <c r="A570" s="10"/>
      <c r="B570" s="10"/>
      <c r="C570" s="10" t="s">
        <v>256</v>
      </c>
      <c r="D570" s="12"/>
      <c r="E570" s="11"/>
      <c r="F570" s="14">
        <v>69.650000000000006</v>
      </c>
      <c r="G570" s="13" t="s">
        <v>460</v>
      </c>
      <c r="H570" s="11">
        <v>1</v>
      </c>
      <c r="I570" s="14">
        <v>44.98</v>
      </c>
      <c r="J570" s="11">
        <v>57.05</v>
      </c>
      <c r="K570" s="14">
        <v>2566.11</v>
      </c>
    </row>
    <row r="571" spans="1:11" ht="14.5" x14ac:dyDescent="0.25">
      <c r="A571" s="10"/>
      <c r="B571" s="10"/>
      <c r="C571" s="10" t="s">
        <v>257</v>
      </c>
      <c r="D571" s="12"/>
      <c r="E571" s="11"/>
      <c r="F571" s="14">
        <v>0.84</v>
      </c>
      <c r="G571" s="13" t="s">
        <v>461</v>
      </c>
      <c r="H571" s="11">
        <v>1</v>
      </c>
      <c r="I571" s="14">
        <v>0.59</v>
      </c>
      <c r="J571" s="11">
        <v>17.329999999999998</v>
      </c>
      <c r="K571" s="14">
        <v>10.220000000000001</v>
      </c>
    </row>
    <row r="572" spans="1:11" ht="14.5" x14ac:dyDescent="0.25">
      <c r="A572" s="10"/>
      <c r="B572" s="10"/>
      <c r="C572" s="10" t="s">
        <v>258</v>
      </c>
      <c r="D572" s="12"/>
      <c r="E572" s="11"/>
      <c r="F572" s="14">
        <v>0.13</v>
      </c>
      <c r="G572" s="13" t="s">
        <v>461</v>
      </c>
      <c r="H572" s="11">
        <v>1</v>
      </c>
      <c r="I572" s="16">
        <v>0.09</v>
      </c>
      <c r="J572" s="11">
        <v>57.05</v>
      </c>
      <c r="K572" s="16">
        <v>5.13</v>
      </c>
    </row>
    <row r="573" spans="1:11" ht="56" x14ac:dyDescent="0.25">
      <c r="A573" s="10" t="s">
        <v>515</v>
      </c>
      <c r="B573" s="10" t="s">
        <v>1435</v>
      </c>
      <c r="C573" s="10" t="s">
        <v>1179</v>
      </c>
      <c r="D573" s="12" t="s">
        <v>225</v>
      </c>
      <c r="E573" s="11">
        <v>4.8204000000000002</v>
      </c>
      <c r="F573" s="14">
        <v>40.159999999999997</v>
      </c>
      <c r="G573" s="15" t="s">
        <v>1</v>
      </c>
      <c r="H573" s="11">
        <v>1</v>
      </c>
      <c r="I573" s="14">
        <v>193.59</v>
      </c>
      <c r="J573" s="11">
        <v>2.61</v>
      </c>
      <c r="K573" s="14">
        <v>505.27</v>
      </c>
    </row>
    <row r="574" spans="1:11" ht="14.5" x14ac:dyDescent="0.25">
      <c r="A574" s="10"/>
      <c r="B574" s="10"/>
      <c r="C574" s="10" t="s">
        <v>260</v>
      </c>
      <c r="D574" s="12" t="s">
        <v>261</v>
      </c>
      <c r="E574" s="11">
        <v>90</v>
      </c>
      <c r="F574" s="14"/>
      <c r="G574" s="13"/>
      <c r="H574" s="11"/>
      <c r="I574" s="14">
        <v>40.56</v>
      </c>
      <c r="J574" s="11">
        <v>90</v>
      </c>
      <c r="K574" s="14">
        <v>2314.12</v>
      </c>
    </row>
    <row r="575" spans="1:11" ht="14.5" x14ac:dyDescent="0.25">
      <c r="A575" s="10"/>
      <c r="B575" s="10"/>
      <c r="C575" s="10" t="s">
        <v>262</v>
      </c>
      <c r="D575" s="12" t="s">
        <v>261</v>
      </c>
      <c r="E575" s="11">
        <v>42</v>
      </c>
      <c r="F575" s="14"/>
      <c r="G575" s="13"/>
      <c r="H575" s="11"/>
      <c r="I575" s="14">
        <v>18.93</v>
      </c>
      <c r="J575" s="11">
        <v>42</v>
      </c>
      <c r="K575" s="14">
        <v>1079.92</v>
      </c>
    </row>
    <row r="576" spans="1:11" ht="14.5" x14ac:dyDescent="0.25">
      <c r="A576" s="17"/>
      <c r="B576" s="17"/>
      <c r="C576" s="17" t="s">
        <v>263</v>
      </c>
      <c r="D576" s="18" t="s">
        <v>264</v>
      </c>
      <c r="E576" s="19">
        <v>4.6500000000000004</v>
      </c>
      <c r="F576" s="20"/>
      <c r="G576" s="37" t="s">
        <v>460</v>
      </c>
      <c r="H576" s="19">
        <v>1</v>
      </c>
      <c r="I576" s="20">
        <v>3</v>
      </c>
      <c r="J576" s="19"/>
      <c r="K576" s="20"/>
    </row>
    <row r="577" spans="1:11" ht="14" x14ac:dyDescent="0.25">
      <c r="C577" s="22" t="s">
        <v>265</v>
      </c>
      <c r="H577" s="143">
        <v>298.64999999999998</v>
      </c>
      <c r="I577" s="143"/>
      <c r="J577" s="143">
        <v>6475.64</v>
      </c>
      <c r="K577" s="143"/>
    </row>
    <row r="578" spans="1:11" ht="14" x14ac:dyDescent="0.25">
      <c r="C578" s="22" t="s">
        <v>267</v>
      </c>
      <c r="H578" s="141">
        <v>298.64999999999998</v>
      </c>
      <c r="I578" s="141"/>
      <c r="J578" s="141">
        <v>6475.64</v>
      </c>
      <c r="K578" s="141"/>
    </row>
    <row r="580" spans="1:11" ht="42" x14ac:dyDescent="0.25">
      <c r="A580" s="10">
        <v>51</v>
      </c>
      <c r="B580" s="10" t="s">
        <v>1436</v>
      </c>
      <c r="C580" s="10" t="s">
        <v>1180</v>
      </c>
      <c r="D580" s="12" t="s">
        <v>1437</v>
      </c>
      <c r="E580" s="11">
        <v>0.46800000000000003</v>
      </c>
      <c r="F580" s="14"/>
      <c r="G580" s="13"/>
      <c r="H580" s="11"/>
      <c r="I580" s="14"/>
      <c r="J580" s="11"/>
      <c r="K580" s="14"/>
    </row>
    <row r="581" spans="1:11" x14ac:dyDescent="0.25">
      <c r="C581" s="23" t="s">
        <v>1434</v>
      </c>
    </row>
    <row r="582" spans="1:11" ht="14.5" x14ac:dyDescent="0.25">
      <c r="A582" s="10"/>
      <c r="B582" s="10"/>
      <c r="C582" s="10" t="s">
        <v>256</v>
      </c>
      <c r="D582" s="12"/>
      <c r="E582" s="11"/>
      <c r="F582" s="14">
        <v>609.14</v>
      </c>
      <c r="G582" s="13" t="s">
        <v>460</v>
      </c>
      <c r="H582" s="11">
        <v>1</v>
      </c>
      <c r="I582" s="14">
        <v>393.41</v>
      </c>
      <c r="J582" s="11">
        <v>57.05</v>
      </c>
      <c r="K582" s="14">
        <v>22444.04</v>
      </c>
    </row>
    <row r="583" spans="1:11" ht="14.5" x14ac:dyDescent="0.25">
      <c r="A583" s="10"/>
      <c r="B583" s="10"/>
      <c r="C583" s="10" t="s">
        <v>257</v>
      </c>
      <c r="D583" s="12"/>
      <c r="E583" s="11"/>
      <c r="F583" s="14">
        <v>55.68</v>
      </c>
      <c r="G583" s="13" t="s">
        <v>461</v>
      </c>
      <c r="H583" s="11">
        <v>1</v>
      </c>
      <c r="I583" s="14">
        <v>39.090000000000003</v>
      </c>
      <c r="J583" s="11">
        <v>17.45</v>
      </c>
      <c r="K583" s="14">
        <v>682.12</v>
      </c>
    </row>
    <row r="584" spans="1:11" ht="14.5" x14ac:dyDescent="0.25">
      <c r="A584" s="10"/>
      <c r="B584" s="10"/>
      <c r="C584" s="10" t="s">
        <v>258</v>
      </c>
      <c r="D584" s="12"/>
      <c r="E584" s="11"/>
      <c r="F584" s="14">
        <v>8.4600000000000009</v>
      </c>
      <c r="G584" s="13" t="s">
        <v>461</v>
      </c>
      <c r="H584" s="11">
        <v>1</v>
      </c>
      <c r="I584" s="16">
        <v>5.94</v>
      </c>
      <c r="J584" s="11">
        <v>57.05</v>
      </c>
      <c r="K584" s="16">
        <v>338.88</v>
      </c>
    </row>
    <row r="585" spans="1:11" ht="14.5" x14ac:dyDescent="0.25">
      <c r="A585" s="10"/>
      <c r="B585" s="10"/>
      <c r="C585" s="10" t="s">
        <v>259</v>
      </c>
      <c r="D585" s="12"/>
      <c r="E585" s="11"/>
      <c r="F585" s="14">
        <v>0.81</v>
      </c>
      <c r="G585" s="13"/>
      <c r="H585" s="11">
        <v>1</v>
      </c>
      <c r="I585" s="14">
        <v>0.38</v>
      </c>
      <c r="J585" s="11">
        <v>13.12</v>
      </c>
      <c r="K585" s="14">
        <v>4.99</v>
      </c>
    </row>
    <row r="586" spans="1:11" ht="70" x14ac:dyDescent="0.25">
      <c r="A586" s="10" t="s">
        <v>519</v>
      </c>
      <c r="B586" s="10" t="s">
        <v>1438</v>
      </c>
      <c r="C586" s="10" t="s">
        <v>1181</v>
      </c>
      <c r="D586" s="12" t="s">
        <v>9</v>
      </c>
      <c r="E586" s="11">
        <v>23.4</v>
      </c>
      <c r="F586" s="14">
        <v>60.6</v>
      </c>
      <c r="G586" s="15" t="s">
        <v>1</v>
      </c>
      <c r="H586" s="11">
        <v>1</v>
      </c>
      <c r="I586" s="14">
        <v>1418.04</v>
      </c>
      <c r="J586" s="11">
        <v>8.42</v>
      </c>
      <c r="K586" s="14">
        <v>11939.9</v>
      </c>
    </row>
    <row r="587" spans="1:11" ht="56" x14ac:dyDescent="0.25">
      <c r="A587" s="10" t="s">
        <v>1182</v>
      </c>
      <c r="B587" s="10" t="s">
        <v>1439</v>
      </c>
      <c r="C587" s="10" t="s">
        <v>1522</v>
      </c>
      <c r="D587" s="12" t="s">
        <v>227</v>
      </c>
      <c r="E587" s="11">
        <v>50.076000000000001</v>
      </c>
      <c r="F587" s="14">
        <v>158.66999999999999</v>
      </c>
      <c r="G587" s="15" t="s">
        <v>1</v>
      </c>
      <c r="H587" s="11">
        <v>1</v>
      </c>
      <c r="I587" s="14">
        <v>7945.56</v>
      </c>
      <c r="J587" s="11">
        <v>9.84</v>
      </c>
      <c r="K587" s="14">
        <v>78184.31</v>
      </c>
    </row>
    <row r="588" spans="1:11" ht="14.5" x14ac:dyDescent="0.25">
      <c r="A588" s="10"/>
      <c r="B588" s="10"/>
      <c r="C588" s="10" t="s">
        <v>260</v>
      </c>
      <c r="D588" s="12" t="s">
        <v>261</v>
      </c>
      <c r="E588" s="11">
        <v>101</v>
      </c>
      <c r="F588" s="14"/>
      <c r="G588" s="13"/>
      <c r="H588" s="11"/>
      <c r="I588" s="14">
        <v>403.34</v>
      </c>
      <c r="J588" s="11">
        <v>101</v>
      </c>
      <c r="K588" s="14">
        <v>23010.75</v>
      </c>
    </row>
    <row r="589" spans="1:11" ht="14.5" x14ac:dyDescent="0.25">
      <c r="A589" s="10"/>
      <c r="B589" s="10"/>
      <c r="C589" s="10" t="s">
        <v>262</v>
      </c>
      <c r="D589" s="12" t="s">
        <v>261</v>
      </c>
      <c r="E589" s="11">
        <v>55</v>
      </c>
      <c r="F589" s="14"/>
      <c r="G589" s="13"/>
      <c r="H589" s="11"/>
      <c r="I589" s="14">
        <v>219.64</v>
      </c>
      <c r="J589" s="11">
        <v>55</v>
      </c>
      <c r="K589" s="14">
        <v>12530.61</v>
      </c>
    </row>
    <row r="590" spans="1:11" ht="14.5" x14ac:dyDescent="0.25">
      <c r="A590" s="17"/>
      <c r="B590" s="17"/>
      <c r="C590" s="17" t="s">
        <v>263</v>
      </c>
      <c r="D590" s="18" t="s">
        <v>264</v>
      </c>
      <c r="E590" s="19">
        <v>38.200000000000003</v>
      </c>
      <c r="F590" s="20"/>
      <c r="G590" s="37" t="s">
        <v>460</v>
      </c>
      <c r="H590" s="19">
        <v>1</v>
      </c>
      <c r="I590" s="20">
        <v>24.67</v>
      </c>
      <c r="J590" s="19"/>
      <c r="K590" s="20"/>
    </row>
    <row r="591" spans="1:11" ht="14" x14ac:dyDescent="0.25">
      <c r="C591" s="22" t="s">
        <v>265</v>
      </c>
      <c r="H591" s="143">
        <v>10419.459999999999</v>
      </c>
      <c r="I591" s="143"/>
      <c r="J591" s="143">
        <v>148796.72</v>
      </c>
      <c r="K591" s="143"/>
    </row>
    <row r="592" spans="1:11" ht="14" x14ac:dyDescent="0.25">
      <c r="C592" s="22" t="s">
        <v>267</v>
      </c>
      <c r="H592" s="141">
        <v>10419.459999999999</v>
      </c>
      <c r="I592" s="141"/>
      <c r="J592" s="141">
        <v>148796.72</v>
      </c>
      <c r="K592" s="141"/>
    </row>
    <row r="595" spans="1:11" ht="14" x14ac:dyDescent="0.3">
      <c r="A595" s="140" t="s">
        <v>1440</v>
      </c>
      <c r="B595" s="140"/>
      <c r="C595" s="140"/>
      <c r="D595" s="140"/>
      <c r="E595" s="140"/>
      <c r="F595" s="140"/>
      <c r="G595" s="140"/>
      <c r="H595" s="141">
        <v>10718.11</v>
      </c>
      <c r="I595" s="142"/>
      <c r="J595" s="141">
        <v>155272.35999999999</v>
      </c>
      <c r="K595" s="142"/>
    </row>
    <row r="597" spans="1:11" ht="16.5" x14ac:dyDescent="0.25">
      <c r="A597" s="144" t="s">
        <v>1441</v>
      </c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</row>
    <row r="598" spans="1:11" ht="42" x14ac:dyDescent="0.25">
      <c r="A598" s="10">
        <v>52</v>
      </c>
      <c r="B598" s="10" t="s">
        <v>1433</v>
      </c>
      <c r="C598" s="10" t="s">
        <v>1523</v>
      </c>
      <c r="D598" s="12" t="s">
        <v>838</v>
      </c>
      <c r="E598" s="11">
        <v>0.52200000000000002</v>
      </c>
      <c r="F598" s="14"/>
      <c r="G598" s="13"/>
      <c r="H598" s="11"/>
      <c r="I598" s="14"/>
      <c r="J598" s="11"/>
      <c r="K598" s="14"/>
    </row>
    <row r="599" spans="1:11" x14ac:dyDescent="0.25">
      <c r="C599" s="23" t="s">
        <v>1442</v>
      </c>
    </row>
    <row r="600" spans="1:11" ht="14.5" x14ac:dyDescent="0.25">
      <c r="A600" s="10"/>
      <c r="B600" s="10"/>
      <c r="C600" s="10" t="s">
        <v>256</v>
      </c>
      <c r="D600" s="12"/>
      <c r="E600" s="11"/>
      <c r="F600" s="14">
        <v>69.650000000000006</v>
      </c>
      <c r="G600" s="13" t="s">
        <v>460</v>
      </c>
      <c r="H600" s="11">
        <v>1</v>
      </c>
      <c r="I600" s="14">
        <v>50.17</v>
      </c>
      <c r="J600" s="11">
        <v>57.05</v>
      </c>
      <c r="K600" s="14">
        <v>2862.2</v>
      </c>
    </row>
    <row r="601" spans="1:11" ht="14.5" x14ac:dyDescent="0.25">
      <c r="A601" s="10"/>
      <c r="B601" s="10"/>
      <c r="C601" s="10" t="s">
        <v>257</v>
      </c>
      <c r="D601" s="12"/>
      <c r="E601" s="11"/>
      <c r="F601" s="14">
        <v>0.84</v>
      </c>
      <c r="G601" s="13" t="s">
        <v>461</v>
      </c>
      <c r="H601" s="11">
        <v>1</v>
      </c>
      <c r="I601" s="14">
        <v>0.66</v>
      </c>
      <c r="J601" s="11">
        <v>17.329999999999998</v>
      </c>
      <c r="K601" s="14">
        <v>11.44</v>
      </c>
    </row>
    <row r="602" spans="1:11" ht="14.5" x14ac:dyDescent="0.25">
      <c r="A602" s="10"/>
      <c r="B602" s="10"/>
      <c r="C602" s="10" t="s">
        <v>258</v>
      </c>
      <c r="D602" s="12"/>
      <c r="E602" s="11"/>
      <c r="F602" s="14">
        <v>0.13</v>
      </c>
      <c r="G602" s="13" t="s">
        <v>461</v>
      </c>
      <c r="H602" s="11">
        <v>1</v>
      </c>
      <c r="I602" s="16">
        <v>0.1</v>
      </c>
      <c r="J602" s="11">
        <v>57.05</v>
      </c>
      <c r="K602" s="16">
        <v>5.71</v>
      </c>
    </row>
    <row r="603" spans="1:11" ht="56" x14ac:dyDescent="0.25">
      <c r="A603" s="10" t="s">
        <v>1183</v>
      </c>
      <c r="B603" s="10" t="s">
        <v>1435</v>
      </c>
      <c r="C603" s="10" t="s">
        <v>1179</v>
      </c>
      <c r="D603" s="12" t="s">
        <v>225</v>
      </c>
      <c r="E603" s="11">
        <v>5.3765999999999998</v>
      </c>
      <c r="F603" s="14">
        <v>40.159999999999997</v>
      </c>
      <c r="G603" s="15" t="s">
        <v>1</v>
      </c>
      <c r="H603" s="11">
        <v>1</v>
      </c>
      <c r="I603" s="14">
        <v>215.92</v>
      </c>
      <c r="J603" s="11">
        <v>2.61</v>
      </c>
      <c r="K603" s="14">
        <v>563.54999999999995</v>
      </c>
    </row>
    <row r="604" spans="1:11" ht="14.5" x14ac:dyDescent="0.25">
      <c r="A604" s="10"/>
      <c r="B604" s="10"/>
      <c r="C604" s="10" t="s">
        <v>260</v>
      </c>
      <c r="D604" s="12" t="s">
        <v>261</v>
      </c>
      <c r="E604" s="11">
        <v>90</v>
      </c>
      <c r="F604" s="14"/>
      <c r="G604" s="13"/>
      <c r="H604" s="11"/>
      <c r="I604" s="14">
        <v>45.24</v>
      </c>
      <c r="J604" s="11">
        <v>90</v>
      </c>
      <c r="K604" s="14">
        <v>2581.12</v>
      </c>
    </row>
    <row r="605" spans="1:11" ht="14.5" x14ac:dyDescent="0.25">
      <c r="A605" s="10"/>
      <c r="B605" s="10"/>
      <c r="C605" s="10" t="s">
        <v>262</v>
      </c>
      <c r="D605" s="12" t="s">
        <v>261</v>
      </c>
      <c r="E605" s="11">
        <v>42</v>
      </c>
      <c r="F605" s="14"/>
      <c r="G605" s="13"/>
      <c r="H605" s="11"/>
      <c r="I605" s="14">
        <v>21.11</v>
      </c>
      <c r="J605" s="11">
        <v>42</v>
      </c>
      <c r="K605" s="14">
        <v>1204.52</v>
      </c>
    </row>
    <row r="606" spans="1:11" ht="14.5" x14ac:dyDescent="0.25">
      <c r="A606" s="17"/>
      <c r="B606" s="17"/>
      <c r="C606" s="17" t="s">
        <v>263</v>
      </c>
      <c r="D606" s="18" t="s">
        <v>264</v>
      </c>
      <c r="E606" s="19">
        <v>4.6500000000000004</v>
      </c>
      <c r="F606" s="20"/>
      <c r="G606" s="37" t="s">
        <v>460</v>
      </c>
      <c r="H606" s="19">
        <v>1</v>
      </c>
      <c r="I606" s="20">
        <v>3.35</v>
      </c>
      <c r="J606" s="19"/>
      <c r="K606" s="20"/>
    </row>
    <row r="607" spans="1:11" ht="14" x14ac:dyDescent="0.25">
      <c r="C607" s="22" t="s">
        <v>265</v>
      </c>
      <c r="H607" s="143">
        <v>333.1</v>
      </c>
      <c r="I607" s="143"/>
      <c r="J607" s="143">
        <v>7222.83</v>
      </c>
      <c r="K607" s="143"/>
    </row>
    <row r="608" spans="1:11" ht="14" x14ac:dyDescent="0.25">
      <c r="C608" s="22" t="s">
        <v>267</v>
      </c>
      <c r="H608" s="141">
        <v>333.1</v>
      </c>
      <c r="I608" s="141"/>
      <c r="J608" s="141">
        <v>7222.83</v>
      </c>
      <c r="K608" s="141"/>
    </row>
    <row r="610" spans="1:11" ht="70" x14ac:dyDescent="0.25">
      <c r="A610" s="10">
        <v>53</v>
      </c>
      <c r="B610" s="10" t="s">
        <v>1443</v>
      </c>
      <c r="C610" s="10" t="s">
        <v>1184</v>
      </c>
      <c r="D610" s="12" t="s">
        <v>838</v>
      </c>
      <c r="E610" s="11">
        <v>0.52200000000000002</v>
      </c>
      <c r="F610" s="14"/>
      <c r="G610" s="13"/>
      <c r="H610" s="11"/>
      <c r="I610" s="14"/>
      <c r="J610" s="11"/>
      <c r="K610" s="14"/>
    </row>
    <row r="611" spans="1:11" x14ac:dyDescent="0.25">
      <c r="C611" s="23" t="s">
        <v>1442</v>
      </c>
    </row>
    <row r="612" spans="1:11" ht="14.5" x14ac:dyDescent="0.25">
      <c r="A612" s="10"/>
      <c r="B612" s="10"/>
      <c r="C612" s="10" t="s">
        <v>256</v>
      </c>
      <c r="D612" s="12"/>
      <c r="E612" s="11"/>
      <c r="F612" s="14">
        <v>1290.3800000000001</v>
      </c>
      <c r="G612" s="13" t="s">
        <v>460</v>
      </c>
      <c r="H612" s="11">
        <v>1</v>
      </c>
      <c r="I612" s="14">
        <v>929.54</v>
      </c>
      <c r="J612" s="11">
        <v>57.05</v>
      </c>
      <c r="K612" s="14">
        <v>53030.26</v>
      </c>
    </row>
    <row r="613" spans="1:11" ht="14.5" x14ac:dyDescent="0.25">
      <c r="A613" s="10"/>
      <c r="B613" s="10"/>
      <c r="C613" s="10" t="s">
        <v>257</v>
      </c>
      <c r="D613" s="12"/>
      <c r="E613" s="11"/>
      <c r="F613" s="14">
        <v>81.06</v>
      </c>
      <c r="G613" s="13" t="s">
        <v>461</v>
      </c>
      <c r="H613" s="11">
        <v>1</v>
      </c>
      <c r="I613" s="14">
        <v>63.47</v>
      </c>
      <c r="J613" s="11">
        <v>19.3</v>
      </c>
      <c r="K613" s="14">
        <v>1224.97</v>
      </c>
    </row>
    <row r="614" spans="1:11" ht="14.5" x14ac:dyDescent="0.25">
      <c r="A614" s="10"/>
      <c r="B614" s="10"/>
      <c r="C614" s="10" t="s">
        <v>258</v>
      </c>
      <c r="D614" s="12"/>
      <c r="E614" s="11"/>
      <c r="F614" s="14">
        <v>14.26</v>
      </c>
      <c r="G614" s="13" t="s">
        <v>461</v>
      </c>
      <c r="H614" s="11">
        <v>1</v>
      </c>
      <c r="I614" s="16">
        <v>11.17</v>
      </c>
      <c r="J614" s="11">
        <v>57.05</v>
      </c>
      <c r="K614" s="16">
        <v>637.25</v>
      </c>
    </row>
    <row r="615" spans="1:11" ht="14.5" x14ac:dyDescent="0.25">
      <c r="A615" s="10"/>
      <c r="B615" s="10"/>
      <c r="C615" s="10" t="s">
        <v>259</v>
      </c>
      <c r="D615" s="12"/>
      <c r="E615" s="11"/>
      <c r="F615" s="14">
        <v>9.2200000000000006</v>
      </c>
      <c r="G615" s="13"/>
      <c r="H615" s="11">
        <v>1</v>
      </c>
      <c r="I615" s="14">
        <v>4.8099999999999996</v>
      </c>
      <c r="J615" s="11">
        <v>3.9</v>
      </c>
      <c r="K615" s="14">
        <v>18.760000000000002</v>
      </c>
    </row>
    <row r="616" spans="1:11" ht="28" x14ac:dyDescent="0.25">
      <c r="A616" s="10" t="s">
        <v>1185</v>
      </c>
      <c r="B616" s="10" t="s">
        <v>1397</v>
      </c>
      <c r="C616" s="10" t="s">
        <v>1145</v>
      </c>
      <c r="D616" s="12" t="s">
        <v>34</v>
      </c>
      <c r="E616" s="11">
        <v>3.5756999999999999</v>
      </c>
      <c r="F616" s="14">
        <v>7.17</v>
      </c>
      <c r="G616" s="15" t="s">
        <v>1</v>
      </c>
      <c r="H616" s="11">
        <v>1</v>
      </c>
      <c r="I616" s="14">
        <v>25.64</v>
      </c>
      <c r="J616" s="11">
        <v>9.98</v>
      </c>
      <c r="K616" s="14">
        <v>255.89</v>
      </c>
    </row>
    <row r="617" spans="1:11" ht="70" x14ac:dyDescent="0.25">
      <c r="A617" s="10" t="s">
        <v>1186</v>
      </c>
      <c r="B617" s="10" t="s">
        <v>1382</v>
      </c>
      <c r="C617" s="10" t="s">
        <v>1130</v>
      </c>
      <c r="D617" s="12" t="s">
        <v>9</v>
      </c>
      <c r="E617" s="11">
        <v>7.3079999999999998</v>
      </c>
      <c r="F617" s="14">
        <v>17.649999999999999</v>
      </c>
      <c r="G617" s="15" t="s">
        <v>1</v>
      </c>
      <c r="H617" s="11">
        <v>1</v>
      </c>
      <c r="I617" s="14">
        <v>128.99</v>
      </c>
      <c r="J617" s="11">
        <v>5.44</v>
      </c>
      <c r="K617" s="14">
        <v>701.71</v>
      </c>
    </row>
    <row r="618" spans="1:11" ht="98" x14ac:dyDescent="0.25">
      <c r="A618" s="10" t="s">
        <v>1187</v>
      </c>
      <c r="B618" s="10" t="s">
        <v>1398</v>
      </c>
      <c r="C618" s="10" t="s">
        <v>1146</v>
      </c>
      <c r="D618" s="12" t="s">
        <v>28</v>
      </c>
      <c r="E618" s="11">
        <v>3.1320000000000001E-2</v>
      </c>
      <c r="F618" s="14">
        <v>5978.05</v>
      </c>
      <c r="G618" s="15" t="s">
        <v>1</v>
      </c>
      <c r="H618" s="11">
        <v>1</v>
      </c>
      <c r="I618" s="14">
        <v>187.23</v>
      </c>
      <c r="J618" s="11">
        <v>16.07</v>
      </c>
      <c r="K618" s="14">
        <v>3008.79</v>
      </c>
    </row>
    <row r="619" spans="1:11" ht="56" x14ac:dyDescent="0.25">
      <c r="A619" s="10" t="s">
        <v>1188</v>
      </c>
      <c r="B619" s="10" t="s">
        <v>1403</v>
      </c>
      <c r="C619" s="10" t="s">
        <v>1156</v>
      </c>
      <c r="D619" s="12" t="s">
        <v>28</v>
      </c>
      <c r="E619" s="11">
        <v>0.376226</v>
      </c>
      <c r="F619" s="14">
        <v>1416.73</v>
      </c>
      <c r="G619" s="15" t="s">
        <v>1</v>
      </c>
      <c r="H619" s="11">
        <v>1</v>
      </c>
      <c r="I619" s="14">
        <v>533.01</v>
      </c>
      <c r="J619" s="11">
        <v>22.03</v>
      </c>
      <c r="K619" s="14">
        <v>11742.21</v>
      </c>
    </row>
    <row r="620" spans="1:11" ht="28" x14ac:dyDescent="0.25">
      <c r="A620" s="10" t="s">
        <v>1189</v>
      </c>
      <c r="B620" s="10" t="s">
        <v>1444</v>
      </c>
      <c r="C620" s="10" t="s">
        <v>1190</v>
      </c>
      <c r="D620" s="12" t="s">
        <v>227</v>
      </c>
      <c r="E620" s="11">
        <v>57.942</v>
      </c>
      <c r="F620" s="14">
        <v>206.17</v>
      </c>
      <c r="G620" s="15" t="s">
        <v>1</v>
      </c>
      <c r="H620" s="11">
        <v>1</v>
      </c>
      <c r="I620" s="14">
        <v>11945.9</v>
      </c>
      <c r="J620" s="11">
        <v>8.73</v>
      </c>
      <c r="K620" s="14">
        <v>104287.71</v>
      </c>
    </row>
    <row r="621" spans="1:11" ht="14.5" x14ac:dyDescent="0.25">
      <c r="A621" s="10"/>
      <c r="B621" s="10"/>
      <c r="C621" s="10" t="s">
        <v>260</v>
      </c>
      <c r="D621" s="12" t="s">
        <v>261</v>
      </c>
      <c r="E621" s="11">
        <v>101</v>
      </c>
      <c r="F621" s="14"/>
      <c r="G621" s="13"/>
      <c r="H621" s="11"/>
      <c r="I621" s="14">
        <v>950.12</v>
      </c>
      <c r="J621" s="11">
        <v>101</v>
      </c>
      <c r="K621" s="14">
        <v>54204.19</v>
      </c>
    </row>
    <row r="622" spans="1:11" ht="14.5" x14ac:dyDescent="0.25">
      <c r="A622" s="10"/>
      <c r="B622" s="10"/>
      <c r="C622" s="10" t="s">
        <v>262</v>
      </c>
      <c r="D622" s="12" t="s">
        <v>261</v>
      </c>
      <c r="E622" s="11">
        <v>55</v>
      </c>
      <c r="F622" s="14"/>
      <c r="G622" s="13"/>
      <c r="H622" s="11"/>
      <c r="I622" s="14">
        <v>517.39</v>
      </c>
      <c r="J622" s="11">
        <v>55</v>
      </c>
      <c r="K622" s="14">
        <v>29517.13</v>
      </c>
    </row>
    <row r="623" spans="1:11" ht="14.5" x14ac:dyDescent="0.25">
      <c r="A623" s="17"/>
      <c r="B623" s="17"/>
      <c r="C623" s="17" t="s">
        <v>263</v>
      </c>
      <c r="D623" s="18" t="s">
        <v>264</v>
      </c>
      <c r="E623" s="19">
        <v>78.099999999999994</v>
      </c>
      <c r="F623" s="20"/>
      <c r="G623" s="37" t="s">
        <v>460</v>
      </c>
      <c r="H623" s="19">
        <v>1</v>
      </c>
      <c r="I623" s="20">
        <v>56.26</v>
      </c>
      <c r="J623" s="19"/>
      <c r="K623" s="20"/>
    </row>
    <row r="624" spans="1:11" ht="14" x14ac:dyDescent="0.25">
      <c r="C624" s="22" t="s">
        <v>265</v>
      </c>
      <c r="H624" s="143">
        <v>15286.1</v>
      </c>
      <c r="I624" s="143"/>
      <c r="J624" s="143">
        <v>257991.62</v>
      </c>
      <c r="K624" s="143"/>
    </row>
    <row r="625" spans="1:11" ht="14" x14ac:dyDescent="0.25">
      <c r="C625" s="22" t="s">
        <v>267</v>
      </c>
      <c r="H625" s="141">
        <v>15286.1</v>
      </c>
      <c r="I625" s="141"/>
      <c r="J625" s="141">
        <v>257991.62</v>
      </c>
      <c r="K625" s="141"/>
    </row>
    <row r="627" spans="1:11" ht="56" x14ac:dyDescent="0.25">
      <c r="A627" s="10">
        <v>54</v>
      </c>
      <c r="B627" s="10" t="s">
        <v>1445</v>
      </c>
      <c r="C627" s="10" t="s">
        <v>1191</v>
      </c>
      <c r="D627" s="12" t="s">
        <v>838</v>
      </c>
      <c r="E627" s="11">
        <v>0.52200000000000002</v>
      </c>
      <c r="F627" s="14"/>
      <c r="G627" s="13"/>
      <c r="H627" s="11"/>
      <c r="I627" s="14"/>
      <c r="J627" s="11"/>
      <c r="K627" s="14"/>
    </row>
    <row r="628" spans="1:11" x14ac:dyDescent="0.25">
      <c r="C628" s="23" t="s">
        <v>1442</v>
      </c>
    </row>
    <row r="629" spans="1:11" ht="28" x14ac:dyDescent="0.25">
      <c r="A629" s="10"/>
      <c r="B629" s="10"/>
      <c r="C629" s="10" t="s">
        <v>256</v>
      </c>
      <c r="D629" s="12"/>
      <c r="E629" s="11"/>
      <c r="F629" s="14">
        <v>13.94</v>
      </c>
      <c r="G629" s="13" t="s">
        <v>1192</v>
      </c>
      <c r="H629" s="11">
        <v>1</v>
      </c>
      <c r="I629" s="14">
        <v>50.21</v>
      </c>
      <c r="J629" s="11">
        <v>57.05</v>
      </c>
      <c r="K629" s="14">
        <v>2864.48</v>
      </c>
    </row>
    <row r="630" spans="1:11" ht="28" x14ac:dyDescent="0.25">
      <c r="A630" s="10"/>
      <c r="B630" s="10"/>
      <c r="C630" s="10" t="s">
        <v>257</v>
      </c>
      <c r="D630" s="12"/>
      <c r="E630" s="11"/>
      <c r="F630" s="14">
        <v>3.59</v>
      </c>
      <c r="G630" s="13" t="s">
        <v>1193</v>
      </c>
      <c r="H630" s="11">
        <v>1</v>
      </c>
      <c r="I630" s="14">
        <v>14.05</v>
      </c>
      <c r="J630" s="11">
        <v>19.37</v>
      </c>
      <c r="K630" s="14">
        <v>272.14999999999998</v>
      </c>
    </row>
    <row r="631" spans="1:11" ht="28" x14ac:dyDescent="0.25">
      <c r="A631" s="10"/>
      <c r="B631" s="10"/>
      <c r="C631" s="10" t="s">
        <v>258</v>
      </c>
      <c r="D631" s="12"/>
      <c r="E631" s="11"/>
      <c r="F631" s="14">
        <v>0.63</v>
      </c>
      <c r="G631" s="13" t="s">
        <v>1193</v>
      </c>
      <c r="H631" s="11">
        <v>1</v>
      </c>
      <c r="I631" s="16">
        <v>2.4700000000000002</v>
      </c>
      <c r="J631" s="11">
        <v>57.05</v>
      </c>
      <c r="K631" s="16">
        <v>140.91</v>
      </c>
    </row>
    <row r="632" spans="1:11" ht="14.5" x14ac:dyDescent="0.25">
      <c r="A632" s="10"/>
      <c r="B632" s="10"/>
      <c r="C632" s="10" t="s">
        <v>259</v>
      </c>
      <c r="D632" s="12"/>
      <c r="E632" s="11"/>
      <c r="F632" s="14">
        <v>0.21</v>
      </c>
      <c r="G632" s="13">
        <v>5</v>
      </c>
      <c r="H632" s="11">
        <v>1</v>
      </c>
      <c r="I632" s="14">
        <v>0.55000000000000004</v>
      </c>
      <c r="J632" s="11">
        <v>7.81</v>
      </c>
      <c r="K632" s="14">
        <v>4.3</v>
      </c>
    </row>
    <row r="633" spans="1:11" ht="56" x14ac:dyDescent="0.25">
      <c r="A633" s="10" t="s">
        <v>1194</v>
      </c>
      <c r="B633" s="10" t="s">
        <v>1403</v>
      </c>
      <c r="C633" s="10" t="s">
        <v>1156</v>
      </c>
      <c r="D633" s="12" t="s">
        <v>28</v>
      </c>
      <c r="E633" s="11">
        <v>0.37623200000000001</v>
      </c>
      <c r="F633" s="14">
        <v>1416.73</v>
      </c>
      <c r="G633" s="15" t="s">
        <v>1195</v>
      </c>
      <c r="H633" s="11">
        <v>1</v>
      </c>
      <c r="I633" s="14">
        <v>533.02</v>
      </c>
      <c r="J633" s="11">
        <v>22.03</v>
      </c>
      <c r="K633" s="14">
        <v>11742.43</v>
      </c>
    </row>
    <row r="634" spans="1:11" ht="14.5" x14ac:dyDescent="0.25">
      <c r="A634" s="10"/>
      <c r="B634" s="10"/>
      <c r="C634" s="10" t="s">
        <v>260</v>
      </c>
      <c r="D634" s="12" t="s">
        <v>261</v>
      </c>
      <c r="E634" s="11">
        <v>101</v>
      </c>
      <c r="F634" s="14"/>
      <c r="G634" s="13"/>
      <c r="H634" s="11"/>
      <c r="I634" s="14">
        <v>53.21</v>
      </c>
      <c r="J634" s="11">
        <v>101</v>
      </c>
      <c r="K634" s="14">
        <v>3035.44</v>
      </c>
    </row>
    <row r="635" spans="1:11" ht="14.5" x14ac:dyDescent="0.25">
      <c r="A635" s="10"/>
      <c r="B635" s="10"/>
      <c r="C635" s="10" t="s">
        <v>262</v>
      </c>
      <c r="D635" s="12" t="s">
        <v>261</v>
      </c>
      <c r="E635" s="11">
        <v>55</v>
      </c>
      <c r="F635" s="14"/>
      <c r="G635" s="13"/>
      <c r="H635" s="11"/>
      <c r="I635" s="14">
        <v>28.97</v>
      </c>
      <c r="J635" s="11">
        <v>55</v>
      </c>
      <c r="K635" s="14">
        <v>1652.96</v>
      </c>
    </row>
    <row r="636" spans="1:11" ht="28" x14ac:dyDescent="0.25">
      <c r="A636" s="17"/>
      <c r="B636" s="17"/>
      <c r="C636" s="17" t="s">
        <v>263</v>
      </c>
      <c r="D636" s="18" t="s">
        <v>264</v>
      </c>
      <c r="E636" s="19">
        <v>0.91</v>
      </c>
      <c r="F636" s="20"/>
      <c r="G636" s="37" t="s">
        <v>1192</v>
      </c>
      <c r="H636" s="19">
        <v>1</v>
      </c>
      <c r="I636" s="20">
        <v>3.28</v>
      </c>
      <c r="J636" s="19"/>
      <c r="K636" s="20"/>
    </row>
    <row r="637" spans="1:11" ht="14" x14ac:dyDescent="0.25">
      <c r="C637" s="22" t="s">
        <v>265</v>
      </c>
      <c r="H637" s="143">
        <v>680.01</v>
      </c>
      <c r="I637" s="143"/>
      <c r="J637" s="143">
        <v>19571.759999999998</v>
      </c>
      <c r="K637" s="143"/>
    </row>
    <row r="638" spans="1:11" ht="14" x14ac:dyDescent="0.25">
      <c r="C638" s="22" t="s">
        <v>267</v>
      </c>
      <c r="H638" s="141">
        <v>680.01</v>
      </c>
      <c r="I638" s="141"/>
      <c r="J638" s="141">
        <v>19571.759999999998</v>
      </c>
      <c r="K638" s="141"/>
    </row>
    <row r="641" spans="1:11" ht="14" x14ac:dyDescent="0.3">
      <c r="A641" s="140" t="s">
        <v>1446</v>
      </c>
      <c r="B641" s="140"/>
      <c r="C641" s="140"/>
      <c r="D641" s="140"/>
      <c r="E641" s="140"/>
      <c r="F641" s="140"/>
      <c r="G641" s="140"/>
      <c r="H641" s="141">
        <v>16299.21</v>
      </c>
      <c r="I641" s="142"/>
      <c r="J641" s="141">
        <v>284786.21000000002</v>
      </c>
      <c r="K641" s="142"/>
    </row>
    <row r="643" spans="1:11" ht="16.5" x14ac:dyDescent="0.25">
      <c r="A643" s="144" t="s">
        <v>1447</v>
      </c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</row>
    <row r="644" spans="1:11" ht="29" x14ac:dyDescent="0.25">
      <c r="A644" s="10">
        <v>55</v>
      </c>
      <c r="B644" s="10" t="s">
        <v>1448</v>
      </c>
      <c r="C644" s="10" t="s">
        <v>1196</v>
      </c>
      <c r="D644" s="12" t="s">
        <v>1449</v>
      </c>
      <c r="E644" s="11">
        <v>0.314</v>
      </c>
      <c r="F644" s="14"/>
      <c r="G644" s="13"/>
      <c r="H644" s="11"/>
      <c r="I644" s="14"/>
      <c r="J644" s="11"/>
      <c r="K644" s="14"/>
    </row>
    <row r="645" spans="1:11" x14ac:dyDescent="0.25">
      <c r="C645" s="23" t="s">
        <v>1450</v>
      </c>
    </row>
    <row r="646" spans="1:11" ht="14.5" x14ac:dyDescent="0.25">
      <c r="A646" s="10"/>
      <c r="B646" s="10"/>
      <c r="C646" s="10" t="s">
        <v>256</v>
      </c>
      <c r="D646" s="12"/>
      <c r="E646" s="11"/>
      <c r="F646" s="14">
        <v>325.45</v>
      </c>
      <c r="G646" s="13" t="s">
        <v>460</v>
      </c>
      <c r="H646" s="11">
        <v>1</v>
      </c>
      <c r="I646" s="14">
        <v>141.02000000000001</v>
      </c>
      <c r="J646" s="11">
        <v>57.05</v>
      </c>
      <c r="K646" s="14">
        <v>8045.19</v>
      </c>
    </row>
    <row r="647" spans="1:11" ht="14.5" x14ac:dyDescent="0.25">
      <c r="A647" s="10"/>
      <c r="B647" s="10"/>
      <c r="C647" s="10" t="s">
        <v>257</v>
      </c>
      <c r="D647" s="12"/>
      <c r="E647" s="11"/>
      <c r="F647" s="14">
        <v>1.8</v>
      </c>
      <c r="G647" s="13" t="s">
        <v>461</v>
      </c>
      <c r="H647" s="11">
        <v>1</v>
      </c>
      <c r="I647" s="14">
        <v>0.85</v>
      </c>
      <c r="J647" s="11">
        <v>13.82</v>
      </c>
      <c r="K647" s="14">
        <v>11.75</v>
      </c>
    </row>
    <row r="648" spans="1:11" ht="14.5" x14ac:dyDescent="0.25">
      <c r="A648" s="10"/>
      <c r="B648" s="10"/>
      <c r="C648" s="10" t="s">
        <v>259</v>
      </c>
      <c r="D648" s="12"/>
      <c r="E648" s="11"/>
      <c r="F648" s="14">
        <v>24.75</v>
      </c>
      <c r="G648" s="13"/>
      <c r="H648" s="11">
        <v>1</v>
      </c>
      <c r="I648" s="14">
        <v>7.77</v>
      </c>
      <c r="J648" s="11">
        <v>7.75</v>
      </c>
      <c r="K648" s="14">
        <v>60.22</v>
      </c>
    </row>
    <row r="649" spans="1:11" ht="14.5" x14ac:dyDescent="0.25">
      <c r="A649" s="10" t="s">
        <v>1197</v>
      </c>
      <c r="B649" s="10" t="s">
        <v>1451</v>
      </c>
      <c r="C649" s="10" t="s">
        <v>1198</v>
      </c>
      <c r="D649" s="12" t="s">
        <v>1391</v>
      </c>
      <c r="E649" s="11">
        <v>0.64056000000000002</v>
      </c>
      <c r="F649" s="14">
        <v>467.32</v>
      </c>
      <c r="G649" s="15" t="s">
        <v>1</v>
      </c>
      <c r="H649" s="11">
        <v>1</v>
      </c>
      <c r="I649" s="14">
        <v>299.35000000000002</v>
      </c>
      <c r="J649" s="11">
        <v>10.96</v>
      </c>
      <c r="K649" s="14">
        <v>3280.88</v>
      </c>
    </row>
    <row r="650" spans="1:11" ht="14.5" x14ac:dyDescent="0.25">
      <c r="A650" s="10"/>
      <c r="B650" s="10"/>
      <c r="C650" s="10" t="s">
        <v>260</v>
      </c>
      <c r="D650" s="12" t="s">
        <v>261</v>
      </c>
      <c r="E650" s="11">
        <v>101</v>
      </c>
      <c r="F650" s="14"/>
      <c r="G650" s="13"/>
      <c r="H650" s="11"/>
      <c r="I650" s="14">
        <v>142.43</v>
      </c>
      <c r="J650" s="11">
        <v>101</v>
      </c>
      <c r="K650" s="14">
        <v>8125.64</v>
      </c>
    </row>
    <row r="651" spans="1:11" ht="14.5" x14ac:dyDescent="0.25">
      <c r="A651" s="10"/>
      <c r="B651" s="10"/>
      <c r="C651" s="10" t="s">
        <v>262</v>
      </c>
      <c r="D651" s="12" t="s">
        <v>261</v>
      </c>
      <c r="E651" s="11">
        <v>55</v>
      </c>
      <c r="F651" s="14"/>
      <c r="G651" s="13"/>
      <c r="H651" s="11"/>
      <c r="I651" s="14">
        <v>77.56</v>
      </c>
      <c r="J651" s="11">
        <v>55</v>
      </c>
      <c r="K651" s="14">
        <v>4424.8500000000004</v>
      </c>
    </row>
    <row r="652" spans="1:11" ht="14.5" x14ac:dyDescent="0.25">
      <c r="A652" s="17"/>
      <c r="B652" s="17"/>
      <c r="C652" s="17" t="s">
        <v>263</v>
      </c>
      <c r="D652" s="18" t="s">
        <v>264</v>
      </c>
      <c r="E652" s="19">
        <v>23.33</v>
      </c>
      <c r="F652" s="20"/>
      <c r="G652" s="37" t="s">
        <v>460</v>
      </c>
      <c r="H652" s="19">
        <v>1</v>
      </c>
      <c r="I652" s="20">
        <v>10.11</v>
      </c>
      <c r="J652" s="19"/>
      <c r="K652" s="20"/>
    </row>
    <row r="653" spans="1:11" ht="14" x14ac:dyDescent="0.25">
      <c r="C653" s="22" t="s">
        <v>265</v>
      </c>
      <c r="H653" s="143">
        <v>668.98</v>
      </c>
      <c r="I653" s="143"/>
      <c r="J653" s="143">
        <v>23948.53</v>
      </c>
      <c r="K653" s="143"/>
    </row>
    <row r="654" spans="1:11" ht="14" x14ac:dyDescent="0.25">
      <c r="C654" s="22" t="s">
        <v>267</v>
      </c>
      <c r="H654" s="141">
        <v>668.98</v>
      </c>
      <c r="I654" s="141"/>
      <c r="J654" s="141">
        <v>23948.53</v>
      </c>
      <c r="K654" s="141"/>
    </row>
    <row r="656" spans="1:11" ht="42" x14ac:dyDescent="0.25">
      <c r="A656" s="10">
        <v>56</v>
      </c>
      <c r="B656" s="10" t="s">
        <v>1452</v>
      </c>
      <c r="C656" s="10" t="s">
        <v>1199</v>
      </c>
      <c r="D656" s="12" t="s">
        <v>1449</v>
      </c>
      <c r="E656" s="11">
        <v>0.314</v>
      </c>
      <c r="F656" s="14"/>
      <c r="G656" s="13"/>
      <c r="H656" s="11"/>
      <c r="I656" s="14"/>
      <c r="J656" s="11"/>
      <c r="K656" s="14"/>
    </row>
    <row r="657" spans="1:11" x14ac:dyDescent="0.25">
      <c r="C657" s="23" t="s">
        <v>1450</v>
      </c>
    </row>
    <row r="658" spans="1:11" ht="28" x14ac:dyDescent="0.25">
      <c r="A658" s="10"/>
      <c r="B658" s="10"/>
      <c r="C658" s="10" t="s">
        <v>256</v>
      </c>
      <c r="D658" s="12"/>
      <c r="E658" s="11"/>
      <c r="F658" s="14">
        <v>6.03</v>
      </c>
      <c r="G658" s="13" t="s">
        <v>1200</v>
      </c>
      <c r="H658" s="11">
        <v>1</v>
      </c>
      <c r="I658" s="14">
        <v>15.68</v>
      </c>
      <c r="J658" s="11">
        <v>57.05</v>
      </c>
      <c r="K658" s="14">
        <v>894.54</v>
      </c>
    </row>
    <row r="659" spans="1:11" ht="28" x14ac:dyDescent="0.25">
      <c r="A659" s="10"/>
      <c r="B659" s="10"/>
      <c r="C659" s="10" t="s">
        <v>257</v>
      </c>
      <c r="D659" s="12"/>
      <c r="E659" s="11"/>
      <c r="F659" s="14">
        <v>0.46</v>
      </c>
      <c r="G659" s="13" t="s">
        <v>1201</v>
      </c>
      <c r="H659" s="11">
        <v>1</v>
      </c>
      <c r="I659" s="14">
        <v>1.3</v>
      </c>
      <c r="J659" s="11">
        <v>13.83</v>
      </c>
      <c r="K659" s="14">
        <v>17.98</v>
      </c>
    </row>
    <row r="660" spans="1:11" ht="14.5" x14ac:dyDescent="0.25">
      <c r="A660" s="10" t="s">
        <v>1202</v>
      </c>
      <c r="B660" s="10" t="s">
        <v>1451</v>
      </c>
      <c r="C660" s="10" t="s">
        <v>1198</v>
      </c>
      <c r="D660" s="12" t="s">
        <v>1391</v>
      </c>
      <c r="E660" s="11">
        <v>0.96084000000000003</v>
      </c>
      <c r="F660" s="14">
        <v>467.32</v>
      </c>
      <c r="G660" s="15" t="s">
        <v>1203</v>
      </c>
      <c r="H660" s="11">
        <v>1</v>
      </c>
      <c r="I660" s="14">
        <v>449.02</v>
      </c>
      <c r="J660" s="11">
        <v>10.96</v>
      </c>
      <c r="K660" s="14">
        <v>4921.26</v>
      </c>
    </row>
    <row r="661" spans="1:11" ht="14.5" x14ac:dyDescent="0.25">
      <c r="A661" s="10"/>
      <c r="B661" s="10"/>
      <c r="C661" s="10" t="s">
        <v>260</v>
      </c>
      <c r="D661" s="12" t="s">
        <v>261</v>
      </c>
      <c r="E661" s="11">
        <v>101</v>
      </c>
      <c r="F661" s="14"/>
      <c r="G661" s="13"/>
      <c r="H661" s="11"/>
      <c r="I661" s="14">
        <v>15.84</v>
      </c>
      <c r="J661" s="11">
        <v>101</v>
      </c>
      <c r="K661" s="14">
        <v>903.49</v>
      </c>
    </row>
    <row r="662" spans="1:11" ht="14.5" x14ac:dyDescent="0.25">
      <c r="A662" s="10"/>
      <c r="B662" s="10"/>
      <c r="C662" s="10" t="s">
        <v>262</v>
      </c>
      <c r="D662" s="12" t="s">
        <v>261</v>
      </c>
      <c r="E662" s="11">
        <v>55</v>
      </c>
      <c r="F662" s="14"/>
      <c r="G662" s="13"/>
      <c r="H662" s="11"/>
      <c r="I662" s="14">
        <v>8.6199999999999992</v>
      </c>
      <c r="J662" s="11">
        <v>55</v>
      </c>
      <c r="K662" s="14">
        <v>492</v>
      </c>
    </row>
    <row r="663" spans="1:11" ht="28" x14ac:dyDescent="0.25">
      <c r="A663" s="17"/>
      <c r="B663" s="17"/>
      <c r="C663" s="17" t="s">
        <v>263</v>
      </c>
      <c r="D663" s="18" t="s">
        <v>264</v>
      </c>
      <c r="E663" s="19">
        <v>0.44</v>
      </c>
      <c r="F663" s="20"/>
      <c r="G663" s="37" t="s">
        <v>1200</v>
      </c>
      <c r="H663" s="19">
        <v>1</v>
      </c>
      <c r="I663" s="20">
        <v>1.1399999999999999</v>
      </c>
      <c r="J663" s="19"/>
      <c r="K663" s="20"/>
    </row>
    <row r="664" spans="1:11" ht="14" x14ac:dyDescent="0.25">
      <c r="C664" s="22" t="s">
        <v>265</v>
      </c>
      <c r="H664" s="143">
        <v>490.46</v>
      </c>
      <c r="I664" s="143"/>
      <c r="J664" s="143">
        <v>7229.27</v>
      </c>
      <c r="K664" s="143"/>
    </row>
    <row r="665" spans="1:11" ht="14" x14ac:dyDescent="0.25">
      <c r="C665" s="22" t="s">
        <v>267</v>
      </c>
      <c r="H665" s="141">
        <v>490.46</v>
      </c>
      <c r="I665" s="141"/>
      <c r="J665" s="141">
        <v>7229.27</v>
      </c>
      <c r="K665" s="141"/>
    </row>
    <row r="667" spans="1:11" ht="70" x14ac:dyDescent="0.25">
      <c r="A667" s="10">
        <v>57</v>
      </c>
      <c r="B667" s="10" t="s">
        <v>1443</v>
      </c>
      <c r="C667" s="10" t="s">
        <v>1184</v>
      </c>
      <c r="D667" s="12" t="s">
        <v>838</v>
      </c>
      <c r="E667" s="11">
        <v>0.314</v>
      </c>
      <c r="F667" s="14"/>
      <c r="G667" s="13"/>
      <c r="H667" s="11"/>
      <c r="I667" s="14"/>
      <c r="J667" s="11"/>
      <c r="K667" s="14"/>
    </row>
    <row r="668" spans="1:11" x14ac:dyDescent="0.25">
      <c r="C668" s="23" t="s">
        <v>1450</v>
      </c>
    </row>
    <row r="669" spans="1:11" ht="14.5" x14ac:dyDescent="0.25">
      <c r="A669" s="10"/>
      <c r="B669" s="10"/>
      <c r="C669" s="10" t="s">
        <v>256</v>
      </c>
      <c r="D669" s="12"/>
      <c r="E669" s="11"/>
      <c r="F669" s="14">
        <v>1290.3800000000001</v>
      </c>
      <c r="G669" s="13" t="s">
        <v>460</v>
      </c>
      <c r="H669" s="11">
        <v>1</v>
      </c>
      <c r="I669" s="14">
        <v>559.15</v>
      </c>
      <c r="J669" s="11">
        <v>57.05</v>
      </c>
      <c r="K669" s="14">
        <v>31899.51</v>
      </c>
    </row>
    <row r="670" spans="1:11" ht="14.5" x14ac:dyDescent="0.25">
      <c r="A670" s="10"/>
      <c r="B670" s="10"/>
      <c r="C670" s="10" t="s">
        <v>257</v>
      </c>
      <c r="D670" s="12"/>
      <c r="E670" s="11"/>
      <c r="F670" s="14">
        <v>81.06</v>
      </c>
      <c r="G670" s="13" t="s">
        <v>461</v>
      </c>
      <c r="H670" s="11">
        <v>1</v>
      </c>
      <c r="I670" s="14">
        <v>38.18</v>
      </c>
      <c r="J670" s="11">
        <v>19.3</v>
      </c>
      <c r="K670" s="14">
        <v>736.87</v>
      </c>
    </row>
    <row r="671" spans="1:11" ht="14.5" x14ac:dyDescent="0.25">
      <c r="A671" s="10"/>
      <c r="B671" s="10"/>
      <c r="C671" s="10" t="s">
        <v>258</v>
      </c>
      <c r="D671" s="12"/>
      <c r="E671" s="11"/>
      <c r="F671" s="14">
        <v>14.26</v>
      </c>
      <c r="G671" s="13" t="s">
        <v>461</v>
      </c>
      <c r="H671" s="11">
        <v>1</v>
      </c>
      <c r="I671" s="16">
        <v>6.72</v>
      </c>
      <c r="J671" s="11">
        <v>57.05</v>
      </c>
      <c r="K671" s="16">
        <v>383.38</v>
      </c>
    </row>
    <row r="672" spans="1:11" ht="14.5" x14ac:dyDescent="0.25">
      <c r="A672" s="10"/>
      <c r="B672" s="10"/>
      <c r="C672" s="10" t="s">
        <v>259</v>
      </c>
      <c r="D672" s="12"/>
      <c r="E672" s="11"/>
      <c r="F672" s="14">
        <v>9.2200000000000006</v>
      </c>
      <c r="G672" s="13"/>
      <c r="H672" s="11">
        <v>1</v>
      </c>
      <c r="I672" s="14">
        <v>2.9</v>
      </c>
      <c r="J672" s="11">
        <v>3.9</v>
      </c>
      <c r="K672" s="14">
        <v>11.31</v>
      </c>
    </row>
    <row r="673" spans="1:11" ht="28" x14ac:dyDescent="0.25">
      <c r="A673" s="10" t="s">
        <v>528</v>
      </c>
      <c r="B673" s="10" t="s">
        <v>1397</v>
      </c>
      <c r="C673" s="10" t="s">
        <v>1145</v>
      </c>
      <c r="D673" s="12" t="s">
        <v>34</v>
      </c>
      <c r="E673" s="11">
        <v>2.1509</v>
      </c>
      <c r="F673" s="14">
        <v>7.17</v>
      </c>
      <c r="G673" s="15" t="s">
        <v>1</v>
      </c>
      <c r="H673" s="11">
        <v>1</v>
      </c>
      <c r="I673" s="14">
        <v>15.42</v>
      </c>
      <c r="J673" s="11">
        <v>9.98</v>
      </c>
      <c r="K673" s="14">
        <v>153.88999999999999</v>
      </c>
    </row>
    <row r="674" spans="1:11" ht="70" x14ac:dyDescent="0.25">
      <c r="A674" s="10" t="s">
        <v>1204</v>
      </c>
      <c r="B674" s="10" t="s">
        <v>1382</v>
      </c>
      <c r="C674" s="10" t="s">
        <v>1130</v>
      </c>
      <c r="D674" s="12" t="s">
        <v>9</v>
      </c>
      <c r="E674" s="11">
        <v>4.3959999999999999</v>
      </c>
      <c r="F674" s="14">
        <v>17.649999999999999</v>
      </c>
      <c r="G674" s="15" t="s">
        <v>1</v>
      </c>
      <c r="H674" s="11">
        <v>1</v>
      </c>
      <c r="I674" s="14">
        <v>77.59</v>
      </c>
      <c r="J674" s="11">
        <v>5.44</v>
      </c>
      <c r="K674" s="14">
        <v>422.09</v>
      </c>
    </row>
    <row r="675" spans="1:11" ht="98" x14ac:dyDescent="0.25">
      <c r="A675" s="10" t="s">
        <v>1205</v>
      </c>
      <c r="B675" s="10" t="s">
        <v>1398</v>
      </c>
      <c r="C675" s="10" t="s">
        <v>1146</v>
      </c>
      <c r="D675" s="12" t="s">
        <v>28</v>
      </c>
      <c r="E675" s="11">
        <v>1.8839999999999999E-2</v>
      </c>
      <c r="F675" s="14">
        <v>5978.05</v>
      </c>
      <c r="G675" s="15" t="s">
        <v>1</v>
      </c>
      <c r="H675" s="11">
        <v>1</v>
      </c>
      <c r="I675" s="14">
        <v>112.63</v>
      </c>
      <c r="J675" s="11">
        <v>16.07</v>
      </c>
      <c r="K675" s="14">
        <v>1809.96</v>
      </c>
    </row>
    <row r="676" spans="1:11" ht="56" x14ac:dyDescent="0.25">
      <c r="A676" s="10" t="s">
        <v>1206</v>
      </c>
      <c r="B676" s="10" t="s">
        <v>1403</v>
      </c>
      <c r="C676" s="10" t="s">
        <v>1156</v>
      </c>
      <c r="D676" s="12" t="s">
        <v>28</v>
      </c>
      <c r="E676" s="11">
        <v>0.22631200000000001</v>
      </c>
      <c r="F676" s="14">
        <v>1416.73</v>
      </c>
      <c r="G676" s="15" t="s">
        <v>1</v>
      </c>
      <c r="H676" s="11">
        <v>1</v>
      </c>
      <c r="I676" s="14">
        <v>320.62</v>
      </c>
      <c r="J676" s="11">
        <v>22.03</v>
      </c>
      <c r="K676" s="14">
        <v>7063.26</v>
      </c>
    </row>
    <row r="677" spans="1:11" ht="28" x14ac:dyDescent="0.25">
      <c r="A677" s="10" t="s">
        <v>1207</v>
      </c>
      <c r="B677" s="10" t="s">
        <v>1444</v>
      </c>
      <c r="C677" s="10" t="s">
        <v>1190</v>
      </c>
      <c r="D677" s="12" t="s">
        <v>227</v>
      </c>
      <c r="E677" s="11">
        <v>34.853999999999999</v>
      </c>
      <c r="F677" s="14">
        <v>206.17</v>
      </c>
      <c r="G677" s="15" t="s">
        <v>1</v>
      </c>
      <c r="H677" s="11">
        <v>1</v>
      </c>
      <c r="I677" s="14">
        <v>7185.85</v>
      </c>
      <c r="J677" s="11">
        <v>8.73</v>
      </c>
      <c r="K677" s="14">
        <v>62732.47</v>
      </c>
    </row>
    <row r="678" spans="1:11" ht="14.5" x14ac:dyDescent="0.25">
      <c r="A678" s="10"/>
      <c r="B678" s="10"/>
      <c r="C678" s="10" t="s">
        <v>260</v>
      </c>
      <c r="D678" s="12" t="s">
        <v>261</v>
      </c>
      <c r="E678" s="11">
        <v>101</v>
      </c>
      <c r="F678" s="14"/>
      <c r="G678" s="13"/>
      <c r="H678" s="11"/>
      <c r="I678" s="14">
        <v>571.53</v>
      </c>
      <c r="J678" s="11">
        <v>101</v>
      </c>
      <c r="K678" s="14">
        <v>32605.72</v>
      </c>
    </row>
    <row r="679" spans="1:11" ht="14.5" x14ac:dyDescent="0.25">
      <c r="A679" s="10"/>
      <c r="B679" s="10"/>
      <c r="C679" s="10" t="s">
        <v>262</v>
      </c>
      <c r="D679" s="12" t="s">
        <v>261</v>
      </c>
      <c r="E679" s="11">
        <v>55</v>
      </c>
      <c r="F679" s="14"/>
      <c r="G679" s="13"/>
      <c r="H679" s="11"/>
      <c r="I679" s="14">
        <v>311.23</v>
      </c>
      <c r="J679" s="11">
        <v>55</v>
      </c>
      <c r="K679" s="14">
        <v>17755.59</v>
      </c>
    </row>
    <row r="680" spans="1:11" ht="14.5" x14ac:dyDescent="0.25">
      <c r="A680" s="17"/>
      <c r="B680" s="17"/>
      <c r="C680" s="17" t="s">
        <v>263</v>
      </c>
      <c r="D680" s="18" t="s">
        <v>264</v>
      </c>
      <c r="E680" s="19">
        <v>78.099999999999994</v>
      </c>
      <c r="F680" s="20"/>
      <c r="G680" s="37" t="s">
        <v>460</v>
      </c>
      <c r="H680" s="19">
        <v>1</v>
      </c>
      <c r="I680" s="20">
        <v>33.840000000000003</v>
      </c>
      <c r="J680" s="19"/>
      <c r="K680" s="20"/>
    </row>
    <row r="681" spans="1:11" ht="14" x14ac:dyDescent="0.25">
      <c r="C681" s="22" t="s">
        <v>265</v>
      </c>
      <c r="H681" s="143">
        <v>9195.1</v>
      </c>
      <c r="I681" s="143"/>
      <c r="J681" s="143">
        <v>155190.67000000001</v>
      </c>
      <c r="K681" s="143"/>
    </row>
    <row r="682" spans="1:11" ht="14" x14ac:dyDescent="0.25">
      <c r="C682" s="22" t="s">
        <v>267</v>
      </c>
      <c r="H682" s="141">
        <v>9195.1</v>
      </c>
      <c r="I682" s="141"/>
      <c r="J682" s="141">
        <v>155190.67000000001</v>
      </c>
      <c r="K682" s="141"/>
    </row>
    <row r="684" spans="1:11" ht="56" x14ac:dyDescent="0.25">
      <c r="A684" s="10">
        <v>58</v>
      </c>
      <c r="B684" s="10" t="s">
        <v>1445</v>
      </c>
      <c r="C684" s="10" t="s">
        <v>1191</v>
      </c>
      <c r="D684" s="12" t="s">
        <v>838</v>
      </c>
      <c r="E684" s="11">
        <v>0.314</v>
      </c>
      <c r="F684" s="14"/>
      <c r="G684" s="13"/>
      <c r="H684" s="11"/>
      <c r="I684" s="14"/>
      <c r="J684" s="11"/>
      <c r="K684" s="14"/>
    </row>
    <row r="685" spans="1:11" x14ac:dyDescent="0.25">
      <c r="C685" s="23" t="s">
        <v>1450</v>
      </c>
    </row>
    <row r="686" spans="1:11" ht="28" x14ac:dyDescent="0.25">
      <c r="A686" s="10"/>
      <c r="B686" s="10"/>
      <c r="C686" s="10" t="s">
        <v>256</v>
      </c>
      <c r="D686" s="12"/>
      <c r="E686" s="11"/>
      <c r="F686" s="14">
        <v>13.94</v>
      </c>
      <c r="G686" s="13" t="s">
        <v>1192</v>
      </c>
      <c r="H686" s="11">
        <v>1</v>
      </c>
      <c r="I686" s="14">
        <v>30.2</v>
      </c>
      <c r="J686" s="11">
        <v>57.05</v>
      </c>
      <c r="K686" s="14">
        <v>1722.91</v>
      </c>
    </row>
    <row r="687" spans="1:11" ht="28" x14ac:dyDescent="0.25">
      <c r="A687" s="10"/>
      <c r="B687" s="10"/>
      <c r="C687" s="10" t="s">
        <v>257</v>
      </c>
      <c r="D687" s="12"/>
      <c r="E687" s="11"/>
      <c r="F687" s="14">
        <v>3.59</v>
      </c>
      <c r="G687" s="13" t="s">
        <v>1193</v>
      </c>
      <c r="H687" s="11">
        <v>1</v>
      </c>
      <c r="I687" s="14">
        <v>8.4499999999999993</v>
      </c>
      <c r="J687" s="11">
        <v>19.37</v>
      </c>
      <c r="K687" s="14">
        <v>163.68</v>
      </c>
    </row>
    <row r="688" spans="1:11" ht="28" x14ac:dyDescent="0.25">
      <c r="A688" s="10"/>
      <c r="B688" s="10"/>
      <c r="C688" s="10" t="s">
        <v>258</v>
      </c>
      <c r="D688" s="12"/>
      <c r="E688" s="11"/>
      <c r="F688" s="14">
        <v>0.63</v>
      </c>
      <c r="G688" s="13" t="s">
        <v>1193</v>
      </c>
      <c r="H688" s="11">
        <v>1</v>
      </c>
      <c r="I688" s="16">
        <v>1.48</v>
      </c>
      <c r="J688" s="11">
        <v>57.05</v>
      </c>
      <c r="K688" s="16">
        <v>84.43</v>
      </c>
    </row>
    <row r="689" spans="1:11" ht="14.5" x14ac:dyDescent="0.25">
      <c r="A689" s="10"/>
      <c r="B689" s="10"/>
      <c r="C689" s="10" t="s">
        <v>259</v>
      </c>
      <c r="D689" s="12"/>
      <c r="E689" s="11"/>
      <c r="F689" s="14">
        <v>0.21</v>
      </c>
      <c r="G689" s="13">
        <v>5</v>
      </c>
      <c r="H689" s="11">
        <v>1</v>
      </c>
      <c r="I689" s="14">
        <v>0.33</v>
      </c>
      <c r="J689" s="11">
        <v>7.81</v>
      </c>
      <c r="K689" s="14">
        <v>2.58</v>
      </c>
    </row>
    <row r="690" spans="1:11" ht="56" x14ac:dyDescent="0.25">
      <c r="A690" s="10" t="s">
        <v>532</v>
      </c>
      <c r="B690" s="10" t="s">
        <v>1403</v>
      </c>
      <c r="C690" s="10" t="s">
        <v>1156</v>
      </c>
      <c r="D690" s="12" t="s">
        <v>28</v>
      </c>
      <c r="E690" s="11">
        <v>0.22631599999999999</v>
      </c>
      <c r="F690" s="14">
        <v>1416.73</v>
      </c>
      <c r="G690" s="15" t="s">
        <v>1195</v>
      </c>
      <c r="H690" s="11">
        <v>1</v>
      </c>
      <c r="I690" s="14">
        <v>320.63</v>
      </c>
      <c r="J690" s="11">
        <v>22.03</v>
      </c>
      <c r="K690" s="14">
        <v>7063.48</v>
      </c>
    </row>
    <row r="691" spans="1:11" ht="14.5" x14ac:dyDescent="0.25">
      <c r="A691" s="10"/>
      <c r="B691" s="10"/>
      <c r="C691" s="10" t="s">
        <v>260</v>
      </c>
      <c r="D691" s="12" t="s">
        <v>261</v>
      </c>
      <c r="E691" s="11">
        <v>101</v>
      </c>
      <c r="F691" s="14"/>
      <c r="G691" s="13"/>
      <c r="H691" s="11"/>
      <c r="I691" s="14">
        <v>32</v>
      </c>
      <c r="J691" s="11">
        <v>101</v>
      </c>
      <c r="K691" s="14">
        <v>1825.41</v>
      </c>
    </row>
    <row r="692" spans="1:11" ht="14.5" x14ac:dyDescent="0.25">
      <c r="A692" s="10"/>
      <c r="B692" s="10"/>
      <c r="C692" s="10" t="s">
        <v>262</v>
      </c>
      <c r="D692" s="12" t="s">
        <v>261</v>
      </c>
      <c r="E692" s="11">
        <v>55</v>
      </c>
      <c r="F692" s="14"/>
      <c r="G692" s="13"/>
      <c r="H692" s="11"/>
      <c r="I692" s="14">
        <v>17.420000000000002</v>
      </c>
      <c r="J692" s="11">
        <v>55</v>
      </c>
      <c r="K692" s="14">
        <v>994.04</v>
      </c>
    </row>
    <row r="693" spans="1:11" ht="28" x14ac:dyDescent="0.25">
      <c r="A693" s="17"/>
      <c r="B693" s="17"/>
      <c r="C693" s="17" t="s">
        <v>263</v>
      </c>
      <c r="D693" s="18" t="s">
        <v>264</v>
      </c>
      <c r="E693" s="19">
        <v>0.91</v>
      </c>
      <c r="F693" s="20"/>
      <c r="G693" s="37" t="s">
        <v>1192</v>
      </c>
      <c r="H693" s="19">
        <v>1</v>
      </c>
      <c r="I693" s="20">
        <v>1.97</v>
      </c>
      <c r="J693" s="19"/>
      <c r="K693" s="20"/>
    </row>
    <row r="694" spans="1:11" ht="14" x14ac:dyDescent="0.25">
      <c r="C694" s="22" t="s">
        <v>265</v>
      </c>
      <c r="H694" s="143">
        <v>409.03</v>
      </c>
      <c r="I694" s="143"/>
      <c r="J694" s="143">
        <v>11772.1</v>
      </c>
      <c r="K694" s="143"/>
    </row>
    <row r="695" spans="1:11" ht="14" x14ac:dyDescent="0.25">
      <c r="C695" s="22" t="s">
        <v>267</v>
      </c>
      <c r="H695" s="141">
        <v>409.03</v>
      </c>
      <c r="I695" s="141"/>
      <c r="J695" s="141">
        <v>11772.1</v>
      </c>
      <c r="K695" s="141"/>
    </row>
    <row r="698" spans="1:11" ht="14" x14ac:dyDescent="0.3">
      <c r="A698" s="140" t="s">
        <v>1453</v>
      </c>
      <c r="B698" s="140"/>
      <c r="C698" s="140"/>
      <c r="D698" s="140"/>
      <c r="E698" s="140"/>
      <c r="F698" s="140"/>
      <c r="G698" s="140"/>
      <c r="H698" s="141">
        <v>10763.57</v>
      </c>
      <c r="I698" s="142"/>
      <c r="J698" s="141">
        <v>198140.57</v>
      </c>
      <c r="K698" s="142"/>
    </row>
    <row r="700" spans="1:11" ht="16.5" x14ac:dyDescent="0.25">
      <c r="A700" s="144" t="s">
        <v>1454</v>
      </c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</row>
    <row r="701" spans="1:11" ht="42" x14ac:dyDescent="0.25">
      <c r="A701" s="10">
        <v>59</v>
      </c>
      <c r="B701" s="10" t="s">
        <v>1433</v>
      </c>
      <c r="C701" s="10" t="s">
        <v>1521</v>
      </c>
      <c r="D701" s="12" t="s">
        <v>838</v>
      </c>
      <c r="E701" s="11">
        <v>0.22500000000000001</v>
      </c>
      <c r="F701" s="14"/>
      <c r="G701" s="13"/>
      <c r="H701" s="11"/>
      <c r="I701" s="14"/>
      <c r="J701" s="11"/>
      <c r="K701" s="14"/>
    </row>
    <row r="702" spans="1:11" x14ac:dyDescent="0.25">
      <c r="C702" s="23" t="s">
        <v>1455</v>
      </c>
    </row>
    <row r="703" spans="1:11" ht="14.5" x14ac:dyDescent="0.25">
      <c r="A703" s="10"/>
      <c r="B703" s="10"/>
      <c r="C703" s="10" t="s">
        <v>256</v>
      </c>
      <c r="D703" s="12"/>
      <c r="E703" s="11"/>
      <c r="F703" s="14">
        <v>69.650000000000006</v>
      </c>
      <c r="G703" s="13" t="s">
        <v>460</v>
      </c>
      <c r="H703" s="11">
        <v>1</v>
      </c>
      <c r="I703" s="14">
        <v>21.63</v>
      </c>
      <c r="J703" s="11">
        <v>57.05</v>
      </c>
      <c r="K703" s="14">
        <v>1233.99</v>
      </c>
    </row>
    <row r="704" spans="1:11" ht="14.5" x14ac:dyDescent="0.25">
      <c r="A704" s="10"/>
      <c r="B704" s="10"/>
      <c r="C704" s="10" t="s">
        <v>257</v>
      </c>
      <c r="D704" s="12"/>
      <c r="E704" s="11"/>
      <c r="F704" s="14">
        <v>0.84</v>
      </c>
      <c r="G704" s="13" t="s">
        <v>461</v>
      </c>
      <c r="H704" s="11">
        <v>1</v>
      </c>
      <c r="I704" s="14">
        <v>0.28000000000000003</v>
      </c>
      <c r="J704" s="11">
        <v>17.329999999999998</v>
      </c>
      <c r="K704" s="14">
        <v>4.8499999999999996</v>
      </c>
    </row>
    <row r="705" spans="1:11" ht="14.5" x14ac:dyDescent="0.25">
      <c r="A705" s="10"/>
      <c r="B705" s="10"/>
      <c r="C705" s="10" t="s">
        <v>258</v>
      </c>
      <c r="D705" s="12"/>
      <c r="E705" s="11"/>
      <c r="F705" s="14">
        <v>0.13</v>
      </c>
      <c r="G705" s="13" t="s">
        <v>461</v>
      </c>
      <c r="H705" s="11">
        <v>1</v>
      </c>
      <c r="I705" s="16">
        <v>0.04</v>
      </c>
      <c r="J705" s="11">
        <v>57.05</v>
      </c>
      <c r="K705" s="16">
        <v>2.2799999999999998</v>
      </c>
    </row>
    <row r="706" spans="1:11" ht="56" x14ac:dyDescent="0.25">
      <c r="A706" s="10" t="s">
        <v>1208</v>
      </c>
      <c r="B706" s="10" t="s">
        <v>1435</v>
      </c>
      <c r="C706" s="10" t="s">
        <v>1179</v>
      </c>
      <c r="D706" s="12" t="s">
        <v>225</v>
      </c>
      <c r="E706" s="11">
        <v>2.3174999999999999</v>
      </c>
      <c r="F706" s="14">
        <v>40.159999999999997</v>
      </c>
      <c r="G706" s="15" t="s">
        <v>1</v>
      </c>
      <c r="H706" s="11">
        <v>1</v>
      </c>
      <c r="I706" s="14">
        <v>93.07</v>
      </c>
      <c r="J706" s="11">
        <v>2.61</v>
      </c>
      <c r="K706" s="14">
        <v>242.91</v>
      </c>
    </row>
    <row r="707" spans="1:11" ht="14.5" x14ac:dyDescent="0.25">
      <c r="A707" s="10"/>
      <c r="B707" s="10"/>
      <c r="C707" s="10" t="s">
        <v>260</v>
      </c>
      <c r="D707" s="12" t="s">
        <v>261</v>
      </c>
      <c r="E707" s="11">
        <v>90</v>
      </c>
      <c r="F707" s="14"/>
      <c r="G707" s="13"/>
      <c r="H707" s="11"/>
      <c r="I707" s="14">
        <v>19.5</v>
      </c>
      <c r="J707" s="11">
        <v>90</v>
      </c>
      <c r="K707" s="14">
        <v>1112.6400000000001</v>
      </c>
    </row>
    <row r="708" spans="1:11" ht="14.5" x14ac:dyDescent="0.25">
      <c r="A708" s="10"/>
      <c r="B708" s="10"/>
      <c r="C708" s="10" t="s">
        <v>262</v>
      </c>
      <c r="D708" s="12" t="s">
        <v>261</v>
      </c>
      <c r="E708" s="11">
        <v>42</v>
      </c>
      <c r="F708" s="14"/>
      <c r="G708" s="13"/>
      <c r="H708" s="11"/>
      <c r="I708" s="14">
        <v>9.1</v>
      </c>
      <c r="J708" s="11">
        <v>42</v>
      </c>
      <c r="K708" s="14">
        <v>519.23</v>
      </c>
    </row>
    <row r="709" spans="1:11" ht="14.5" x14ac:dyDescent="0.25">
      <c r="A709" s="17"/>
      <c r="B709" s="17"/>
      <c r="C709" s="17" t="s">
        <v>263</v>
      </c>
      <c r="D709" s="18" t="s">
        <v>264</v>
      </c>
      <c r="E709" s="19">
        <v>4.6500000000000004</v>
      </c>
      <c r="F709" s="20"/>
      <c r="G709" s="37" t="s">
        <v>460</v>
      </c>
      <c r="H709" s="19">
        <v>1</v>
      </c>
      <c r="I709" s="20">
        <v>1.44</v>
      </c>
      <c r="J709" s="19"/>
      <c r="K709" s="20"/>
    </row>
    <row r="710" spans="1:11" ht="14" x14ac:dyDescent="0.25">
      <c r="C710" s="22" t="s">
        <v>265</v>
      </c>
      <c r="H710" s="143">
        <v>143.58000000000001</v>
      </c>
      <c r="I710" s="143"/>
      <c r="J710" s="143">
        <v>3113.62</v>
      </c>
      <c r="K710" s="143"/>
    </row>
    <row r="711" spans="1:11" ht="14" x14ac:dyDescent="0.25">
      <c r="C711" s="22" t="s">
        <v>267</v>
      </c>
      <c r="H711" s="141">
        <v>143.58000000000001</v>
      </c>
      <c r="I711" s="141"/>
      <c r="J711" s="141">
        <v>3113.62</v>
      </c>
      <c r="K711" s="141"/>
    </row>
    <row r="713" spans="1:11" ht="70" x14ac:dyDescent="0.25">
      <c r="A713" s="10">
        <v>60</v>
      </c>
      <c r="B713" s="10" t="s">
        <v>1443</v>
      </c>
      <c r="C713" s="10" t="s">
        <v>1184</v>
      </c>
      <c r="D713" s="12" t="s">
        <v>838</v>
      </c>
      <c r="E713" s="11">
        <v>0.22500000000000001</v>
      </c>
      <c r="F713" s="14"/>
      <c r="G713" s="13"/>
      <c r="H713" s="11"/>
      <c r="I713" s="14"/>
      <c r="J713" s="11"/>
      <c r="K713" s="14"/>
    </row>
    <row r="714" spans="1:11" x14ac:dyDescent="0.25">
      <c r="C714" s="23" t="s">
        <v>1455</v>
      </c>
    </row>
    <row r="715" spans="1:11" ht="14.5" x14ac:dyDescent="0.25">
      <c r="A715" s="10"/>
      <c r="B715" s="10"/>
      <c r="C715" s="10" t="s">
        <v>256</v>
      </c>
      <c r="D715" s="12"/>
      <c r="E715" s="11"/>
      <c r="F715" s="14">
        <v>1290.3800000000001</v>
      </c>
      <c r="G715" s="13" t="s">
        <v>460</v>
      </c>
      <c r="H715" s="11">
        <v>1</v>
      </c>
      <c r="I715" s="14">
        <v>400.66</v>
      </c>
      <c r="J715" s="11">
        <v>57.05</v>
      </c>
      <c r="K715" s="14">
        <v>22857.65</v>
      </c>
    </row>
    <row r="716" spans="1:11" ht="14.5" x14ac:dyDescent="0.25">
      <c r="A716" s="10"/>
      <c r="B716" s="10"/>
      <c r="C716" s="10" t="s">
        <v>257</v>
      </c>
      <c r="D716" s="12"/>
      <c r="E716" s="11"/>
      <c r="F716" s="14">
        <v>81.06</v>
      </c>
      <c r="G716" s="13" t="s">
        <v>461</v>
      </c>
      <c r="H716" s="11">
        <v>1</v>
      </c>
      <c r="I716" s="14">
        <v>27.36</v>
      </c>
      <c r="J716" s="11">
        <v>19.3</v>
      </c>
      <c r="K716" s="14">
        <v>528.04999999999995</v>
      </c>
    </row>
    <row r="717" spans="1:11" ht="14.5" x14ac:dyDescent="0.25">
      <c r="A717" s="10"/>
      <c r="B717" s="10"/>
      <c r="C717" s="10" t="s">
        <v>258</v>
      </c>
      <c r="D717" s="12"/>
      <c r="E717" s="11"/>
      <c r="F717" s="14">
        <v>14.26</v>
      </c>
      <c r="G717" s="13" t="s">
        <v>461</v>
      </c>
      <c r="H717" s="11">
        <v>1</v>
      </c>
      <c r="I717" s="16">
        <v>4.8099999999999996</v>
      </c>
      <c r="J717" s="11">
        <v>57.05</v>
      </c>
      <c r="K717" s="16">
        <v>274.41000000000003</v>
      </c>
    </row>
    <row r="718" spans="1:11" ht="14.5" x14ac:dyDescent="0.25">
      <c r="A718" s="10"/>
      <c r="B718" s="10"/>
      <c r="C718" s="10" t="s">
        <v>259</v>
      </c>
      <c r="D718" s="12"/>
      <c r="E718" s="11"/>
      <c r="F718" s="14">
        <v>9.2200000000000006</v>
      </c>
      <c r="G718" s="13"/>
      <c r="H718" s="11">
        <v>1</v>
      </c>
      <c r="I718" s="14">
        <v>2.0699999999999998</v>
      </c>
      <c r="J718" s="11">
        <v>3.9</v>
      </c>
      <c r="K718" s="14">
        <v>8.07</v>
      </c>
    </row>
    <row r="719" spans="1:11" ht="28" x14ac:dyDescent="0.25">
      <c r="A719" s="10" t="s">
        <v>1209</v>
      </c>
      <c r="B719" s="10" t="s">
        <v>1397</v>
      </c>
      <c r="C719" s="10" t="s">
        <v>1145</v>
      </c>
      <c r="D719" s="12" t="s">
        <v>34</v>
      </c>
      <c r="E719" s="11">
        <v>1.54125</v>
      </c>
      <c r="F719" s="14">
        <v>7.17</v>
      </c>
      <c r="G719" s="15" t="s">
        <v>1</v>
      </c>
      <c r="H719" s="11">
        <v>1</v>
      </c>
      <c r="I719" s="14">
        <v>11.05</v>
      </c>
      <c r="J719" s="11">
        <v>9.98</v>
      </c>
      <c r="K719" s="14">
        <v>110.28</v>
      </c>
    </row>
    <row r="720" spans="1:11" ht="70" x14ac:dyDescent="0.25">
      <c r="A720" s="10" t="s">
        <v>1210</v>
      </c>
      <c r="B720" s="10" t="s">
        <v>1382</v>
      </c>
      <c r="C720" s="10" t="s">
        <v>1130</v>
      </c>
      <c r="D720" s="12" t="s">
        <v>9</v>
      </c>
      <c r="E720" s="11">
        <v>3.15</v>
      </c>
      <c r="F720" s="14">
        <v>17.649999999999999</v>
      </c>
      <c r="G720" s="15" t="s">
        <v>1</v>
      </c>
      <c r="H720" s="11">
        <v>1</v>
      </c>
      <c r="I720" s="14">
        <v>55.6</v>
      </c>
      <c r="J720" s="11">
        <v>5.44</v>
      </c>
      <c r="K720" s="14">
        <v>302.45999999999998</v>
      </c>
    </row>
    <row r="721" spans="1:11" ht="98" x14ac:dyDescent="0.25">
      <c r="A721" s="10" t="s">
        <v>1211</v>
      </c>
      <c r="B721" s="10" t="s">
        <v>1398</v>
      </c>
      <c r="C721" s="10" t="s">
        <v>1146</v>
      </c>
      <c r="D721" s="12" t="s">
        <v>28</v>
      </c>
      <c r="E721" s="11">
        <v>1.35E-2</v>
      </c>
      <c r="F721" s="14">
        <v>5978.05</v>
      </c>
      <c r="G721" s="15" t="s">
        <v>1</v>
      </c>
      <c r="H721" s="11">
        <v>1</v>
      </c>
      <c r="I721" s="14">
        <v>80.7</v>
      </c>
      <c r="J721" s="11">
        <v>16.07</v>
      </c>
      <c r="K721" s="14">
        <v>1296.8499999999999</v>
      </c>
    </row>
    <row r="722" spans="1:11" ht="56" x14ac:dyDescent="0.25">
      <c r="A722" s="10" t="s">
        <v>1212</v>
      </c>
      <c r="B722" s="10" t="s">
        <v>1403</v>
      </c>
      <c r="C722" s="10" t="s">
        <v>1156</v>
      </c>
      <c r="D722" s="12" t="s">
        <v>28</v>
      </c>
      <c r="E722" s="11">
        <v>0.16216700000000001</v>
      </c>
      <c r="F722" s="14">
        <v>1416.73</v>
      </c>
      <c r="G722" s="15" t="s">
        <v>1</v>
      </c>
      <c r="H722" s="11">
        <v>1</v>
      </c>
      <c r="I722" s="14">
        <v>229.75</v>
      </c>
      <c r="J722" s="11">
        <v>22.03</v>
      </c>
      <c r="K722" s="14">
        <v>5061.3900000000003</v>
      </c>
    </row>
    <row r="723" spans="1:11" ht="28" x14ac:dyDescent="0.25">
      <c r="A723" s="10" t="s">
        <v>1213</v>
      </c>
      <c r="B723" s="10" t="s">
        <v>1444</v>
      </c>
      <c r="C723" s="10" t="s">
        <v>1190</v>
      </c>
      <c r="D723" s="12" t="s">
        <v>227</v>
      </c>
      <c r="E723" s="11">
        <v>24.975000000000001</v>
      </c>
      <c r="F723" s="14">
        <v>206.17</v>
      </c>
      <c r="G723" s="15" t="s">
        <v>1</v>
      </c>
      <c r="H723" s="11">
        <v>1</v>
      </c>
      <c r="I723" s="14">
        <v>5149.1000000000004</v>
      </c>
      <c r="J723" s="11">
        <v>8.73</v>
      </c>
      <c r="K723" s="14">
        <v>44951.64</v>
      </c>
    </row>
    <row r="724" spans="1:11" ht="14.5" x14ac:dyDescent="0.25">
      <c r="A724" s="10"/>
      <c r="B724" s="10"/>
      <c r="C724" s="10" t="s">
        <v>260</v>
      </c>
      <c r="D724" s="12" t="s">
        <v>261</v>
      </c>
      <c r="E724" s="11">
        <v>101</v>
      </c>
      <c r="F724" s="14"/>
      <c r="G724" s="13"/>
      <c r="H724" s="11"/>
      <c r="I724" s="14">
        <v>409.52</v>
      </c>
      <c r="J724" s="11">
        <v>101</v>
      </c>
      <c r="K724" s="14">
        <v>23363.38</v>
      </c>
    </row>
    <row r="725" spans="1:11" ht="14.5" x14ac:dyDescent="0.25">
      <c r="A725" s="10"/>
      <c r="B725" s="10"/>
      <c r="C725" s="10" t="s">
        <v>262</v>
      </c>
      <c r="D725" s="12" t="s">
        <v>261</v>
      </c>
      <c r="E725" s="11">
        <v>55</v>
      </c>
      <c r="F725" s="14"/>
      <c r="G725" s="13"/>
      <c r="H725" s="11"/>
      <c r="I725" s="14">
        <v>223.01</v>
      </c>
      <c r="J725" s="11">
        <v>55</v>
      </c>
      <c r="K725" s="14">
        <v>12722.63</v>
      </c>
    </row>
    <row r="726" spans="1:11" ht="14.5" x14ac:dyDescent="0.25">
      <c r="A726" s="17"/>
      <c r="B726" s="17"/>
      <c r="C726" s="17" t="s">
        <v>263</v>
      </c>
      <c r="D726" s="18" t="s">
        <v>264</v>
      </c>
      <c r="E726" s="19">
        <v>78.099999999999994</v>
      </c>
      <c r="F726" s="20"/>
      <c r="G726" s="37" t="s">
        <v>460</v>
      </c>
      <c r="H726" s="19">
        <v>1</v>
      </c>
      <c r="I726" s="20">
        <v>24.25</v>
      </c>
      <c r="J726" s="19"/>
      <c r="K726" s="20"/>
    </row>
    <row r="727" spans="1:11" ht="14" x14ac:dyDescent="0.25">
      <c r="C727" s="22" t="s">
        <v>265</v>
      </c>
      <c r="H727" s="143">
        <v>6588.82</v>
      </c>
      <c r="I727" s="143"/>
      <c r="J727" s="143">
        <v>111202.4</v>
      </c>
      <c r="K727" s="143"/>
    </row>
    <row r="728" spans="1:11" ht="14" x14ac:dyDescent="0.25">
      <c r="C728" s="22" t="s">
        <v>267</v>
      </c>
      <c r="H728" s="141">
        <v>6588.82</v>
      </c>
      <c r="I728" s="141"/>
      <c r="J728" s="141">
        <v>111202.4</v>
      </c>
      <c r="K728" s="141"/>
    </row>
    <row r="730" spans="1:11" ht="56" x14ac:dyDescent="0.25">
      <c r="A730" s="10">
        <v>61</v>
      </c>
      <c r="B730" s="10" t="s">
        <v>1445</v>
      </c>
      <c r="C730" s="10" t="s">
        <v>1191</v>
      </c>
      <c r="D730" s="12" t="s">
        <v>838</v>
      </c>
      <c r="E730" s="11">
        <v>0.22500000000000001</v>
      </c>
      <c r="F730" s="14"/>
      <c r="G730" s="13"/>
      <c r="H730" s="11"/>
      <c r="I730" s="14"/>
      <c r="J730" s="11"/>
      <c r="K730" s="14"/>
    </row>
    <row r="731" spans="1:11" x14ac:dyDescent="0.25">
      <c r="C731" s="23" t="s">
        <v>1455</v>
      </c>
    </row>
    <row r="732" spans="1:11" ht="28" x14ac:dyDescent="0.25">
      <c r="A732" s="10"/>
      <c r="B732" s="10"/>
      <c r="C732" s="10" t="s">
        <v>256</v>
      </c>
      <c r="D732" s="12"/>
      <c r="E732" s="11"/>
      <c r="F732" s="14">
        <v>13.94</v>
      </c>
      <c r="G732" s="13" t="s">
        <v>1192</v>
      </c>
      <c r="H732" s="11">
        <v>1</v>
      </c>
      <c r="I732" s="14">
        <v>21.64</v>
      </c>
      <c r="J732" s="11">
        <v>57.05</v>
      </c>
      <c r="K732" s="14">
        <v>1234.56</v>
      </c>
    </row>
    <row r="733" spans="1:11" ht="28" x14ac:dyDescent="0.25">
      <c r="A733" s="10"/>
      <c r="B733" s="10"/>
      <c r="C733" s="10" t="s">
        <v>257</v>
      </c>
      <c r="D733" s="12"/>
      <c r="E733" s="11"/>
      <c r="F733" s="14">
        <v>3.59</v>
      </c>
      <c r="G733" s="13" t="s">
        <v>1193</v>
      </c>
      <c r="H733" s="11">
        <v>1</v>
      </c>
      <c r="I733" s="14">
        <v>6.06</v>
      </c>
      <c r="J733" s="11">
        <v>19.37</v>
      </c>
      <c r="K733" s="14">
        <v>117.38</v>
      </c>
    </row>
    <row r="734" spans="1:11" ht="28" x14ac:dyDescent="0.25">
      <c r="A734" s="10"/>
      <c r="B734" s="10"/>
      <c r="C734" s="10" t="s">
        <v>258</v>
      </c>
      <c r="D734" s="12"/>
      <c r="E734" s="11"/>
      <c r="F734" s="14">
        <v>0.63</v>
      </c>
      <c r="G734" s="13" t="s">
        <v>1193</v>
      </c>
      <c r="H734" s="11">
        <v>1</v>
      </c>
      <c r="I734" s="16">
        <v>1.06</v>
      </c>
      <c r="J734" s="11">
        <v>57.05</v>
      </c>
      <c r="K734" s="16">
        <v>60.47</v>
      </c>
    </row>
    <row r="735" spans="1:11" ht="14.5" x14ac:dyDescent="0.25">
      <c r="A735" s="10"/>
      <c r="B735" s="10"/>
      <c r="C735" s="10" t="s">
        <v>259</v>
      </c>
      <c r="D735" s="12"/>
      <c r="E735" s="11"/>
      <c r="F735" s="14">
        <v>0.21</v>
      </c>
      <c r="G735" s="13">
        <v>5</v>
      </c>
      <c r="H735" s="11">
        <v>1</v>
      </c>
      <c r="I735" s="14">
        <v>0.24</v>
      </c>
      <c r="J735" s="11">
        <v>7.81</v>
      </c>
      <c r="K735" s="14">
        <v>1.87</v>
      </c>
    </row>
    <row r="736" spans="1:11" ht="56" x14ac:dyDescent="0.25">
      <c r="A736" s="10" t="s">
        <v>1214</v>
      </c>
      <c r="B736" s="10" t="s">
        <v>1403</v>
      </c>
      <c r="C736" s="10" t="s">
        <v>1156</v>
      </c>
      <c r="D736" s="12" t="s">
        <v>28</v>
      </c>
      <c r="E736" s="11">
        <v>0.16216900000000001</v>
      </c>
      <c r="F736" s="14">
        <v>1416.73</v>
      </c>
      <c r="G736" s="15" t="s">
        <v>1195</v>
      </c>
      <c r="H736" s="11">
        <v>1</v>
      </c>
      <c r="I736" s="14">
        <v>229.75</v>
      </c>
      <c r="J736" s="11">
        <v>22.03</v>
      </c>
      <c r="K736" s="14">
        <v>5061.3900000000003</v>
      </c>
    </row>
    <row r="737" spans="1:11" ht="14.5" x14ac:dyDescent="0.25">
      <c r="A737" s="10"/>
      <c r="B737" s="10"/>
      <c r="C737" s="10" t="s">
        <v>260</v>
      </c>
      <c r="D737" s="12" t="s">
        <v>261</v>
      </c>
      <c r="E737" s="11">
        <v>101</v>
      </c>
      <c r="F737" s="14"/>
      <c r="G737" s="13"/>
      <c r="H737" s="11"/>
      <c r="I737" s="14">
        <v>22.93</v>
      </c>
      <c r="J737" s="11">
        <v>101</v>
      </c>
      <c r="K737" s="14">
        <v>1307.98</v>
      </c>
    </row>
    <row r="738" spans="1:11" ht="14.5" x14ac:dyDescent="0.25">
      <c r="A738" s="10"/>
      <c r="B738" s="10"/>
      <c r="C738" s="10" t="s">
        <v>262</v>
      </c>
      <c r="D738" s="12" t="s">
        <v>261</v>
      </c>
      <c r="E738" s="11">
        <v>55</v>
      </c>
      <c r="F738" s="14"/>
      <c r="G738" s="13"/>
      <c r="H738" s="11"/>
      <c r="I738" s="14">
        <v>12.49</v>
      </c>
      <c r="J738" s="11">
        <v>55</v>
      </c>
      <c r="K738" s="14">
        <v>712.27</v>
      </c>
    </row>
    <row r="739" spans="1:11" ht="28" x14ac:dyDescent="0.25">
      <c r="A739" s="17"/>
      <c r="B739" s="17"/>
      <c r="C739" s="17" t="s">
        <v>263</v>
      </c>
      <c r="D739" s="18" t="s">
        <v>264</v>
      </c>
      <c r="E739" s="19">
        <v>0.91</v>
      </c>
      <c r="F739" s="20"/>
      <c r="G739" s="37" t="s">
        <v>1192</v>
      </c>
      <c r="H739" s="19">
        <v>1</v>
      </c>
      <c r="I739" s="20">
        <v>1.41</v>
      </c>
      <c r="J739" s="19"/>
      <c r="K739" s="20"/>
    </row>
    <row r="740" spans="1:11" ht="14" x14ac:dyDescent="0.25">
      <c r="C740" s="22" t="s">
        <v>265</v>
      </c>
      <c r="H740" s="143">
        <v>293.11</v>
      </c>
      <c r="I740" s="143"/>
      <c r="J740" s="143">
        <v>8435.4500000000007</v>
      </c>
      <c r="K740" s="143"/>
    </row>
    <row r="741" spans="1:11" ht="14" x14ac:dyDescent="0.25">
      <c r="C741" s="22" t="s">
        <v>267</v>
      </c>
      <c r="H741" s="141">
        <v>293.11</v>
      </c>
      <c r="I741" s="141"/>
      <c r="J741" s="141">
        <v>8435.4500000000007</v>
      </c>
      <c r="K741" s="141"/>
    </row>
    <row r="744" spans="1:11" ht="14" x14ac:dyDescent="0.3">
      <c r="A744" s="140" t="s">
        <v>1456</v>
      </c>
      <c r="B744" s="140"/>
      <c r="C744" s="140"/>
      <c r="D744" s="140"/>
      <c r="E744" s="140"/>
      <c r="F744" s="140"/>
      <c r="G744" s="140"/>
      <c r="H744" s="141">
        <v>7025.51</v>
      </c>
      <c r="I744" s="142"/>
      <c r="J744" s="141">
        <v>122751.47</v>
      </c>
      <c r="K744" s="142"/>
    </row>
    <row r="746" spans="1:11" ht="14" x14ac:dyDescent="0.3">
      <c r="A746" s="140" t="s">
        <v>1457</v>
      </c>
      <c r="B746" s="140"/>
      <c r="C746" s="140"/>
      <c r="D746" s="140"/>
      <c r="E746" s="140"/>
      <c r="F746" s="140"/>
      <c r="G746" s="140"/>
      <c r="H746" s="141">
        <v>44806.400000000001</v>
      </c>
      <c r="I746" s="142"/>
      <c r="J746" s="141">
        <v>760950.61</v>
      </c>
      <c r="K746" s="142"/>
    </row>
    <row r="748" spans="1:11" ht="16.5" x14ac:dyDescent="0.25">
      <c r="A748" s="144" t="s">
        <v>1458</v>
      </c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</row>
    <row r="750" spans="1:11" ht="16.5" x14ac:dyDescent="0.25">
      <c r="A750" s="144" t="s">
        <v>1432</v>
      </c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</row>
    <row r="751" spans="1:11" ht="42" x14ac:dyDescent="0.25">
      <c r="A751" s="10">
        <v>62</v>
      </c>
      <c r="B751" s="10" t="s">
        <v>1459</v>
      </c>
      <c r="C751" s="10" t="s">
        <v>1215</v>
      </c>
      <c r="D751" s="12" t="s">
        <v>838</v>
      </c>
      <c r="E751" s="11">
        <v>2.0369999999999999</v>
      </c>
      <c r="F751" s="14"/>
      <c r="G751" s="13"/>
      <c r="H751" s="11"/>
      <c r="I751" s="14"/>
      <c r="J751" s="11"/>
      <c r="K751" s="14"/>
    </row>
    <row r="752" spans="1:11" x14ac:dyDescent="0.25">
      <c r="C752" s="23" t="s">
        <v>1460</v>
      </c>
    </row>
    <row r="753" spans="1:11" ht="14.5" x14ac:dyDescent="0.25">
      <c r="A753" s="10"/>
      <c r="B753" s="10"/>
      <c r="C753" s="10" t="s">
        <v>256</v>
      </c>
      <c r="D753" s="12"/>
      <c r="E753" s="11"/>
      <c r="F753" s="14">
        <v>204.51</v>
      </c>
      <c r="G753" s="13" t="s">
        <v>460</v>
      </c>
      <c r="H753" s="11">
        <v>1</v>
      </c>
      <c r="I753" s="14">
        <v>574.89</v>
      </c>
      <c r="J753" s="11">
        <v>57.05</v>
      </c>
      <c r="K753" s="14">
        <v>32797.47</v>
      </c>
    </row>
    <row r="754" spans="1:11" ht="14.5" x14ac:dyDescent="0.25">
      <c r="A754" s="10"/>
      <c r="B754" s="10"/>
      <c r="C754" s="10" t="s">
        <v>257</v>
      </c>
      <c r="D754" s="12"/>
      <c r="E754" s="11"/>
      <c r="F754" s="14">
        <v>1.66</v>
      </c>
      <c r="G754" s="13" t="s">
        <v>461</v>
      </c>
      <c r="H754" s="11">
        <v>1</v>
      </c>
      <c r="I754" s="14">
        <v>5.07</v>
      </c>
      <c r="J754" s="11">
        <v>17.47</v>
      </c>
      <c r="K754" s="14">
        <v>88.57</v>
      </c>
    </row>
    <row r="755" spans="1:11" ht="14.5" x14ac:dyDescent="0.25">
      <c r="A755" s="10"/>
      <c r="B755" s="10"/>
      <c r="C755" s="10" t="s">
        <v>258</v>
      </c>
      <c r="D755" s="12"/>
      <c r="E755" s="11"/>
      <c r="F755" s="14">
        <v>0.25</v>
      </c>
      <c r="G755" s="13" t="s">
        <v>461</v>
      </c>
      <c r="H755" s="11">
        <v>1</v>
      </c>
      <c r="I755" s="16">
        <v>0.76</v>
      </c>
      <c r="J755" s="11">
        <v>57.05</v>
      </c>
      <c r="K755" s="16">
        <v>43.36</v>
      </c>
    </row>
    <row r="756" spans="1:11" ht="42" x14ac:dyDescent="0.25">
      <c r="A756" s="10" t="s">
        <v>1216</v>
      </c>
      <c r="B756" s="10" t="s">
        <v>1461</v>
      </c>
      <c r="C756" s="10" t="s">
        <v>1217</v>
      </c>
      <c r="D756" s="12" t="s">
        <v>227</v>
      </c>
      <c r="E756" s="11">
        <v>244.44</v>
      </c>
      <c r="F756" s="14">
        <v>24.09</v>
      </c>
      <c r="G756" s="15" t="s">
        <v>1</v>
      </c>
      <c r="H756" s="11">
        <v>1</v>
      </c>
      <c r="I756" s="14">
        <v>5888.56</v>
      </c>
      <c r="J756" s="11">
        <v>7.47</v>
      </c>
      <c r="K756" s="14">
        <v>43987.54</v>
      </c>
    </row>
    <row r="757" spans="1:11" ht="14.5" x14ac:dyDescent="0.25">
      <c r="A757" s="10"/>
      <c r="B757" s="10"/>
      <c r="C757" s="10" t="s">
        <v>260</v>
      </c>
      <c r="D757" s="12" t="s">
        <v>261</v>
      </c>
      <c r="E757" s="11">
        <v>99</v>
      </c>
      <c r="F757" s="14"/>
      <c r="G757" s="13"/>
      <c r="H757" s="11"/>
      <c r="I757" s="14">
        <v>569.89</v>
      </c>
      <c r="J757" s="11">
        <v>99</v>
      </c>
      <c r="K757" s="14">
        <v>32512.42</v>
      </c>
    </row>
    <row r="758" spans="1:11" ht="14.5" x14ac:dyDescent="0.25">
      <c r="A758" s="10"/>
      <c r="B758" s="10"/>
      <c r="C758" s="10" t="s">
        <v>262</v>
      </c>
      <c r="D758" s="12" t="s">
        <v>261</v>
      </c>
      <c r="E758" s="11">
        <v>59</v>
      </c>
      <c r="F758" s="14"/>
      <c r="G758" s="13"/>
      <c r="H758" s="11"/>
      <c r="I758" s="14">
        <v>339.63</v>
      </c>
      <c r="J758" s="11">
        <v>59</v>
      </c>
      <c r="K758" s="14">
        <v>19376.09</v>
      </c>
    </row>
    <row r="759" spans="1:11" ht="14.5" x14ac:dyDescent="0.25">
      <c r="A759" s="17"/>
      <c r="B759" s="17"/>
      <c r="C759" s="17" t="s">
        <v>263</v>
      </c>
      <c r="D759" s="18" t="s">
        <v>264</v>
      </c>
      <c r="E759" s="19">
        <v>13.36</v>
      </c>
      <c r="F759" s="20"/>
      <c r="G759" s="37" t="s">
        <v>460</v>
      </c>
      <c r="H759" s="19">
        <v>1</v>
      </c>
      <c r="I759" s="20">
        <v>37.56</v>
      </c>
      <c r="J759" s="19"/>
      <c r="K759" s="20"/>
    </row>
    <row r="760" spans="1:11" ht="14" x14ac:dyDescent="0.25">
      <c r="C760" s="22" t="s">
        <v>265</v>
      </c>
      <c r="H760" s="143">
        <v>7378.04</v>
      </c>
      <c r="I760" s="143"/>
      <c r="J760" s="143">
        <v>128762.09</v>
      </c>
      <c r="K760" s="143"/>
    </row>
    <row r="761" spans="1:11" ht="14" x14ac:dyDescent="0.25">
      <c r="C761" s="22" t="s">
        <v>267</v>
      </c>
      <c r="H761" s="141">
        <v>7378.04</v>
      </c>
      <c r="I761" s="141"/>
      <c r="J761" s="141">
        <v>128762.09</v>
      </c>
      <c r="K761" s="141"/>
    </row>
    <row r="763" spans="1:11" ht="58" x14ac:dyDescent="0.25">
      <c r="A763" s="10">
        <v>63</v>
      </c>
      <c r="B763" s="10" t="s">
        <v>1462</v>
      </c>
      <c r="C763" s="10" t="s">
        <v>1218</v>
      </c>
      <c r="D763" s="12" t="s">
        <v>1463</v>
      </c>
      <c r="E763" s="11">
        <v>2.0369999999999999</v>
      </c>
      <c r="F763" s="14"/>
      <c r="G763" s="13"/>
      <c r="H763" s="11"/>
      <c r="I763" s="14"/>
      <c r="J763" s="11"/>
      <c r="K763" s="14"/>
    </row>
    <row r="764" spans="1:11" x14ac:dyDescent="0.25">
      <c r="C764" s="23" t="s">
        <v>1460</v>
      </c>
    </row>
    <row r="765" spans="1:11" ht="14.5" x14ac:dyDescent="0.25">
      <c r="A765" s="10"/>
      <c r="B765" s="10"/>
      <c r="C765" s="10" t="s">
        <v>256</v>
      </c>
      <c r="D765" s="12"/>
      <c r="E765" s="11"/>
      <c r="F765" s="14">
        <v>412.56</v>
      </c>
      <c r="G765" s="13" t="s">
        <v>460</v>
      </c>
      <c r="H765" s="11">
        <v>1</v>
      </c>
      <c r="I765" s="14">
        <v>1159.73</v>
      </c>
      <c r="J765" s="11">
        <v>57.05</v>
      </c>
      <c r="K765" s="14">
        <v>66162.600000000006</v>
      </c>
    </row>
    <row r="766" spans="1:11" ht="14.5" x14ac:dyDescent="0.25">
      <c r="A766" s="10"/>
      <c r="B766" s="10"/>
      <c r="C766" s="10" t="s">
        <v>257</v>
      </c>
      <c r="D766" s="12"/>
      <c r="E766" s="11"/>
      <c r="F766" s="14">
        <v>122.12</v>
      </c>
      <c r="G766" s="13" t="s">
        <v>461</v>
      </c>
      <c r="H766" s="11">
        <v>1</v>
      </c>
      <c r="I766" s="14">
        <v>373.14</v>
      </c>
      <c r="J766" s="11">
        <v>15.8</v>
      </c>
      <c r="K766" s="14">
        <v>5895.61</v>
      </c>
    </row>
    <row r="767" spans="1:11" ht="14.5" x14ac:dyDescent="0.25">
      <c r="A767" s="10"/>
      <c r="B767" s="10"/>
      <c r="C767" s="10" t="s">
        <v>258</v>
      </c>
      <c r="D767" s="12"/>
      <c r="E767" s="11"/>
      <c r="F767" s="14">
        <v>13.3</v>
      </c>
      <c r="G767" s="13" t="s">
        <v>461</v>
      </c>
      <c r="H767" s="11">
        <v>1</v>
      </c>
      <c r="I767" s="16">
        <v>40.64</v>
      </c>
      <c r="J767" s="11">
        <v>57.05</v>
      </c>
      <c r="K767" s="16">
        <v>2318.5100000000002</v>
      </c>
    </row>
    <row r="768" spans="1:11" ht="84" x14ac:dyDescent="0.25">
      <c r="A768" s="10" t="s">
        <v>1219</v>
      </c>
      <c r="B768" s="10" t="s">
        <v>1464</v>
      </c>
      <c r="C768" s="10" t="s">
        <v>1220</v>
      </c>
      <c r="D768" s="12" t="s">
        <v>227</v>
      </c>
      <c r="E768" s="11">
        <v>207.774</v>
      </c>
      <c r="F768" s="14">
        <v>134.28</v>
      </c>
      <c r="G768" s="15" t="s">
        <v>1</v>
      </c>
      <c r="H768" s="11">
        <v>1</v>
      </c>
      <c r="I768" s="14">
        <v>27899.89</v>
      </c>
      <c r="J768" s="11">
        <v>6.25</v>
      </c>
      <c r="K768" s="14">
        <v>174374.31</v>
      </c>
    </row>
    <row r="769" spans="1:11" ht="14.5" x14ac:dyDescent="0.25">
      <c r="A769" s="10"/>
      <c r="B769" s="10"/>
      <c r="C769" s="10" t="s">
        <v>260</v>
      </c>
      <c r="D769" s="12" t="s">
        <v>261</v>
      </c>
      <c r="E769" s="11">
        <v>98</v>
      </c>
      <c r="F769" s="14"/>
      <c r="G769" s="13"/>
      <c r="H769" s="11"/>
      <c r="I769" s="14">
        <v>1176.3599999999999</v>
      </c>
      <c r="J769" s="11">
        <v>98</v>
      </c>
      <c r="K769" s="14">
        <v>67111.490000000005</v>
      </c>
    </row>
    <row r="770" spans="1:11" ht="14.5" x14ac:dyDescent="0.25">
      <c r="A770" s="10"/>
      <c r="B770" s="10"/>
      <c r="C770" s="10" t="s">
        <v>262</v>
      </c>
      <c r="D770" s="12" t="s">
        <v>261</v>
      </c>
      <c r="E770" s="11">
        <v>48</v>
      </c>
      <c r="F770" s="14"/>
      <c r="G770" s="13"/>
      <c r="H770" s="11"/>
      <c r="I770" s="14">
        <v>576.17999999999995</v>
      </c>
      <c r="J770" s="11">
        <v>48</v>
      </c>
      <c r="K770" s="14">
        <v>32870.93</v>
      </c>
    </row>
    <row r="771" spans="1:11" ht="14.5" x14ac:dyDescent="0.25">
      <c r="A771" s="17"/>
      <c r="B771" s="17"/>
      <c r="C771" s="17" t="s">
        <v>263</v>
      </c>
      <c r="D771" s="18" t="s">
        <v>264</v>
      </c>
      <c r="E771" s="19">
        <v>26.16</v>
      </c>
      <c r="F771" s="20"/>
      <c r="G771" s="37" t="s">
        <v>460</v>
      </c>
      <c r="H771" s="19">
        <v>1</v>
      </c>
      <c r="I771" s="20">
        <v>73.540000000000006</v>
      </c>
      <c r="J771" s="19"/>
      <c r="K771" s="20"/>
    </row>
    <row r="772" spans="1:11" ht="14" x14ac:dyDescent="0.25">
      <c r="C772" s="22" t="s">
        <v>265</v>
      </c>
      <c r="H772" s="143">
        <v>31185.3</v>
      </c>
      <c r="I772" s="143"/>
      <c r="J772" s="143">
        <v>346414.94</v>
      </c>
      <c r="K772" s="143"/>
    </row>
    <row r="773" spans="1:11" ht="14" x14ac:dyDescent="0.25">
      <c r="C773" s="22" t="s">
        <v>267</v>
      </c>
      <c r="H773" s="141">
        <v>31185.3</v>
      </c>
      <c r="I773" s="141"/>
      <c r="J773" s="141">
        <v>346414.94</v>
      </c>
      <c r="K773" s="141"/>
    </row>
    <row r="775" spans="1:11" ht="58" x14ac:dyDescent="0.25">
      <c r="A775" s="10">
        <v>64</v>
      </c>
      <c r="B775" s="10" t="s">
        <v>1465</v>
      </c>
      <c r="C775" s="10" t="s">
        <v>1221</v>
      </c>
      <c r="D775" s="12" t="s">
        <v>1463</v>
      </c>
      <c r="E775" s="11">
        <v>2.0369999999999999</v>
      </c>
      <c r="F775" s="14"/>
      <c r="G775" s="13"/>
      <c r="H775" s="11"/>
      <c r="I775" s="14"/>
      <c r="J775" s="11"/>
      <c r="K775" s="14"/>
    </row>
    <row r="776" spans="1:11" x14ac:dyDescent="0.25">
      <c r="C776" s="23" t="s">
        <v>1460</v>
      </c>
    </row>
    <row r="777" spans="1:11" ht="28" x14ac:dyDescent="0.25">
      <c r="A777" s="10"/>
      <c r="B777" s="10"/>
      <c r="C777" s="10" t="s">
        <v>256</v>
      </c>
      <c r="D777" s="12"/>
      <c r="E777" s="11"/>
      <c r="F777" s="14">
        <v>235.59</v>
      </c>
      <c r="G777" s="13" t="s">
        <v>1222</v>
      </c>
      <c r="H777" s="11">
        <v>1</v>
      </c>
      <c r="I777" s="14">
        <v>2649.03</v>
      </c>
      <c r="J777" s="11">
        <v>57.05</v>
      </c>
      <c r="K777" s="14">
        <v>151127.16</v>
      </c>
    </row>
    <row r="778" spans="1:11" ht="28" x14ac:dyDescent="0.25">
      <c r="A778" s="10"/>
      <c r="B778" s="10"/>
      <c r="C778" s="10" t="s">
        <v>257</v>
      </c>
      <c r="D778" s="12"/>
      <c r="E778" s="11"/>
      <c r="F778" s="14">
        <v>50.09</v>
      </c>
      <c r="G778" s="13" t="s">
        <v>1223</v>
      </c>
      <c r="H778" s="11">
        <v>1</v>
      </c>
      <c r="I778" s="14">
        <v>612.20000000000005</v>
      </c>
      <c r="J778" s="11">
        <v>15.79</v>
      </c>
      <c r="K778" s="14">
        <v>9666.64</v>
      </c>
    </row>
    <row r="779" spans="1:11" ht="28" x14ac:dyDescent="0.25">
      <c r="A779" s="10"/>
      <c r="B779" s="10"/>
      <c r="C779" s="10" t="s">
        <v>258</v>
      </c>
      <c r="D779" s="12"/>
      <c r="E779" s="11"/>
      <c r="F779" s="14">
        <v>5.45</v>
      </c>
      <c r="G779" s="13" t="s">
        <v>1223</v>
      </c>
      <c r="H779" s="11">
        <v>1</v>
      </c>
      <c r="I779" s="16">
        <v>66.61</v>
      </c>
      <c r="J779" s="11">
        <v>57.05</v>
      </c>
      <c r="K779" s="16">
        <v>3800.1</v>
      </c>
    </row>
    <row r="780" spans="1:11" ht="84" x14ac:dyDescent="0.25">
      <c r="A780" s="10" t="s">
        <v>1224</v>
      </c>
      <c r="B780" s="10" t="s">
        <v>1464</v>
      </c>
      <c r="C780" s="10" t="s">
        <v>1220</v>
      </c>
      <c r="D780" s="12" t="s">
        <v>227</v>
      </c>
      <c r="E780" s="11">
        <v>831.096</v>
      </c>
      <c r="F780" s="14">
        <v>134.28</v>
      </c>
      <c r="G780" s="15" t="s">
        <v>1</v>
      </c>
      <c r="H780" s="11">
        <v>1</v>
      </c>
      <c r="I780" s="14">
        <v>111599.57</v>
      </c>
      <c r="J780" s="11">
        <v>6.25</v>
      </c>
      <c r="K780" s="14">
        <v>697497.31</v>
      </c>
    </row>
    <row r="781" spans="1:11" ht="14.5" x14ac:dyDescent="0.25">
      <c r="A781" s="10"/>
      <c r="B781" s="10"/>
      <c r="C781" s="10" t="s">
        <v>260</v>
      </c>
      <c r="D781" s="12" t="s">
        <v>261</v>
      </c>
      <c r="E781" s="11">
        <v>98</v>
      </c>
      <c r="F781" s="14"/>
      <c r="G781" s="13"/>
      <c r="H781" s="11"/>
      <c r="I781" s="14">
        <v>2661.33</v>
      </c>
      <c r="J781" s="11">
        <v>98</v>
      </c>
      <c r="K781" s="14">
        <v>151828.71</v>
      </c>
    </row>
    <row r="782" spans="1:11" ht="14.5" x14ac:dyDescent="0.25">
      <c r="A782" s="10"/>
      <c r="B782" s="10"/>
      <c r="C782" s="10" t="s">
        <v>262</v>
      </c>
      <c r="D782" s="12" t="s">
        <v>261</v>
      </c>
      <c r="E782" s="11">
        <v>48</v>
      </c>
      <c r="F782" s="14"/>
      <c r="G782" s="13"/>
      <c r="H782" s="11"/>
      <c r="I782" s="14">
        <v>1303.51</v>
      </c>
      <c r="J782" s="11">
        <v>48</v>
      </c>
      <c r="K782" s="14">
        <v>74365.08</v>
      </c>
    </row>
    <row r="783" spans="1:11" ht="28" x14ac:dyDescent="0.25">
      <c r="A783" s="17"/>
      <c r="B783" s="17"/>
      <c r="C783" s="17" t="s">
        <v>263</v>
      </c>
      <c r="D783" s="18" t="s">
        <v>264</v>
      </c>
      <c r="E783" s="19">
        <v>14.7</v>
      </c>
      <c r="F783" s="20"/>
      <c r="G783" s="37" t="s">
        <v>1222</v>
      </c>
      <c r="H783" s="19">
        <v>1</v>
      </c>
      <c r="I783" s="20">
        <v>165.29</v>
      </c>
      <c r="J783" s="19"/>
      <c r="K783" s="20"/>
    </row>
    <row r="784" spans="1:11" ht="14" x14ac:dyDescent="0.25">
      <c r="C784" s="22" t="s">
        <v>265</v>
      </c>
      <c r="H784" s="143">
        <v>118825.64</v>
      </c>
      <c r="I784" s="143"/>
      <c r="J784" s="143">
        <v>1084484.8999999999</v>
      </c>
      <c r="K784" s="143"/>
    </row>
    <row r="785" spans="1:11" ht="14" x14ac:dyDescent="0.25">
      <c r="C785" s="22" t="s">
        <v>267</v>
      </c>
      <c r="H785" s="141">
        <v>118825.64</v>
      </c>
      <c r="I785" s="141"/>
      <c r="J785" s="141">
        <v>1084484.8999999999</v>
      </c>
      <c r="K785" s="141"/>
    </row>
    <row r="787" spans="1:11" ht="42" x14ac:dyDescent="0.25">
      <c r="A787" s="10">
        <v>65</v>
      </c>
      <c r="B787" s="10" t="s">
        <v>1459</v>
      </c>
      <c r="C787" s="10" t="s">
        <v>1215</v>
      </c>
      <c r="D787" s="12" t="s">
        <v>838</v>
      </c>
      <c r="E787" s="11">
        <v>2.0369999999999999</v>
      </c>
      <c r="F787" s="14"/>
      <c r="G787" s="13"/>
      <c r="H787" s="11"/>
      <c r="I787" s="14"/>
      <c r="J787" s="11"/>
      <c r="K787" s="14"/>
    </row>
    <row r="788" spans="1:11" x14ac:dyDescent="0.25">
      <c r="C788" s="23" t="s">
        <v>1460</v>
      </c>
    </row>
    <row r="789" spans="1:11" ht="14.5" x14ac:dyDescent="0.25">
      <c r="A789" s="10"/>
      <c r="B789" s="10"/>
      <c r="C789" s="10" t="s">
        <v>256</v>
      </c>
      <c r="D789" s="12"/>
      <c r="E789" s="11"/>
      <c r="F789" s="14">
        <v>204.51</v>
      </c>
      <c r="G789" s="13" t="s">
        <v>460</v>
      </c>
      <c r="H789" s="11">
        <v>1</v>
      </c>
      <c r="I789" s="14">
        <v>574.89</v>
      </c>
      <c r="J789" s="11">
        <v>57.05</v>
      </c>
      <c r="K789" s="14">
        <v>32797.47</v>
      </c>
    </row>
    <row r="790" spans="1:11" ht="14.5" x14ac:dyDescent="0.25">
      <c r="A790" s="10"/>
      <c r="B790" s="10"/>
      <c r="C790" s="10" t="s">
        <v>257</v>
      </c>
      <c r="D790" s="12"/>
      <c r="E790" s="11"/>
      <c r="F790" s="14">
        <v>1.66</v>
      </c>
      <c r="G790" s="13" t="s">
        <v>461</v>
      </c>
      <c r="H790" s="11">
        <v>1</v>
      </c>
      <c r="I790" s="14">
        <v>5.07</v>
      </c>
      <c r="J790" s="11">
        <v>17.47</v>
      </c>
      <c r="K790" s="14">
        <v>88.57</v>
      </c>
    </row>
    <row r="791" spans="1:11" ht="14.5" x14ac:dyDescent="0.25">
      <c r="A791" s="10"/>
      <c r="B791" s="10"/>
      <c r="C791" s="10" t="s">
        <v>258</v>
      </c>
      <c r="D791" s="12"/>
      <c r="E791" s="11"/>
      <c r="F791" s="14">
        <v>0.25</v>
      </c>
      <c r="G791" s="13" t="s">
        <v>461</v>
      </c>
      <c r="H791" s="11">
        <v>1</v>
      </c>
      <c r="I791" s="16">
        <v>0.76</v>
      </c>
      <c r="J791" s="11">
        <v>57.05</v>
      </c>
      <c r="K791" s="16">
        <v>43.36</v>
      </c>
    </row>
    <row r="792" spans="1:11" ht="42" x14ac:dyDescent="0.25">
      <c r="A792" s="10" t="s">
        <v>1225</v>
      </c>
      <c r="B792" s="10" t="s">
        <v>1461</v>
      </c>
      <c r="C792" s="10" t="s">
        <v>1217</v>
      </c>
      <c r="D792" s="12" t="s">
        <v>227</v>
      </c>
      <c r="E792" s="11">
        <v>244.44</v>
      </c>
      <c r="F792" s="14">
        <v>24.09</v>
      </c>
      <c r="G792" s="15" t="s">
        <v>1</v>
      </c>
      <c r="H792" s="11">
        <v>1</v>
      </c>
      <c r="I792" s="14">
        <v>5888.56</v>
      </c>
      <c r="J792" s="11">
        <v>7.47</v>
      </c>
      <c r="K792" s="14">
        <v>43987.54</v>
      </c>
    </row>
    <row r="793" spans="1:11" ht="14.5" x14ac:dyDescent="0.25">
      <c r="A793" s="10"/>
      <c r="B793" s="10"/>
      <c r="C793" s="10" t="s">
        <v>260</v>
      </c>
      <c r="D793" s="12" t="s">
        <v>261</v>
      </c>
      <c r="E793" s="11">
        <v>99</v>
      </c>
      <c r="F793" s="14"/>
      <c r="G793" s="13"/>
      <c r="H793" s="11"/>
      <c r="I793" s="14">
        <v>569.89</v>
      </c>
      <c r="J793" s="11">
        <v>99</v>
      </c>
      <c r="K793" s="14">
        <v>32512.42</v>
      </c>
    </row>
    <row r="794" spans="1:11" ht="14.5" x14ac:dyDescent="0.25">
      <c r="A794" s="10"/>
      <c r="B794" s="10"/>
      <c r="C794" s="10" t="s">
        <v>262</v>
      </c>
      <c r="D794" s="12" t="s">
        <v>261</v>
      </c>
      <c r="E794" s="11">
        <v>59</v>
      </c>
      <c r="F794" s="14"/>
      <c r="G794" s="13"/>
      <c r="H794" s="11"/>
      <c r="I794" s="14">
        <v>339.63</v>
      </c>
      <c r="J794" s="11">
        <v>59</v>
      </c>
      <c r="K794" s="14">
        <v>19376.09</v>
      </c>
    </row>
    <row r="795" spans="1:11" ht="14.5" x14ac:dyDescent="0.25">
      <c r="A795" s="17"/>
      <c r="B795" s="17"/>
      <c r="C795" s="17" t="s">
        <v>263</v>
      </c>
      <c r="D795" s="18" t="s">
        <v>264</v>
      </c>
      <c r="E795" s="19">
        <v>13.36</v>
      </c>
      <c r="F795" s="20"/>
      <c r="G795" s="37" t="s">
        <v>460</v>
      </c>
      <c r="H795" s="19">
        <v>1</v>
      </c>
      <c r="I795" s="20">
        <v>37.56</v>
      </c>
      <c r="J795" s="19"/>
      <c r="K795" s="20"/>
    </row>
    <row r="796" spans="1:11" ht="14" x14ac:dyDescent="0.25">
      <c r="C796" s="22" t="s">
        <v>265</v>
      </c>
      <c r="H796" s="143">
        <v>7378.04</v>
      </c>
      <c r="I796" s="143"/>
      <c r="J796" s="143">
        <v>128762.09</v>
      </c>
      <c r="K796" s="143"/>
    </row>
    <row r="797" spans="1:11" ht="14" x14ac:dyDescent="0.25">
      <c r="C797" s="22" t="s">
        <v>267</v>
      </c>
      <c r="H797" s="141">
        <v>7378.04</v>
      </c>
      <c r="I797" s="141"/>
      <c r="J797" s="141">
        <v>128762.09</v>
      </c>
      <c r="K797" s="141"/>
    </row>
    <row r="799" spans="1:11" ht="28" x14ac:dyDescent="0.25">
      <c r="A799" s="10">
        <v>66</v>
      </c>
      <c r="B799" s="10" t="s">
        <v>1466</v>
      </c>
      <c r="C799" s="10" t="s">
        <v>1524</v>
      </c>
      <c r="D799" s="12" t="s">
        <v>838</v>
      </c>
      <c r="E799" s="11">
        <v>2.0369999999999999</v>
      </c>
      <c r="F799" s="14"/>
      <c r="G799" s="13"/>
      <c r="H799" s="11"/>
      <c r="I799" s="14"/>
      <c r="J799" s="11"/>
      <c r="K799" s="14"/>
    </row>
    <row r="800" spans="1:11" x14ac:dyDescent="0.25">
      <c r="C800" s="23" t="s">
        <v>1460</v>
      </c>
    </row>
    <row r="801" spans="1:11" ht="28" x14ac:dyDescent="0.25">
      <c r="A801" s="10"/>
      <c r="B801" s="10"/>
      <c r="C801" s="10" t="s">
        <v>256</v>
      </c>
      <c r="D801" s="12"/>
      <c r="E801" s="11"/>
      <c r="F801" s="14">
        <v>1347.04</v>
      </c>
      <c r="G801" s="13" t="s">
        <v>787</v>
      </c>
      <c r="H801" s="11">
        <v>1</v>
      </c>
      <c r="I801" s="14">
        <v>7573.22</v>
      </c>
      <c r="J801" s="11">
        <v>57.05</v>
      </c>
      <c r="K801" s="14">
        <v>432052.2</v>
      </c>
    </row>
    <row r="802" spans="1:11" ht="28" x14ac:dyDescent="0.25">
      <c r="A802" s="10"/>
      <c r="B802" s="10"/>
      <c r="C802" s="10" t="s">
        <v>257</v>
      </c>
      <c r="D802" s="12"/>
      <c r="E802" s="11"/>
      <c r="F802" s="14">
        <v>43.45</v>
      </c>
      <c r="G802" s="13" t="s">
        <v>788</v>
      </c>
      <c r="H802" s="11">
        <v>1</v>
      </c>
      <c r="I802" s="14">
        <v>265.52</v>
      </c>
      <c r="J802" s="11">
        <v>10.39</v>
      </c>
      <c r="K802" s="14">
        <v>2758.75</v>
      </c>
    </row>
    <row r="803" spans="1:11" ht="28" x14ac:dyDescent="0.25">
      <c r="A803" s="10"/>
      <c r="B803" s="10"/>
      <c r="C803" s="10" t="s">
        <v>258</v>
      </c>
      <c r="D803" s="12"/>
      <c r="E803" s="11"/>
      <c r="F803" s="14">
        <v>0.76</v>
      </c>
      <c r="G803" s="13" t="s">
        <v>788</v>
      </c>
      <c r="H803" s="11">
        <v>1</v>
      </c>
      <c r="I803" s="16">
        <v>4.6399999999999997</v>
      </c>
      <c r="J803" s="11">
        <v>57.05</v>
      </c>
      <c r="K803" s="16">
        <v>264.70999999999998</v>
      </c>
    </row>
    <row r="804" spans="1:11" ht="14.5" x14ac:dyDescent="0.25">
      <c r="A804" s="10"/>
      <c r="B804" s="10"/>
      <c r="C804" s="10" t="s">
        <v>259</v>
      </c>
      <c r="D804" s="12"/>
      <c r="E804" s="11"/>
      <c r="F804" s="14">
        <v>108.37</v>
      </c>
      <c r="G804" s="13">
        <v>2</v>
      </c>
      <c r="H804" s="11">
        <v>1</v>
      </c>
      <c r="I804" s="14">
        <v>441.5</v>
      </c>
      <c r="J804" s="11">
        <v>14.19</v>
      </c>
      <c r="K804" s="14">
        <v>6264.89</v>
      </c>
    </row>
    <row r="805" spans="1:11" ht="70" x14ac:dyDescent="0.25">
      <c r="A805" s="10" t="s">
        <v>1226</v>
      </c>
      <c r="B805" s="10" t="s">
        <v>1467</v>
      </c>
      <c r="C805" s="10" t="s">
        <v>1227</v>
      </c>
      <c r="D805" s="12" t="s">
        <v>34</v>
      </c>
      <c r="E805" s="11">
        <v>61.924799999999998</v>
      </c>
      <c r="F805" s="14">
        <v>95.11</v>
      </c>
      <c r="G805" s="15" t="s">
        <v>1228</v>
      </c>
      <c r="H805" s="11">
        <v>1</v>
      </c>
      <c r="I805" s="14">
        <v>5889.67</v>
      </c>
      <c r="J805" s="11">
        <v>14.51</v>
      </c>
      <c r="K805" s="14">
        <v>85459.11</v>
      </c>
    </row>
    <row r="806" spans="1:11" ht="14.5" x14ac:dyDescent="0.25">
      <c r="A806" s="10" t="s">
        <v>1229</v>
      </c>
      <c r="B806" s="10" t="s">
        <v>1468</v>
      </c>
      <c r="C806" s="10" t="s">
        <v>1230</v>
      </c>
      <c r="D806" s="12" t="s">
        <v>9</v>
      </c>
      <c r="E806" s="11">
        <v>325.92</v>
      </c>
      <c r="F806" s="14">
        <v>9.98</v>
      </c>
      <c r="G806" s="15" t="s">
        <v>1228</v>
      </c>
      <c r="H806" s="11">
        <v>1</v>
      </c>
      <c r="I806" s="14">
        <v>3252.68</v>
      </c>
      <c r="J806" s="11">
        <v>8.5399999999999991</v>
      </c>
      <c r="K806" s="14">
        <v>27777.89</v>
      </c>
    </row>
    <row r="807" spans="1:11" ht="28" x14ac:dyDescent="0.25">
      <c r="A807" s="10" t="s">
        <v>1231</v>
      </c>
      <c r="B807" s="10" t="s">
        <v>1469</v>
      </c>
      <c r="C807" s="10" t="s">
        <v>1232</v>
      </c>
      <c r="D807" s="12" t="s">
        <v>227</v>
      </c>
      <c r="E807" s="11">
        <v>415.548</v>
      </c>
      <c r="F807" s="14">
        <v>25.82</v>
      </c>
      <c r="G807" s="15" t="s">
        <v>1</v>
      </c>
      <c r="H807" s="11">
        <v>1</v>
      </c>
      <c r="I807" s="14">
        <v>10729.45</v>
      </c>
      <c r="J807" s="11">
        <v>9.4700000000000006</v>
      </c>
      <c r="K807" s="14">
        <v>101607.89</v>
      </c>
    </row>
    <row r="808" spans="1:11" ht="14.5" x14ac:dyDescent="0.25">
      <c r="A808" s="10"/>
      <c r="B808" s="10"/>
      <c r="C808" s="10" t="s">
        <v>260</v>
      </c>
      <c r="D808" s="12" t="s">
        <v>261</v>
      </c>
      <c r="E808" s="11">
        <v>101</v>
      </c>
      <c r="F808" s="14"/>
      <c r="G808" s="13"/>
      <c r="H808" s="11"/>
      <c r="I808" s="14">
        <v>7653.64</v>
      </c>
      <c r="J808" s="11">
        <v>101</v>
      </c>
      <c r="K808" s="14">
        <v>436640.08</v>
      </c>
    </row>
    <row r="809" spans="1:11" ht="14.5" x14ac:dyDescent="0.25">
      <c r="A809" s="10"/>
      <c r="B809" s="10"/>
      <c r="C809" s="10" t="s">
        <v>262</v>
      </c>
      <c r="D809" s="12" t="s">
        <v>261</v>
      </c>
      <c r="E809" s="11">
        <v>55</v>
      </c>
      <c r="F809" s="14"/>
      <c r="G809" s="13"/>
      <c r="H809" s="11"/>
      <c r="I809" s="14">
        <v>4167.82</v>
      </c>
      <c r="J809" s="11">
        <v>55</v>
      </c>
      <c r="K809" s="14">
        <v>237774.3</v>
      </c>
    </row>
    <row r="810" spans="1:11" ht="28" x14ac:dyDescent="0.25">
      <c r="A810" s="17"/>
      <c r="B810" s="17"/>
      <c r="C810" s="17" t="s">
        <v>263</v>
      </c>
      <c r="D810" s="18" t="s">
        <v>264</v>
      </c>
      <c r="E810" s="19">
        <v>83.04</v>
      </c>
      <c r="F810" s="20"/>
      <c r="G810" s="37" t="s">
        <v>787</v>
      </c>
      <c r="H810" s="19">
        <v>1</v>
      </c>
      <c r="I810" s="20">
        <v>466.86</v>
      </c>
      <c r="J810" s="19"/>
      <c r="K810" s="20"/>
    </row>
    <row r="811" spans="1:11" ht="14" x14ac:dyDescent="0.25">
      <c r="C811" s="22" t="s">
        <v>265</v>
      </c>
      <c r="H811" s="143">
        <v>39973.5</v>
      </c>
      <c r="I811" s="143"/>
      <c r="J811" s="143">
        <v>1330335.1100000001</v>
      </c>
      <c r="K811" s="143"/>
    </row>
    <row r="812" spans="1:11" ht="14" x14ac:dyDescent="0.25">
      <c r="C812" s="22" t="s">
        <v>267</v>
      </c>
      <c r="H812" s="141">
        <v>39973.5</v>
      </c>
      <c r="I812" s="141"/>
      <c r="J812" s="141">
        <v>1330335.1100000001</v>
      </c>
      <c r="K812" s="141"/>
    </row>
    <row r="814" spans="1:11" ht="29" x14ac:dyDescent="0.25">
      <c r="A814" s="10">
        <v>67</v>
      </c>
      <c r="B814" s="10" t="s">
        <v>1470</v>
      </c>
      <c r="C814" s="10" t="s">
        <v>1233</v>
      </c>
      <c r="D814" s="12" t="s">
        <v>1437</v>
      </c>
      <c r="E814" s="11">
        <v>2.0369999999999999</v>
      </c>
      <c r="F814" s="14"/>
      <c r="G814" s="13"/>
      <c r="H814" s="11"/>
      <c r="I814" s="14"/>
      <c r="J814" s="11"/>
      <c r="K814" s="14"/>
    </row>
    <row r="815" spans="1:11" x14ac:dyDescent="0.25">
      <c r="C815" s="23" t="s">
        <v>1460</v>
      </c>
    </row>
    <row r="816" spans="1:11" ht="28" x14ac:dyDescent="0.25">
      <c r="A816" s="10"/>
      <c r="B816" s="10"/>
      <c r="C816" s="10" t="s">
        <v>256</v>
      </c>
      <c r="D816" s="12"/>
      <c r="E816" s="11"/>
      <c r="F816" s="14">
        <v>753.88</v>
      </c>
      <c r="G816" s="13" t="s">
        <v>787</v>
      </c>
      <c r="H816" s="11">
        <v>1</v>
      </c>
      <c r="I816" s="14">
        <v>4238.3999999999996</v>
      </c>
      <c r="J816" s="11">
        <v>57.05</v>
      </c>
      <c r="K816" s="14">
        <v>241800.72</v>
      </c>
    </row>
    <row r="817" spans="1:11" ht="28" x14ac:dyDescent="0.25">
      <c r="A817" s="10"/>
      <c r="B817" s="10"/>
      <c r="C817" s="10" t="s">
        <v>257</v>
      </c>
      <c r="D817" s="12"/>
      <c r="E817" s="11"/>
      <c r="F817" s="14">
        <v>41.82</v>
      </c>
      <c r="G817" s="13" t="s">
        <v>788</v>
      </c>
      <c r="H817" s="11">
        <v>1</v>
      </c>
      <c r="I817" s="14">
        <v>255.56</v>
      </c>
      <c r="J817" s="11">
        <v>15.53</v>
      </c>
      <c r="K817" s="14">
        <v>3968.85</v>
      </c>
    </row>
    <row r="818" spans="1:11" ht="28" x14ac:dyDescent="0.25">
      <c r="A818" s="10"/>
      <c r="B818" s="10"/>
      <c r="C818" s="10" t="s">
        <v>258</v>
      </c>
      <c r="D818" s="12"/>
      <c r="E818" s="11"/>
      <c r="F818" s="14">
        <v>3.41</v>
      </c>
      <c r="G818" s="13" t="s">
        <v>788</v>
      </c>
      <c r="H818" s="11">
        <v>1</v>
      </c>
      <c r="I818" s="16">
        <v>20.84</v>
      </c>
      <c r="J818" s="11">
        <v>57.05</v>
      </c>
      <c r="K818" s="16">
        <v>1188.92</v>
      </c>
    </row>
    <row r="819" spans="1:11" ht="14.5" x14ac:dyDescent="0.25">
      <c r="A819" s="10"/>
      <c r="B819" s="10"/>
      <c r="C819" s="10" t="s">
        <v>259</v>
      </c>
      <c r="D819" s="12"/>
      <c r="E819" s="11"/>
      <c r="F819" s="14">
        <v>314.23</v>
      </c>
      <c r="G819" s="13">
        <v>2</v>
      </c>
      <c r="H819" s="11">
        <v>1</v>
      </c>
      <c r="I819" s="14">
        <v>1280.17</v>
      </c>
      <c r="J819" s="11">
        <v>13.79</v>
      </c>
      <c r="K819" s="14">
        <v>17653.54</v>
      </c>
    </row>
    <row r="820" spans="1:11" ht="42" x14ac:dyDescent="0.25">
      <c r="A820" s="10" t="s">
        <v>1234</v>
      </c>
      <c r="B820" s="10" t="s">
        <v>1471</v>
      </c>
      <c r="C820" s="10" t="s">
        <v>1235</v>
      </c>
      <c r="D820" s="12" t="s">
        <v>227</v>
      </c>
      <c r="E820" s="11">
        <v>415.548</v>
      </c>
      <c r="F820" s="14">
        <v>24.81</v>
      </c>
      <c r="G820" s="15" t="s">
        <v>1228</v>
      </c>
      <c r="H820" s="11">
        <v>1</v>
      </c>
      <c r="I820" s="14">
        <v>10309.75</v>
      </c>
      <c r="J820" s="11">
        <v>13.91</v>
      </c>
      <c r="K820" s="14">
        <v>143408.62</v>
      </c>
    </row>
    <row r="821" spans="1:11" ht="14.5" x14ac:dyDescent="0.25">
      <c r="A821" s="10" t="s">
        <v>1236</v>
      </c>
      <c r="B821" s="10" t="s">
        <v>1472</v>
      </c>
      <c r="C821" s="10" t="s">
        <v>1237</v>
      </c>
      <c r="D821" s="12" t="s">
        <v>9</v>
      </c>
      <c r="E821" s="11">
        <v>541.84199999999998</v>
      </c>
      <c r="F821" s="14">
        <v>5.72</v>
      </c>
      <c r="G821" s="15" t="s">
        <v>1228</v>
      </c>
      <c r="H821" s="11">
        <v>1</v>
      </c>
      <c r="I821" s="14">
        <v>3099.34</v>
      </c>
      <c r="J821" s="11">
        <v>16.55</v>
      </c>
      <c r="K821" s="14">
        <v>51294.080000000002</v>
      </c>
    </row>
    <row r="822" spans="1:11" ht="14.5" x14ac:dyDescent="0.25">
      <c r="A822" s="10"/>
      <c r="B822" s="10"/>
      <c r="C822" s="10" t="s">
        <v>260</v>
      </c>
      <c r="D822" s="12" t="s">
        <v>261</v>
      </c>
      <c r="E822" s="11">
        <v>101</v>
      </c>
      <c r="F822" s="14"/>
      <c r="G822" s="13"/>
      <c r="H822" s="11"/>
      <c r="I822" s="14">
        <v>4301.83</v>
      </c>
      <c r="J822" s="11">
        <v>101</v>
      </c>
      <c r="K822" s="14">
        <v>245419.54</v>
      </c>
    </row>
    <row r="823" spans="1:11" ht="14.5" x14ac:dyDescent="0.25">
      <c r="A823" s="10"/>
      <c r="B823" s="10"/>
      <c r="C823" s="10" t="s">
        <v>262</v>
      </c>
      <c r="D823" s="12" t="s">
        <v>261</v>
      </c>
      <c r="E823" s="11">
        <v>55</v>
      </c>
      <c r="F823" s="14"/>
      <c r="G823" s="13"/>
      <c r="H823" s="11"/>
      <c r="I823" s="14">
        <v>2342.58</v>
      </c>
      <c r="J823" s="11">
        <v>55</v>
      </c>
      <c r="K823" s="14">
        <v>133644.29999999999</v>
      </c>
    </row>
    <row r="824" spans="1:11" ht="28" x14ac:dyDescent="0.25">
      <c r="A824" s="17"/>
      <c r="B824" s="17"/>
      <c r="C824" s="17" t="s">
        <v>263</v>
      </c>
      <c r="D824" s="18" t="s">
        <v>264</v>
      </c>
      <c r="E824" s="19">
        <v>49.7</v>
      </c>
      <c r="F824" s="20"/>
      <c r="G824" s="37" t="s">
        <v>787</v>
      </c>
      <c r="H824" s="19">
        <v>1</v>
      </c>
      <c r="I824" s="20">
        <v>279.42</v>
      </c>
      <c r="J824" s="19"/>
      <c r="K824" s="20"/>
    </row>
    <row r="825" spans="1:11" ht="14" x14ac:dyDescent="0.25">
      <c r="C825" s="22" t="s">
        <v>265</v>
      </c>
      <c r="H825" s="143">
        <v>25827.63</v>
      </c>
      <c r="I825" s="143"/>
      <c r="J825" s="143">
        <v>837189.65</v>
      </c>
      <c r="K825" s="143"/>
    </row>
    <row r="826" spans="1:11" ht="14" x14ac:dyDescent="0.25">
      <c r="C826" s="22" t="s">
        <v>267</v>
      </c>
      <c r="H826" s="141">
        <v>25827.63</v>
      </c>
      <c r="I826" s="141"/>
      <c r="J826" s="141">
        <v>837189.65</v>
      </c>
      <c r="K826" s="141"/>
    </row>
    <row r="828" spans="1:11" ht="42" x14ac:dyDescent="0.25">
      <c r="A828" s="10">
        <v>68</v>
      </c>
      <c r="B828" s="10" t="s">
        <v>1436</v>
      </c>
      <c r="C828" s="10" t="s">
        <v>1180</v>
      </c>
      <c r="D828" s="12" t="s">
        <v>1437</v>
      </c>
      <c r="E828" s="11">
        <v>2.0369999999999999</v>
      </c>
      <c r="F828" s="14"/>
      <c r="G828" s="13"/>
      <c r="H828" s="11"/>
      <c r="I828" s="14"/>
      <c r="J828" s="11"/>
      <c r="K828" s="14"/>
    </row>
    <row r="829" spans="1:11" x14ac:dyDescent="0.25">
      <c r="C829" s="23" t="s">
        <v>1460</v>
      </c>
    </row>
    <row r="830" spans="1:11" ht="14.5" x14ac:dyDescent="0.25">
      <c r="A830" s="10"/>
      <c r="B830" s="10"/>
      <c r="C830" s="10" t="s">
        <v>256</v>
      </c>
      <c r="D830" s="12"/>
      <c r="E830" s="11"/>
      <c r="F830" s="14">
        <v>609.14</v>
      </c>
      <c r="G830" s="13" t="s">
        <v>460</v>
      </c>
      <c r="H830" s="11">
        <v>1</v>
      </c>
      <c r="I830" s="14">
        <v>1712.33</v>
      </c>
      <c r="J830" s="11">
        <v>57.05</v>
      </c>
      <c r="K830" s="14">
        <v>97688.43</v>
      </c>
    </row>
    <row r="831" spans="1:11" ht="14.5" x14ac:dyDescent="0.25">
      <c r="A831" s="10"/>
      <c r="B831" s="10"/>
      <c r="C831" s="10" t="s">
        <v>257</v>
      </c>
      <c r="D831" s="12"/>
      <c r="E831" s="11"/>
      <c r="F831" s="14">
        <v>55.68</v>
      </c>
      <c r="G831" s="13" t="s">
        <v>461</v>
      </c>
      <c r="H831" s="11">
        <v>1</v>
      </c>
      <c r="I831" s="14">
        <v>170.13</v>
      </c>
      <c r="J831" s="11">
        <v>17.45</v>
      </c>
      <c r="K831" s="14">
        <v>2968.77</v>
      </c>
    </row>
    <row r="832" spans="1:11" ht="14.5" x14ac:dyDescent="0.25">
      <c r="A832" s="10"/>
      <c r="B832" s="10"/>
      <c r="C832" s="10" t="s">
        <v>258</v>
      </c>
      <c r="D832" s="12"/>
      <c r="E832" s="11"/>
      <c r="F832" s="14">
        <v>8.4600000000000009</v>
      </c>
      <c r="G832" s="13" t="s">
        <v>461</v>
      </c>
      <c r="H832" s="11">
        <v>1</v>
      </c>
      <c r="I832" s="16">
        <v>25.85</v>
      </c>
      <c r="J832" s="11">
        <v>57.05</v>
      </c>
      <c r="K832" s="16">
        <v>1474.74</v>
      </c>
    </row>
    <row r="833" spans="1:11" ht="14.5" x14ac:dyDescent="0.25">
      <c r="A833" s="10"/>
      <c r="B833" s="10"/>
      <c r="C833" s="10" t="s">
        <v>259</v>
      </c>
      <c r="D833" s="12"/>
      <c r="E833" s="11"/>
      <c r="F833" s="14">
        <v>0.81</v>
      </c>
      <c r="G833" s="13"/>
      <c r="H833" s="11">
        <v>1</v>
      </c>
      <c r="I833" s="14">
        <v>1.65</v>
      </c>
      <c r="J833" s="11">
        <v>13.12</v>
      </c>
      <c r="K833" s="14">
        <v>21.65</v>
      </c>
    </row>
    <row r="834" spans="1:11" ht="70" x14ac:dyDescent="0.25">
      <c r="A834" s="10" t="s">
        <v>85</v>
      </c>
      <c r="B834" s="10" t="s">
        <v>1438</v>
      </c>
      <c r="C834" s="10" t="s">
        <v>1181</v>
      </c>
      <c r="D834" s="12" t="s">
        <v>9</v>
      </c>
      <c r="E834" s="11">
        <v>101.85</v>
      </c>
      <c r="F834" s="14">
        <v>60.6</v>
      </c>
      <c r="G834" s="15" t="s">
        <v>1</v>
      </c>
      <c r="H834" s="11">
        <v>1</v>
      </c>
      <c r="I834" s="14">
        <v>6172.11</v>
      </c>
      <c r="J834" s="11">
        <v>8.42</v>
      </c>
      <c r="K834" s="14">
        <v>51969.17</v>
      </c>
    </row>
    <row r="835" spans="1:11" ht="56" x14ac:dyDescent="0.25">
      <c r="A835" s="10" t="s">
        <v>89</v>
      </c>
      <c r="B835" s="10" t="s">
        <v>1439</v>
      </c>
      <c r="C835" s="10" t="s">
        <v>1522</v>
      </c>
      <c r="D835" s="12" t="s">
        <v>227</v>
      </c>
      <c r="E835" s="11">
        <v>217.959</v>
      </c>
      <c r="F835" s="14">
        <v>158.66999999999999</v>
      </c>
      <c r="G835" s="15" t="s">
        <v>1</v>
      </c>
      <c r="H835" s="11">
        <v>1</v>
      </c>
      <c r="I835" s="14">
        <v>34583.550000000003</v>
      </c>
      <c r="J835" s="11">
        <v>9.84</v>
      </c>
      <c r="K835" s="14">
        <v>340302.13</v>
      </c>
    </row>
    <row r="836" spans="1:11" ht="14.5" x14ac:dyDescent="0.25">
      <c r="A836" s="10"/>
      <c r="B836" s="10"/>
      <c r="C836" s="10" t="s">
        <v>260</v>
      </c>
      <c r="D836" s="12" t="s">
        <v>261</v>
      </c>
      <c r="E836" s="11">
        <v>101</v>
      </c>
      <c r="F836" s="14"/>
      <c r="G836" s="13"/>
      <c r="H836" s="11"/>
      <c r="I836" s="14">
        <v>1755.56</v>
      </c>
      <c r="J836" s="11">
        <v>101</v>
      </c>
      <c r="K836" s="14">
        <v>100154.8</v>
      </c>
    </row>
    <row r="837" spans="1:11" ht="14.5" x14ac:dyDescent="0.25">
      <c r="A837" s="10"/>
      <c r="B837" s="10"/>
      <c r="C837" s="10" t="s">
        <v>262</v>
      </c>
      <c r="D837" s="12" t="s">
        <v>261</v>
      </c>
      <c r="E837" s="11">
        <v>55</v>
      </c>
      <c r="F837" s="14"/>
      <c r="G837" s="13"/>
      <c r="H837" s="11"/>
      <c r="I837" s="14">
        <v>956</v>
      </c>
      <c r="J837" s="11">
        <v>55</v>
      </c>
      <c r="K837" s="14">
        <v>54539.74</v>
      </c>
    </row>
    <row r="838" spans="1:11" ht="14.5" x14ac:dyDescent="0.25">
      <c r="A838" s="17"/>
      <c r="B838" s="17"/>
      <c r="C838" s="17" t="s">
        <v>263</v>
      </c>
      <c r="D838" s="18" t="s">
        <v>264</v>
      </c>
      <c r="E838" s="19">
        <v>38.200000000000003</v>
      </c>
      <c r="F838" s="20"/>
      <c r="G838" s="37" t="s">
        <v>460</v>
      </c>
      <c r="H838" s="19">
        <v>1</v>
      </c>
      <c r="I838" s="20">
        <v>107.38</v>
      </c>
      <c r="J838" s="19"/>
      <c r="K838" s="20"/>
    </row>
    <row r="839" spans="1:11" ht="14" x14ac:dyDescent="0.25">
      <c r="C839" s="22" t="s">
        <v>265</v>
      </c>
      <c r="H839" s="143">
        <v>45351.33</v>
      </c>
      <c r="I839" s="143"/>
      <c r="J839" s="143">
        <v>647644.68999999994</v>
      </c>
      <c r="K839" s="143"/>
    </row>
    <row r="840" spans="1:11" ht="14" x14ac:dyDescent="0.25">
      <c r="C840" s="22" t="s">
        <v>267</v>
      </c>
      <c r="H840" s="141">
        <v>45351.33</v>
      </c>
      <c r="I840" s="141"/>
      <c r="J840" s="141">
        <v>647644.68999999994</v>
      </c>
      <c r="K840" s="141"/>
    </row>
    <row r="843" spans="1:11" ht="14" x14ac:dyDescent="0.3">
      <c r="A843" s="140" t="s">
        <v>1440</v>
      </c>
      <c r="B843" s="140"/>
      <c r="C843" s="140"/>
      <c r="D843" s="140"/>
      <c r="E843" s="140"/>
      <c r="F843" s="140"/>
      <c r="G843" s="140"/>
      <c r="H843" s="141">
        <v>275919.48</v>
      </c>
      <c r="I843" s="142"/>
      <c r="J843" s="141">
        <v>4503593.47</v>
      </c>
      <c r="K843" s="142"/>
    </row>
    <row r="845" spans="1:11" ht="16.5" x14ac:dyDescent="0.25">
      <c r="A845" s="144" t="s">
        <v>1441</v>
      </c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</row>
    <row r="846" spans="1:11" ht="42" x14ac:dyDescent="0.25">
      <c r="A846" s="10">
        <v>69</v>
      </c>
      <c r="B846" s="10" t="s">
        <v>1459</v>
      </c>
      <c r="C846" s="10" t="s">
        <v>1215</v>
      </c>
      <c r="D846" s="12" t="s">
        <v>838</v>
      </c>
      <c r="E846" s="11">
        <v>0.312</v>
      </c>
      <c r="F846" s="14"/>
      <c r="G846" s="13"/>
      <c r="H846" s="11"/>
      <c r="I846" s="14"/>
      <c r="J846" s="11"/>
      <c r="K846" s="14"/>
    </row>
    <row r="847" spans="1:11" x14ac:dyDescent="0.25">
      <c r="C847" s="23" t="s">
        <v>1473</v>
      </c>
    </row>
    <row r="848" spans="1:11" ht="14.5" x14ac:dyDescent="0.25">
      <c r="A848" s="10"/>
      <c r="B848" s="10"/>
      <c r="C848" s="10" t="s">
        <v>256</v>
      </c>
      <c r="D848" s="12"/>
      <c r="E848" s="11"/>
      <c r="F848" s="14">
        <v>204.51</v>
      </c>
      <c r="G848" s="13" t="s">
        <v>460</v>
      </c>
      <c r="H848" s="11">
        <v>1</v>
      </c>
      <c r="I848" s="14">
        <v>88.05</v>
      </c>
      <c r="J848" s="11">
        <v>57.05</v>
      </c>
      <c r="K848" s="14">
        <v>5023.25</v>
      </c>
    </row>
    <row r="849" spans="1:11" ht="14.5" x14ac:dyDescent="0.25">
      <c r="A849" s="10"/>
      <c r="B849" s="10"/>
      <c r="C849" s="10" t="s">
        <v>257</v>
      </c>
      <c r="D849" s="12"/>
      <c r="E849" s="11"/>
      <c r="F849" s="14">
        <v>1.66</v>
      </c>
      <c r="G849" s="13" t="s">
        <v>461</v>
      </c>
      <c r="H849" s="11">
        <v>1</v>
      </c>
      <c r="I849" s="14">
        <v>0.78</v>
      </c>
      <c r="J849" s="11">
        <v>17.47</v>
      </c>
      <c r="K849" s="14">
        <v>13.63</v>
      </c>
    </row>
    <row r="850" spans="1:11" ht="14.5" x14ac:dyDescent="0.25">
      <c r="A850" s="10"/>
      <c r="B850" s="10"/>
      <c r="C850" s="10" t="s">
        <v>258</v>
      </c>
      <c r="D850" s="12"/>
      <c r="E850" s="11"/>
      <c r="F850" s="14">
        <v>0.25</v>
      </c>
      <c r="G850" s="13" t="s">
        <v>461</v>
      </c>
      <c r="H850" s="11">
        <v>1</v>
      </c>
      <c r="I850" s="16">
        <v>0.12</v>
      </c>
      <c r="J850" s="11">
        <v>57.05</v>
      </c>
      <c r="K850" s="16">
        <v>6.85</v>
      </c>
    </row>
    <row r="851" spans="1:11" ht="42" x14ac:dyDescent="0.25">
      <c r="A851" s="10" t="s">
        <v>92</v>
      </c>
      <c r="B851" s="10" t="s">
        <v>1461</v>
      </c>
      <c r="C851" s="10" t="s">
        <v>1238</v>
      </c>
      <c r="D851" s="12" t="s">
        <v>227</v>
      </c>
      <c r="E851" s="11">
        <v>37.44</v>
      </c>
      <c r="F851" s="14">
        <v>24.09</v>
      </c>
      <c r="G851" s="15" t="s">
        <v>1</v>
      </c>
      <c r="H851" s="11">
        <v>1</v>
      </c>
      <c r="I851" s="14">
        <v>901.93</v>
      </c>
      <c r="J851" s="11">
        <v>7.47</v>
      </c>
      <c r="K851" s="14">
        <v>6737.42</v>
      </c>
    </row>
    <row r="852" spans="1:11" ht="14.5" x14ac:dyDescent="0.25">
      <c r="A852" s="10"/>
      <c r="B852" s="10"/>
      <c r="C852" s="10" t="s">
        <v>260</v>
      </c>
      <c r="D852" s="12" t="s">
        <v>261</v>
      </c>
      <c r="E852" s="11">
        <v>99</v>
      </c>
      <c r="F852" s="14"/>
      <c r="G852" s="13"/>
      <c r="H852" s="11"/>
      <c r="I852" s="14">
        <v>87.29</v>
      </c>
      <c r="J852" s="11">
        <v>99</v>
      </c>
      <c r="K852" s="14">
        <v>4979.8</v>
      </c>
    </row>
    <row r="853" spans="1:11" ht="14.5" x14ac:dyDescent="0.25">
      <c r="A853" s="10"/>
      <c r="B853" s="10"/>
      <c r="C853" s="10" t="s">
        <v>262</v>
      </c>
      <c r="D853" s="12" t="s">
        <v>261</v>
      </c>
      <c r="E853" s="11">
        <v>59</v>
      </c>
      <c r="F853" s="14"/>
      <c r="G853" s="13"/>
      <c r="H853" s="11"/>
      <c r="I853" s="14">
        <v>52.02</v>
      </c>
      <c r="J853" s="11">
        <v>59</v>
      </c>
      <c r="K853" s="14">
        <v>2967.76</v>
      </c>
    </row>
    <row r="854" spans="1:11" ht="14.5" x14ac:dyDescent="0.25">
      <c r="A854" s="17"/>
      <c r="B854" s="17"/>
      <c r="C854" s="17" t="s">
        <v>263</v>
      </c>
      <c r="D854" s="18" t="s">
        <v>264</v>
      </c>
      <c r="E854" s="19">
        <v>13.36</v>
      </c>
      <c r="F854" s="20"/>
      <c r="G854" s="37" t="s">
        <v>460</v>
      </c>
      <c r="H854" s="19">
        <v>1</v>
      </c>
      <c r="I854" s="20">
        <v>5.75</v>
      </c>
      <c r="J854" s="19"/>
      <c r="K854" s="20"/>
    </row>
    <row r="855" spans="1:11" ht="14" x14ac:dyDescent="0.25">
      <c r="C855" s="22" t="s">
        <v>265</v>
      </c>
      <c r="H855" s="143">
        <v>1130.07</v>
      </c>
      <c r="I855" s="143"/>
      <c r="J855" s="143">
        <v>19721.86</v>
      </c>
      <c r="K855" s="143"/>
    </row>
    <row r="856" spans="1:11" ht="14" x14ac:dyDescent="0.25">
      <c r="C856" s="22" t="s">
        <v>267</v>
      </c>
      <c r="H856" s="141">
        <v>1130.07</v>
      </c>
      <c r="I856" s="141"/>
      <c r="J856" s="141">
        <v>19721.86</v>
      </c>
      <c r="K856" s="141"/>
    </row>
    <row r="858" spans="1:11" ht="58" x14ac:dyDescent="0.25">
      <c r="A858" s="10">
        <v>70</v>
      </c>
      <c r="B858" s="10" t="s">
        <v>1462</v>
      </c>
      <c r="C858" s="10" t="s">
        <v>1218</v>
      </c>
      <c r="D858" s="12" t="s">
        <v>1463</v>
      </c>
      <c r="E858" s="11">
        <v>0.312</v>
      </c>
      <c r="F858" s="14"/>
      <c r="G858" s="13"/>
      <c r="H858" s="11"/>
      <c r="I858" s="14"/>
      <c r="J858" s="11"/>
      <c r="K858" s="14"/>
    </row>
    <row r="859" spans="1:11" x14ac:dyDescent="0.25">
      <c r="C859" s="23" t="s">
        <v>1473</v>
      </c>
    </row>
    <row r="860" spans="1:11" ht="14.5" x14ac:dyDescent="0.25">
      <c r="A860" s="10"/>
      <c r="B860" s="10"/>
      <c r="C860" s="10" t="s">
        <v>256</v>
      </c>
      <c r="D860" s="12"/>
      <c r="E860" s="11"/>
      <c r="F860" s="14">
        <v>412.56</v>
      </c>
      <c r="G860" s="13" t="s">
        <v>460</v>
      </c>
      <c r="H860" s="11">
        <v>1</v>
      </c>
      <c r="I860" s="14">
        <v>177.63</v>
      </c>
      <c r="J860" s="11">
        <v>57.05</v>
      </c>
      <c r="K860" s="14">
        <v>10133.790000000001</v>
      </c>
    </row>
    <row r="861" spans="1:11" ht="14.5" x14ac:dyDescent="0.25">
      <c r="A861" s="10"/>
      <c r="B861" s="10"/>
      <c r="C861" s="10" t="s">
        <v>257</v>
      </c>
      <c r="D861" s="12"/>
      <c r="E861" s="11"/>
      <c r="F861" s="14">
        <v>122.12</v>
      </c>
      <c r="G861" s="13" t="s">
        <v>461</v>
      </c>
      <c r="H861" s="11">
        <v>1</v>
      </c>
      <c r="I861" s="14">
        <v>57.15</v>
      </c>
      <c r="J861" s="11">
        <v>15.8</v>
      </c>
      <c r="K861" s="14">
        <v>902.97</v>
      </c>
    </row>
    <row r="862" spans="1:11" ht="14.5" x14ac:dyDescent="0.25">
      <c r="A862" s="10"/>
      <c r="B862" s="10"/>
      <c r="C862" s="10" t="s">
        <v>258</v>
      </c>
      <c r="D862" s="12"/>
      <c r="E862" s="11"/>
      <c r="F862" s="14">
        <v>13.3</v>
      </c>
      <c r="G862" s="13" t="s">
        <v>461</v>
      </c>
      <c r="H862" s="11">
        <v>1</v>
      </c>
      <c r="I862" s="16">
        <v>6.22</v>
      </c>
      <c r="J862" s="11">
        <v>57.05</v>
      </c>
      <c r="K862" s="16">
        <v>354.85</v>
      </c>
    </row>
    <row r="863" spans="1:11" ht="84" x14ac:dyDescent="0.25">
      <c r="A863" s="10" t="s">
        <v>96</v>
      </c>
      <c r="B863" s="10" t="s">
        <v>1464</v>
      </c>
      <c r="C863" s="10" t="s">
        <v>1220</v>
      </c>
      <c r="D863" s="12" t="s">
        <v>227</v>
      </c>
      <c r="E863" s="11">
        <v>31.824000000000002</v>
      </c>
      <c r="F863" s="14">
        <v>134.28</v>
      </c>
      <c r="G863" s="15" t="s">
        <v>1</v>
      </c>
      <c r="H863" s="11">
        <v>1</v>
      </c>
      <c r="I863" s="14">
        <v>4273.33</v>
      </c>
      <c r="J863" s="11">
        <v>6.25</v>
      </c>
      <c r="K863" s="14">
        <v>26708.31</v>
      </c>
    </row>
    <row r="864" spans="1:11" ht="14.5" x14ac:dyDescent="0.25">
      <c r="A864" s="10"/>
      <c r="B864" s="10"/>
      <c r="C864" s="10" t="s">
        <v>260</v>
      </c>
      <c r="D864" s="12" t="s">
        <v>261</v>
      </c>
      <c r="E864" s="11">
        <v>98</v>
      </c>
      <c r="F864" s="14"/>
      <c r="G864" s="13"/>
      <c r="H864" s="11"/>
      <c r="I864" s="14">
        <v>180.17</v>
      </c>
      <c r="J864" s="11">
        <v>98</v>
      </c>
      <c r="K864" s="14">
        <v>10278.870000000001</v>
      </c>
    </row>
    <row r="865" spans="1:11" ht="14.5" x14ac:dyDescent="0.25">
      <c r="A865" s="10"/>
      <c r="B865" s="10"/>
      <c r="C865" s="10" t="s">
        <v>262</v>
      </c>
      <c r="D865" s="12" t="s">
        <v>261</v>
      </c>
      <c r="E865" s="11">
        <v>48</v>
      </c>
      <c r="F865" s="14"/>
      <c r="G865" s="13"/>
      <c r="H865" s="11"/>
      <c r="I865" s="14">
        <v>88.25</v>
      </c>
      <c r="J865" s="11">
        <v>48</v>
      </c>
      <c r="K865" s="14">
        <v>5034.55</v>
      </c>
    </row>
    <row r="866" spans="1:11" ht="14.5" x14ac:dyDescent="0.25">
      <c r="A866" s="17"/>
      <c r="B866" s="17"/>
      <c r="C866" s="17" t="s">
        <v>263</v>
      </c>
      <c r="D866" s="18" t="s">
        <v>264</v>
      </c>
      <c r="E866" s="19">
        <v>26.16</v>
      </c>
      <c r="F866" s="20"/>
      <c r="G866" s="37" t="s">
        <v>460</v>
      </c>
      <c r="H866" s="19">
        <v>1</v>
      </c>
      <c r="I866" s="20">
        <v>11.26</v>
      </c>
      <c r="J866" s="19"/>
      <c r="K866" s="20"/>
    </row>
    <row r="867" spans="1:11" ht="14" x14ac:dyDescent="0.25">
      <c r="C867" s="22" t="s">
        <v>265</v>
      </c>
      <c r="H867" s="143">
        <v>4776.53</v>
      </c>
      <c r="I867" s="143"/>
      <c r="J867" s="143">
        <v>53058.49</v>
      </c>
      <c r="K867" s="143"/>
    </row>
    <row r="868" spans="1:11" ht="14" x14ac:dyDescent="0.25">
      <c r="C868" s="22" t="s">
        <v>267</v>
      </c>
      <c r="H868" s="141">
        <v>4776.53</v>
      </c>
      <c r="I868" s="141"/>
      <c r="J868" s="141">
        <v>53058.49</v>
      </c>
      <c r="K868" s="141"/>
    </row>
    <row r="870" spans="1:11" ht="58" x14ac:dyDescent="0.25">
      <c r="A870" s="10">
        <v>71</v>
      </c>
      <c r="B870" s="10" t="s">
        <v>1465</v>
      </c>
      <c r="C870" s="10" t="s">
        <v>1221</v>
      </c>
      <c r="D870" s="12" t="s">
        <v>1463</v>
      </c>
      <c r="E870" s="11">
        <v>0.312</v>
      </c>
      <c r="F870" s="14"/>
      <c r="G870" s="13"/>
      <c r="H870" s="11"/>
      <c r="I870" s="14"/>
      <c r="J870" s="11"/>
      <c r="K870" s="14"/>
    </row>
    <row r="871" spans="1:11" x14ac:dyDescent="0.25">
      <c r="C871" s="23" t="s">
        <v>1473</v>
      </c>
    </row>
    <row r="872" spans="1:11" ht="28" x14ac:dyDescent="0.25">
      <c r="A872" s="10"/>
      <c r="B872" s="10"/>
      <c r="C872" s="10" t="s">
        <v>256</v>
      </c>
      <c r="D872" s="12"/>
      <c r="E872" s="11"/>
      <c r="F872" s="14">
        <v>235.59</v>
      </c>
      <c r="G872" s="13" t="s">
        <v>1222</v>
      </c>
      <c r="H872" s="11">
        <v>1</v>
      </c>
      <c r="I872" s="14">
        <v>405.74</v>
      </c>
      <c r="J872" s="11">
        <v>57.05</v>
      </c>
      <c r="K872" s="14">
        <v>23147.47</v>
      </c>
    </row>
    <row r="873" spans="1:11" ht="28" x14ac:dyDescent="0.25">
      <c r="A873" s="10"/>
      <c r="B873" s="10"/>
      <c r="C873" s="10" t="s">
        <v>257</v>
      </c>
      <c r="D873" s="12"/>
      <c r="E873" s="11"/>
      <c r="F873" s="14">
        <v>50.09</v>
      </c>
      <c r="G873" s="13" t="s">
        <v>1223</v>
      </c>
      <c r="H873" s="11">
        <v>1</v>
      </c>
      <c r="I873" s="14">
        <v>93.77</v>
      </c>
      <c r="J873" s="11">
        <v>15.79</v>
      </c>
      <c r="K873" s="14">
        <v>1480.63</v>
      </c>
    </row>
    <row r="874" spans="1:11" ht="28" x14ac:dyDescent="0.25">
      <c r="A874" s="10"/>
      <c r="B874" s="10"/>
      <c r="C874" s="10" t="s">
        <v>258</v>
      </c>
      <c r="D874" s="12"/>
      <c r="E874" s="11"/>
      <c r="F874" s="14">
        <v>5.45</v>
      </c>
      <c r="G874" s="13" t="s">
        <v>1223</v>
      </c>
      <c r="H874" s="11">
        <v>1</v>
      </c>
      <c r="I874" s="16">
        <v>10.199999999999999</v>
      </c>
      <c r="J874" s="11">
        <v>57.05</v>
      </c>
      <c r="K874" s="16">
        <v>581.91</v>
      </c>
    </row>
    <row r="875" spans="1:11" ht="84" x14ac:dyDescent="0.25">
      <c r="A875" s="10" t="s">
        <v>100</v>
      </c>
      <c r="B875" s="10" t="s">
        <v>1464</v>
      </c>
      <c r="C875" s="10" t="s">
        <v>1220</v>
      </c>
      <c r="D875" s="12" t="s">
        <v>227</v>
      </c>
      <c r="E875" s="11">
        <v>127.29600000000001</v>
      </c>
      <c r="F875" s="14">
        <v>134.28</v>
      </c>
      <c r="G875" s="15" t="s">
        <v>1</v>
      </c>
      <c r="H875" s="11">
        <v>1</v>
      </c>
      <c r="I875" s="14">
        <v>17093.310000000001</v>
      </c>
      <c r="J875" s="11">
        <v>6.25</v>
      </c>
      <c r="K875" s="14">
        <v>106833.19</v>
      </c>
    </row>
    <row r="876" spans="1:11" ht="14.5" x14ac:dyDescent="0.25">
      <c r="A876" s="10"/>
      <c r="B876" s="10"/>
      <c r="C876" s="10" t="s">
        <v>260</v>
      </c>
      <c r="D876" s="12" t="s">
        <v>261</v>
      </c>
      <c r="E876" s="11">
        <v>98</v>
      </c>
      <c r="F876" s="14"/>
      <c r="G876" s="13"/>
      <c r="H876" s="11"/>
      <c r="I876" s="14">
        <v>407.62</v>
      </c>
      <c r="J876" s="11">
        <v>98</v>
      </c>
      <c r="K876" s="14">
        <v>23254.79</v>
      </c>
    </row>
    <row r="877" spans="1:11" ht="14.5" x14ac:dyDescent="0.25">
      <c r="A877" s="10"/>
      <c r="B877" s="10"/>
      <c r="C877" s="10" t="s">
        <v>262</v>
      </c>
      <c r="D877" s="12" t="s">
        <v>261</v>
      </c>
      <c r="E877" s="11">
        <v>48</v>
      </c>
      <c r="F877" s="14"/>
      <c r="G877" s="13"/>
      <c r="H877" s="11"/>
      <c r="I877" s="14">
        <v>199.65</v>
      </c>
      <c r="J877" s="11">
        <v>48</v>
      </c>
      <c r="K877" s="14">
        <v>11390.1</v>
      </c>
    </row>
    <row r="878" spans="1:11" ht="28" x14ac:dyDescent="0.25">
      <c r="A878" s="17"/>
      <c r="B878" s="17"/>
      <c r="C878" s="17" t="s">
        <v>263</v>
      </c>
      <c r="D878" s="18" t="s">
        <v>264</v>
      </c>
      <c r="E878" s="19">
        <v>14.7</v>
      </c>
      <c r="F878" s="20"/>
      <c r="G878" s="37" t="s">
        <v>1222</v>
      </c>
      <c r="H878" s="19">
        <v>1</v>
      </c>
      <c r="I878" s="20">
        <v>25.32</v>
      </c>
      <c r="J878" s="19"/>
      <c r="K878" s="20"/>
    </row>
    <row r="879" spans="1:11" ht="14" x14ac:dyDescent="0.25">
      <c r="C879" s="22" t="s">
        <v>265</v>
      </c>
      <c r="H879" s="143">
        <v>18200.09</v>
      </c>
      <c r="I879" s="143"/>
      <c r="J879" s="143">
        <v>166106.18</v>
      </c>
      <c r="K879" s="143"/>
    </row>
    <row r="880" spans="1:11" ht="14" x14ac:dyDescent="0.25">
      <c r="C880" s="22" t="s">
        <v>267</v>
      </c>
      <c r="H880" s="141">
        <v>18200.09</v>
      </c>
      <c r="I880" s="141"/>
      <c r="J880" s="141">
        <v>166106.18</v>
      </c>
      <c r="K880" s="141"/>
    </row>
    <row r="882" spans="1:11" ht="42" x14ac:dyDescent="0.25">
      <c r="A882" s="10">
        <v>72</v>
      </c>
      <c r="B882" s="10" t="s">
        <v>1459</v>
      </c>
      <c r="C882" s="10" t="s">
        <v>1215</v>
      </c>
      <c r="D882" s="12" t="s">
        <v>838</v>
      </c>
      <c r="E882" s="11">
        <v>0.312</v>
      </c>
      <c r="F882" s="14"/>
      <c r="G882" s="13"/>
      <c r="H882" s="11"/>
      <c r="I882" s="14"/>
      <c r="J882" s="11"/>
      <c r="K882" s="14"/>
    </row>
    <row r="883" spans="1:11" x14ac:dyDescent="0.25">
      <c r="C883" s="23" t="s">
        <v>1473</v>
      </c>
    </row>
    <row r="884" spans="1:11" ht="14.5" x14ac:dyDescent="0.25">
      <c r="A884" s="10"/>
      <c r="B884" s="10"/>
      <c r="C884" s="10" t="s">
        <v>256</v>
      </c>
      <c r="D884" s="12"/>
      <c r="E884" s="11"/>
      <c r="F884" s="14">
        <v>204.51</v>
      </c>
      <c r="G884" s="13" t="s">
        <v>460</v>
      </c>
      <c r="H884" s="11">
        <v>1</v>
      </c>
      <c r="I884" s="14">
        <v>88.05</v>
      </c>
      <c r="J884" s="11">
        <v>57.05</v>
      </c>
      <c r="K884" s="14">
        <v>5023.25</v>
      </c>
    </row>
    <row r="885" spans="1:11" ht="14.5" x14ac:dyDescent="0.25">
      <c r="A885" s="10"/>
      <c r="B885" s="10"/>
      <c r="C885" s="10" t="s">
        <v>257</v>
      </c>
      <c r="D885" s="12"/>
      <c r="E885" s="11"/>
      <c r="F885" s="14">
        <v>1.66</v>
      </c>
      <c r="G885" s="13" t="s">
        <v>461</v>
      </c>
      <c r="H885" s="11">
        <v>1</v>
      </c>
      <c r="I885" s="14">
        <v>0.78</v>
      </c>
      <c r="J885" s="11">
        <v>17.47</v>
      </c>
      <c r="K885" s="14">
        <v>13.63</v>
      </c>
    </row>
    <row r="886" spans="1:11" ht="14.5" x14ac:dyDescent="0.25">
      <c r="A886" s="10"/>
      <c r="B886" s="10"/>
      <c r="C886" s="10" t="s">
        <v>258</v>
      </c>
      <c r="D886" s="12"/>
      <c r="E886" s="11"/>
      <c r="F886" s="14">
        <v>0.25</v>
      </c>
      <c r="G886" s="13" t="s">
        <v>461</v>
      </c>
      <c r="H886" s="11">
        <v>1</v>
      </c>
      <c r="I886" s="16">
        <v>0.12</v>
      </c>
      <c r="J886" s="11">
        <v>57.05</v>
      </c>
      <c r="K886" s="16">
        <v>6.85</v>
      </c>
    </row>
    <row r="887" spans="1:11" ht="42" x14ac:dyDescent="0.25">
      <c r="A887" s="10" t="s">
        <v>104</v>
      </c>
      <c r="B887" s="10" t="s">
        <v>1461</v>
      </c>
      <c r="C887" s="10" t="s">
        <v>1238</v>
      </c>
      <c r="D887" s="12" t="s">
        <v>227</v>
      </c>
      <c r="E887" s="11">
        <v>37.44</v>
      </c>
      <c r="F887" s="14">
        <v>24.09</v>
      </c>
      <c r="G887" s="15" t="s">
        <v>1</v>
      </c>
      <c r="H887" s="11">
        <v>1</v>
      </c>
      <c r="I887" s="14">
        <v>901.93</v>
      </c>
      <c r="J887" s="11">
        <v>7.47</v>
      </c>
      <c r="K887" s="14">
        <v>6737.42</v>
      </c>
    </row>
    <row r="888" spans="1:11" ht="14.5" x14ac:dyDescent="0.25">
      <c r="A888" s="10"/>
      <c r="B888" s="10"/>
      <c r="C888" s="10" t="s">
        <v>260</v>
      </c>
      <c r="D888" s="12" t="s">
        <v>261</v>
      </c>
      <c r="E888" s="11">
        <v>99</v>
      </c>
      <c r="F888" s="14"/>
      <c r="G888" s="13"/>
      <c r="H888" s="11"/>
      <c r="I888" s="14">
        <v>87.29</v>
      </c>
      <c r="J888" s="11">
        <v>99</v>
      </c>
      <c r="K888" s="14">
        <v>4979.8</v>
      </c>
    </row>
    <row r="889" spans="1:11" ht="14.5" x14ac:dyDescent="0.25">
      <c r="A889" s="10"/>
      <c r="B889" s="10"/>
      <c r="C889" s="10" t="s">
        <v>262</v>
      </c>
      <c r="D889" s="12" t="s">
        <v>261</v>
      </c>
      <c r="E889" s="11">
        <v>59</v>
      </c>
      <c r="F889" s="14"/>
      <c r="G889" s="13"/>
      <c r="H889" s="11"/>
      <c r="I889" s="14">
        <v>52.02</v>
      </c>
      <c r="J889" s="11">
        <v>59</v>
      </c>
      <c r="K889" s="14">
        <v>2967.76</v>
      </c>
    </row>
    <row r="890" spans="1:11" ht="14.5" x14ac:dyDescent="0.25">
      <c r="A890" s="17"/>
      <c r="B890" s="17"/>
      <c r="C890" s="17" t="s">
        <v>263</v>
      </c>
      <c r="D890" s="18" t="s">
        <v>264</v>
      </c>
      <c r="E890" s="19">
        <v>13.36</v>
      </c>
      <c r="F890" s="20"/>
      <c r="G890" s="37" t="s">
        <v>460</v>
      </c>
      <c r="H890" s="19">
        <v>1</v>
      </c>
      <c r="I890" s="20">
        <v>5.75</v>
      </c>
      <c r="J890" s="19"/>
      <c r="K890" s="20"/>
    </row>
    <row r="891" spans="1:11" ht="14" x14ac:dyDescent="0.25">
      <c r="C891" s="22" t="s">
        <v>265</v>
      </c>
      <c r="H891" s="143">
        <v>1130.07</v>
      </c>
      <c r="I891" s="143"/>
      <c r="J891" s="143">
        <v>19721.86</v>
      </c>
      <c r="K891" s="143"/>
    </row>
    <row r="892" spans="1:11" ht="14" x14ac:dyDescent="0.25">
      <c r="C892" s="22" t="s">
        <v>267</v>
      </c>
      <c r="H892" s="141">
        <v>1130.07</v>
      </c>
      <c r="I892" s="141"/>
      <c r="J892" s="141">
        <v>19721.86</v>
      </c>
      <c r="K892" s="141"/>
    </row>
    <row r="894" spans="1:11" ht="28" x14ac:dyDescent="0.25">
      <c r="A894" s="10">
        <v>73</v>
      </c>
      <c r="B894" s="10" t="s">
        <v>1466</v>
      </c>
      <c r="C894" s="10" t="s">
        <v>1525</v>
      </c>
      <c r="D894" s="12" t="s">
        <v>838</v>
      </c>
      <c r="E894" s="11">
        <v>0.312</v>
      </c>
      <c r="F894" s="14"/>
      <c r="G894" s="13"/>
      <c r="H894" s="11"/>
      <c r="I894" s="14"/>
      <c r="J894" s="11"/>
      <c r="K894" s="14"/>
    </row>
    <row r="895" spans="1:11" x14ac:dyDescent="0.25">
      <c r="C895" s="23" t="s">
        <v>1473</v>
      </c>
    </row>
    <row r="896" spans="1:11" ht="28" x14ac:dyDescent="0.25">
      <c r="A896" s="10"/>
      <c r="B896" s="10"/>
      <c r="C896" s="10" t="s">
        <v>256</v>
      </c>
      <c r="D896" s="12"/>
      <c r="E896" s="11"/>
      <c r="F896" s="14">
        <v>1347.04</v>
      </c>
      <c r="G896" s="13" t="s">
        <v>787</v>
      </c>
      <c r="H896" s="11">
        <v>1</v>
      </c>
      <c r="I896" s="14">
        <v>1159.96</v>
      </c>
      <c r="J896" s="11">
        <v>57.05</v>
      </c>
      <c r="K896" s="14">
        <v>66175.72</v>
      </c>
    </row>
    <row r="897" spans="1:11" ht="28" x14ac:dyDescent="0.25">
      <c r="A897" s="10"/>
      <c r="B897" s="10"/>
      <c r="C897" s="10" t="s">
        <v>257</v>
      </c>
      <c r="D897" s="12"/>
      <c r="E897" s="11"/>
      <c r="F897" s="14">
        <v>43.45</v>
      </c>
      <c r="G897" s="13" t="s">
        <v>788</v>
      </c>
      <c r="H897" s="11">
        <v>1</v>
      </c>
      <c r="I897" s="14">
        <v>40.67</v>
      </c>
      <c r="J897" s="11">
        <v>10.39</v>
      </c>
      <c r="K897" s="14">
        <v>422.56</v>
      </c>
    </row>
    <row r="898" spans="1:11" ht="28" x14ac:dyDescent="0.25">
      <c r="A898" s="10"/>
      <c r="B898" s="10"/>
      <c r="C898" s="10" t="s">
        <v>258</v>
      </c>
      <c r="D898" s="12"/>
      <c r="E898" s="11"/>
      <c r="F898" s="14">
        <v>0.76</v>
      </c>
      <c r="G898" s="13" t="s">
        <v>788</v>
      </c>
      <c r="H898" s="11">
        <v>1</v>
      </c>
      <c r="I898" s="16">
        <v>0.71</v>
      </c>
      <c r="J898" s="11">
        <v>57.05</v>
      </c>
      <c r="K898" s="16">
        <v>40.51</v>
      </c>
    </row>
    <row r="899" spans="1:11" ht="14.5" x14ac:dyDescent="0.25">
      <c r="A899" s="10"/>
      <c r="B899" s="10"/>
      <c r="C899" s="10" t="s">
        <v>259</v>
      </c>
      <c r="D899" s="12"/>
      <c r="E899" s="11"/>
      <c r="F899" s="14">
        <v>108.37</v>
      </c>
      <c r="G899" s="13">
        <v>2</v>
      </c>
      <c r="H899" s="11">
        <v>1</v>
      </c>
      <c r="I899" s="14">
        <v>67.62</v>
      </c>
      <c r="J899" s="11">
        <v>14.19</v>
      </c>
      <c r="K899" s="14">
        <v>959.53</v>
      </c>
    </row>
    <row r="900" spans="1:11" ht="70" x14ac:dyDescent="0.25">
      <c r="A900" s="10" t="s">
        <v>108</v>
      </c>
      <c r="B900" s="10" t="s">
        <v>1467</v>
      </c>
      <c r="C900" s="10" t="s">
        <v>1227</v>
      </c>
      <c r="D900" s="12" t="s">
        <v>34</v>
      </c>
      <c r="E900" s="11">
        <v>9.4847999999999999</v>
      </c>
      <c r="F900" s="14">
        <v>95.11</v>
      </c>
      <c r="G900" s="15" t="s">
        <v>1228</v>
      </c>
      <c r="H900" s="11">
        <v>1</v>
      </c>
      <c r="I900" s="14">
        <v>902.1</v>
      </c>
      <c r="J900" s="11">
        <v>14.51</v>
      </c>
      <c r="K900" s="14">
        <v>13089.47</v>
      </c>
    </row>
    <row r="901" spans="1:11" ht="14.5" x14ac:dyDescent="0.25">
      <c r="A901" s="10" t="s">
        <v>1239</v>
      </c>
      <c r="B901" s="10" t="s">
        <v>1468</v>
      </c>
      <c r="C901" s="10" t="s">
        <v>1230</v>
      </c>
      <c r="D901" s="12" t="s">
        <v>9</v>
      </c>
      <c r="E901" s="11">
        <v>49.92</v>
      </c>
      <c r="F901" s="14">
        <v>9.98</v>
      </c>
      <c r="G901" s="15" t="s">
        <v>1228</v>
      </c>
      <c r="H901" s="11">
        <v>1</v>
      </c>
      <c r="I901" s="14">
        <v>498.2</v>
      </c>
      <c r="J901" s="11">
        <v>8.5399999999999991</v>
      </c>
      <c r="K901" s="14">
        <v>4254.63</v>
      </c>
    </row>
    <row r="902" spans="1:11" ht="28" x14ac:dyDescent="0.25">
      <c r="A902" s="10" t="s">
        <v>1240</v>
      </c>
      <c r="B902" s="10" t="s">
        <v>1469</v>
      </c>
      <c r="C902" s="10" t="s">
        <v>1232</v>
      </c>
      <c r="D902" s="12" t="s">
        <v>227</v>
      </c>
      <c r="E902" s="11">
        <v>63.648000000000003</v>
      </c>
      <c r="F902" s="14">
        <v>25.82</v>
      </c>
      <c r="G902" s="15" t="s">
        <v>1</v>
      </c>
      <c r="H902" s="11">
        <v>1</v>
      </c>
      <c r="I902" s="14">
        <v>1643.39</v>
      </c>
      <c r="J902" s="11">
        <v>9.4700000000000006</v>
      </c>
      <c r="K902" s="14">
        <v>15562.9</v>
      </c>
    </row>
    <row r="903" spans="1:11" ht="14.5" x14ac:dyDescent="0.25">
      <c r="A903" s="10"/>
      <c r="B903" s="10"/>
      <c r="C903" s="10" t="s">
        <v>260</v>
      </c>
      <c r="D903" s="12" t="s">
        <v>261</v>
      </c>
      <c r="E903" s="11">
        <v>101</v>
      </c>
      <c r="F903" s="14"/>
      <c r="G903" s="13"/>
      <c r="H903" s="11"/>
      <c r="I903" s="14">
        <v>1172.28</v>
      </c>
      <c r="J903" s="11">
        <v>101</v>
      </c>
      <c r="K903" s="14">
        <v>66878.39</v>
      </c>
    </row>
    <row r="904" spans="1:11" ht="14.5" x14ac:dyDescent="0.25">
      <c r="A904" s="10"/>
      <c r="B904" s="10"/>
      <c r="C904" s="10" t="s">
        <v>262</v>
      </c>
      <c r="D904" s="12" t="s">
        <v>261</v>
      </c>
      <c r="E904" s="11">
        <v>55</v>
      </c>
      <c r="F904" s="14"/>
      <c r="G904" s="13"/>
      <c r="H904" s="11"/>
      <c r="I904" s="14">
        <v>638.37</v>
      </c>
      <c r="J904" s="11">
        <v>55</v>
      </c>
      <c r="K904" s="14">
        <v>36418.93</v>
      </c>
    </row>
    <row r="905" spans="1:11" ht="28" x14ac:dyDescent="0.25">
      <c r="A905" s="17"/>
      <c r="B905" s="17"/>
      <c r="C905" s="17" t="s">
        <v>263</v>
      </c>
      <c r="D905" s="18" t="s">
        <v>264</v>
      </c>
      <c r="E905" s="19">
        <v>83.04</v>
      </c>
      <c r="F905" s="20"/>
      <c r="G905" s="37" t="s">
        <v>787</v>
      </c>
      <c r="H905" s="19">
        <v>1</v>
      </c>
      <c r="I905" s="20">
        <v>71.510000000000005</v>
      </c>
      <c r="J905" s="19"/>
      <c r="K905" s="20"/>
    </row>
    <row r="906" spans="1:11" ht="14" x14ac:dyDescent="0.25">
      <c r="C906" s="22" t="s">
        <v>265</v>
      </c>
      <c r="H906" s="143">
        <v>6122.59</v>
      </c>
      <c r="I906" s="143"/>
      <c r="J906" s="143">
        <v>203762.13</v>
      </c>
      <c r="K906" s="143"/>
    </row>
    <row r="907" spans="1:11" ht="14" x14ac:dyDescent="0.25">
      <c r="C907" s="22" t="s">
        <v>267</v>
      </c>
      <c r="H907" s="141">
        <v>6122.59</v>
      </c>
      <c r="I907" s="141"/>
      <c r="J907" s="141">
        <v>203762.13</v>
      </c>
      <c r="K907" s="141"/>
    </row>
    <row r="909" spans="1:11" ht="42" x14ac:dyDescent="0.25">
      <c r="A909" s="10">
        <v>74</v>
      </c>
      <c r="B909" s="10" t="s">
        <v>1470</v>
      </c>
      <c r="C909" s="10" t="s">
        <v>1241</v>
      </c>
      <c r="D909" s="12" t="s">
        <v>1437</v>
      </c>
      <c r="E909" s="11">
        <v>0.312</v>
      </c>
      <c r="F909" s="14"/>
      <c r="G909" s="13"/>
      <c r="H909" s="11"/>
      <c r="I909" s="14"/>
      <c r="J909" s="11"/>
      <c r="K909" s="14"/>
    </row>
    <row r="910" spans="1:11" x14ac:dyDescent="0.25">
      <c r="C910" s="23" t="s">
        <v>1473</v>
      </c>
    </row>
    <row r="911" spans="1:11" ht="28" x14ac:dyDescent="0.25">
      <c r="A911" s="10"/>
      <c r="B911" s="10"/>
      <c r="C911" s="10" t="s">
        <v>256</v>
      </c>
      <c r="D911" s="12"/>
      <c r="E911" s="11"/>
      <c r="F911" s="14">
        <v>753.88</v>
      </c>
      <c r="G911" s="13" t="s">
        <v>787</v>
      </c>
      <c r="H911" s="11">
        <v>1</v>
      </c>
      <c r="I911" s="14">
        <v>649.17999999999995</v>
      </c>
      <c r="J911" s="11">
        <v>57.05</v>
      </c>
      <c r="K911" s="14">
        <v>37035.72</v>
      </c>
    </row>
    <row r="912" spans="1:11" ht="28" x14ac:dyDescent="0.25">
      <c r="A912" s="10"/>
      <c r="B912" s="10"/>
      <c r="C912" s="10" t="s">
        <v>257</v>
      </c>
      <c r="D912" s="12"/>
      <c r="E912" s="11"/>
      <c r="F912" s="14">
        <v>41.82</v>
      </c>
      <c r="G912" s="13" t="s">
        <v>788</v>
      </c>
      <c r="H912" s="11">
        <v>1</v>
      </c>
      <c r="I912" s="14">
        <v>39.14</v>
      </c>
      <c r="J912" s="11">
        <v>15.53</v>
      </c>
      <c r="K912" s="14">
        <v>607.84</v>
      </c>
    </row>
    <row r="913" spans="1:11" ht="28" x14ac:dyDescent="0.25">
      <c r="A913" s="10"/>
      <c r="B913" s="10"/>
      <c r="C913" s="10" t="s">
        <v>258</v>
      </c>
      <c r="D913" s="12"/>
      <c r="E913" s="11"/>
      <c r="F913" s="14">
        <v>3.41</v>
      </c>
      <c r="G913" s="13" t="s">
        <v>788</v>
      </c>
      <c r="H913" s="11">
        <v>1</v>
      </c>
      <c r="I913" s="16">
        <v>3.19</v>
      </c>
      <c r="J913" s="11">
        <v>57.05</v>
      </c>
      <c r="K913" s="16">
        <v>181.99</v>
      </c>
    </row>
    <row r="914" spans="1:11" ht="14.5" x14ac:dyDescent="0.25">
      <c r="A914" s="10"/>
      <c r="B914" s="10"/>
      <c r="C914" s="10" t="s">
        <v>259</v>
      </c>
      <c r="D914" s="12"/>
      <c r="E914" s="11"/>
      <c r="F914" s="14">
        <v>314.23</v>
      </c>
      <c r="G914" s="13">
        <v>2</v>
      </c>
      <c r="H914" s="11">
        <v>1</v>
      </c>
      <c r="I914" s="14">
        <v>196.08</v>
      </c>
      <c r="J914" s="11">
        <v>13.79</v>
      </c>
      <c r="K914" s="14">
        <v>2703.94</v>
      </c>
    </row>
    <row r="915" spans="1:11" ht="42" x14ac:dyDescent="0.25">
      <c r="A915" s="10" t="s">
        <v>112</v>
      </c>
      <c r="B915" s="10" t="s">
        <v>1471</v>
      </c>
      <c r="C915" s="10" t="s">
        <v>1235</v>
      </c>
      <c r="D915" s="12" t="s">
        <v>227</v>
      </c>
      <c r="E915" s="11">
        <v>63.648000000000003</v>
      </c>
      <c r="F915" s="14">
        <v>24.81</v>
      </c>
      <c r="G915" s="15" t="s">
        <v>1228</v>
      </c>
      <c r="H915" s="11">
        <v>1</v>
      </c>
      <c r="I915" s="14">
        <v>1579.11</v>
      </c>
      <c r="J915" s="11">
        <v>13.91</v>
      </c>
      <c r="K915" s="14">
        <v>21965.42</v>
      </c>
    </row>
    <row r="916" spans="1:11" ht="14.5" x14ac:dyDescent="0.25">
      <c r="A916" s="10" t="s">
        <v>115</v>
      </c>
      <c r="B916" s="10" t="s">
        <v>1472</v>
      </c>
      <c r="C916" s="10" t="s">
        <v>1237</v>
      </c>
      <c r="D916" s="12" t="s">
        <v>9</v>
      </c>
      <c r="E916" s="11">
        <v>82.992000000000004</v>
      </c>
      <c r="F916" s="14">
        <v>5.72</v>
      </c>
      <c r="G916" s="15" t="s">
        <v>1228</v>
      </c>
      <c r="H916" s="11">
        <v>1</v>
      </c>
      <c r="I916" s="14">
        <v>474.71</v>
      </c>
      <c r="J916" s="11">
        <v>16.55</v>
      </c>
      <c r="K916" s="14">
        <v>7856.45</v>
      </c>
    </row>
    <row r="917" spans="1:11" ht="14.5" x14ac:dyDescent="0.25">
      <c r="A917" s="10"/>
      <c r="B917" s="10"/>
      <c r="C917" s="10" t="s">
        <v>260</v>
      </c>
      <c r="D917" s="12" t="s">
        <v>261</v>
      </c>
      <c r="E917" s="11">
        <v>101</v>
      </c>
      <c r="F917" s="14"/>
      <c r="G917" s="13"/>
      <c r="H917" s="11"/>
      <c r="I917" s="14">
        <v>658.89</v>
      </c>
      <c r="J917" s="11">
        <v>101</v>
      </c>
      <c r="K917" s="14">
        <v>37589.89</v>
      </c>
    </row>
    <row r="918" spans="1:11" ht="14.5" x14ac:dyDescent="0.25">
      <c r="A918" s="10"/>
      <c r="B918" s="10"/>
      <c r="C918" s="10" t="s">
        <v>262</v>
      </c>
      <c r="D918" s="12" t="s">
        <v>261</v>
      </c>
      <c r="E918" s="11">
        <v>55</v>
      </c>
      <c r="F918" s="14"/>
      <c r="G918" s="13"/>
      <c r="H918" s="11"/>
      <c r="I918" s="14">
        <v>358.8</v>
      </c>
      <c r="J918" s="11">
        <v>55</v>
      </c>
      <c r="K918" s="14">
        <v>20469.740000000002</v>
      </c>
    </row>
    <row r="919" spans="1:11" ht="28" x14ac:dyDescent="0.25">
      <c r="A919" s="17"/>
      <c r="B919" s="17"/>
      <c r="C919" s="17" t="s">
        <v>263</v>
      </c>
      <c r="D919" s="18" t="s">
        <v>264</v>
      </c>
      <c r="E919" s="19">
        <v>49.7</v>
      </c>
      <c r="F919" s="20"/>
      <c r="G919" s="37" t="s">
        <v>787</v>
      </c>
      <c r="H919" s="19">
        <v>1</v>
      </c>
      <c r="I919" s="20">
        <v>42.8</v>
      </c>
      <c r="J919" s="19"/>
      <c r="K919" s="20"/>
    </row>
    <row r="920" spans="1:11" ht="14" x14ac:dyDescent="0.25">
      <c r="C920" s="22" t="s">
        <v>265</v>
      </c>
      <c r="H920" s="143">
        <v>3955.91</v>
      </c>
      <c r="I920" s="143"/>
      <c r="J920" s="143">
        <v>128229</v>
      </c>
      <c r="K920" s="143"/>
    </row>
    <row r="921" spans="1:11" ht="14" x14ac:dyDescent="0.25">
      <c r="C921" s="22" t="s">
        <v>267</v>
      </c>
      <c r="H921" s="141">
        <v>3955.91</v>
      </c>
      <c r="I921" s="141"/>
      <c r="J921" s="141">
        <v>128229</v>
      </c>
      <c r="K921" s="141"/>
    </row>
    <row r="923" spans="1:11" ht="42" x14ac:dyDescent="0.25">
      <c r="A923" s="10">
        <v>75</v>
      </c>
      <c r="B923" s="10" t="s">
        <v>1433</v>
      </c>
      <c r="C923" s="10" t="s">
        <v>1526</v>
      </c>
      <c r="D923" s="12" t="s">
        <v>838</v>
      </c>
      <c r="E923" s="11">
        <v>0.312</v>
      </c>
      <c r="F923" s="14"/>
      <c r="G923" s="13"/>
      <c r="H923" s="11"/>
      <c r="I923" s="14"/>
      <c r="J923" s="11"/>
      <c r="K923" s="14"/>
    </row>
    <row r="924" spans="1:11" x14ac:dyDescent="0.25">
      <c r="C924" s="23" t="s">
        <v>1473</v>
      </c>
    </row>
    <row r="925" spans="1:11" ht="14.5" x14ac:dyDescent="0.25">
      <c r="A925" s="10"/>
      <c r="B925" s="10"/>
      <c r="C925" s="10" t="s">
        <v>256</v>
      </c>
      <c r="D925" s="12"/>
      <c r="E925" s="11"/>
      <c r="F925" s="14">
        <v>69.650000000000006</v>
      </c>
      <c r="G925" s="13" t="s">
        <v>460</v>
      </c>
      <c r="H925" s="11">
        <v>1</v>
      </c>
      <c r="I925" s="14">
        <v>29.99</v>
      </c>
      <c r="J925" s="11">
        <v>57.05</v>
      </c>
      <c r="K925" s="14">
        <v>1710.93</v>
      </c>
    </row>
    <row r="926" spans="1:11" ht="14.5" x14ac:dyDescent="0.25">
      <c r="A926" s="10"/>
      <c r="B926" s="10"/>
      <c r="C926" s="10" t="s">
        <v>257</v>
      </c>
      <c r="D926" s="12"/>
      <c r="E926" s="11"/>
      <c r="F926" s="14">
        <v>0.84</v>
      </c>
      <c r="G926" s="13" t="s">
        <v>461</v>
      </c>
      <c r="H926" s="11">
        <v>1</v>
      </c>
      <c r="I926" s="14">
        <v>0.39</v>
      </c>
      <c r="J926" s="11">
        <v>17.329999999999998</v>
      </c>
      <c r="K926" s="14">
        <v>6.76</v>
      </c>
    </row>
    <row r="927" spans="1:11" ht="14.5" x14ac:dyDescent="0.25">
      <c r="A927" s="10"/>
      <c r="B927" s="10"/>
      <c r="C927" s="10" t="s">
        <v>258</v>
      </c>
      <c r="D927" s="12"/>
      <c r="E927" s="11"/>
      <c r="F927" s="14">
        <v>0.13</v>
      </c>
      <c r="G927" s="13" t="s">
        <v>461</v>
      </c>
      <c r="H927" s="11">
        <v>1</v>
      </c>
      <c r="I927" s="16">
        <v>0.06</v>
      </c>
      <c r="J927" s="11">
        <v>57.05</v>
      </c>
      <c r="K927" s="16">
        <v>3.42</v>
      </c>
    </row>
    <row r="928" spans="1:11" ht="56" x14ac:dyDescent="0.25">
      <c r="A928" s="10" t="s">
        <v>119</v>
      </c>
      <c r="B928" s="10" t="s">
        <v>1435</v>
      </c>
      <c r="C928" s="10" t="s">
        <v>1179</v>
      </c>
      <c r="D928" s="12" t="s">
        <v>225</v>
      </c>
      <c r="E928" s="11">
        <v>3.2136</v>
      </c>
      <c r="F928" s="14">
        <v>40.159999999999997</v>
      </c>
      <c r="G928" s="15" t="s">
        <v>1</v>
      </c>
      <c r="H928" s="11">
        <v>1</v>
      </c>
      <c r="I928" s="14">
        <v>129.06</v>
      </c>
      <c r="J928" s="11">
        <v>2.61</v>
      </c>
      <c r="K928" s="14">
        <v>336.85</v>
      </c>
    </row>
    <row r="929" spans="1:11" ht="14.5" x14ac:dyDescent="0.25">
      <c r="A929" s="10"/>
      <c r="B929" s="10"/>
      <c r="C929" s="10" t="s">
        <v>260</v>
      </c>
      <c r="D929" s="12" t="s">
        <v>261</v>
      </c>
      <c r="E929" s="11">
        <v>90</v>
      </c>
      <c r="F929" s="14"/>
      <c r="G929" s="13"/>
      <c r="H929" s="11"/>
      <c r="I929" s="14">
        <v>27.05</v>
      </c>
      <c r="J929" s="11">
        <v>90</v>
      </c>
      <c r="K929" s="14">
        <v>1542.92</v>
      </c>
    </row>
    <row r="930" spans="1:11" ht="14.5" x14ac:dyDescent="0.25">
      <c r="A930" s="10"/>
      <c r="B930" s="10"/>
      <c r="C930" s="10" t="s">
        <v>262</v>
      </c>
      <c r="D930" s="12" t="s">
        <v>261</v>
      </c>
      <c r="E930" s="11">
        <v>42</v>
      </c>
      <c r="F930" s="14"/>
      <c r="G930" s="13"/>
      <c r="H930" s="11"/>
      <c r="I930" s="14">
        <v>12.62</v>
      </c>
      <c r="J930" s="11">
        <v>42</v>
      </c>
      <c r="K930" s="14">
        <v>720.03</v>
      </c>
    </row>
    <row r="931" spans="1:11" ht="14.5" x14ac:dyDescent="0.25">
      <c r="A931" s="17"/>
      <c r="B931" s="17"/>
      <c r="C931" s="17" t="s">
        <v>263</v>
      </c>
      <c r="D931" s="18" t="s">
        <v>264</v>
      </c>
      <c r="E931" s="19">
        <v>4.6500000000000004</v>
      </c>
      <c r="F931" s="20"/>
      <c r="G931" s="37" t="s">
        <v>460</v>
      </c>
      <c r="H931" s="19">
        <v>1</v>
      </c>
      <c r="I931" s="20">
        <v>2</v>
      </c>
      <c r="J931" s="19"/>
      <c r="K931" s="20"/>
    </row>
    <row r="932" spans="1:11" ht="14" x14ac:dyDescent="0.25">
      <c r="C932" s="22" t="s">
        <v>265</v>
      </c>
      <c r="H932" s="143">
        <v>199.11</v>
      </c>
      <c r="I932" s="143"/>
      <c r="J932" s="143">
        <v>4317.49</v>
      </c>
      <c r="K932" s="143"/>
    </row>
    <row r="933" spans="1:11" ht="14" x14ac:dyDescent="0.25">
      <c r="C933" s="22" t="s">
        <v>267</v>
      </c>
      <c r="H933" s="141">
        <v>199.11</v>
      </c>
      <c r="I933" s="141"/>
      <c r="J933" s="141">
        <v>4317.49</v>
      </c>
      <c r="K933" s="141"/>
    </row>
    <row r="935" spans="1:11" ht="70" x14ac:dyDescent="0.25">
      <c r="A935" s="10">
        <v>76</v>
      </c>
      <c r="B935" s="10" t="s">
        <v>1443</v>
      </c>
      <c r="C935" s="10" t="s">
        <v>1184</v>
      </c>
      <c r="D935" s="12" t="s">
        <v>838</v>
      </c>
      <c r="E935" s="11">
        <v>0.312</v>
      </c>
      <c r="F935" s="14"/>
      <c r="G935" s="13"/>
      <c r="H935" s="11"/>
      <c r="I935" s="14"/>
      <c r="J935" s="11"/>
      <c r="K935" s="14"/>
    </row>
    <row r="936" spans="1:11" x14ac:dyDescent="0.25">
      <c r="C936" s="23" t="s">
        <v>1473</v>
      </c>
    </row>
    <row r="937" spans="1:11" ht="14.5" x14ac:dyDescent="0.25">
      <c r="A937" s="10"/>
      <c r="B937" s="10"/>
      <c r="C937" s="10" t="s">
        <v>256</v>
      </c>
      <c r="D937" s="12"/>
      <c r="E937" s="11"/>
      <c r="F937" s="14">
        <v>1290.3800000000001</v>
      </c>
      <c r="G937" s="13" t="s">
        <v>460</v>
      </c>
      <c r="H937" s="11">
        <v>1</v>
      </c>
      <c r="I937" s="14">
        <v>555.59</v>
      </c>
      <c r="J937" s="11">
        <v>57.05</v>
      </c>
      <c r="K937" s="14">
        <v>31696.41</v>
      </c>
    </row>
    <row r="938" spans="1:11" ht="14.5" x14ac:dyDescent="0.25">
      <c r="A938" s="10"/>
      <c r="B938" s="10"/>
      <c r="C938" s="10" t="s">
        <v>257</v>
      </c>
      <c r="D938" s="12"/>
      <c r="E938" s="11"/>
      <c r="F938" s="14">
        <v>81.06</v>
      </c>
      <c r="G938" s="13" t="s">
        <v>461</v>
      </c>
      <c r="H938" s="11">
        <v>1</v>
      </c>
      <c r="I938" s="14">
        <v>37.94</v>
      </c>
      <c r="J938" s="11">
        <v>19.3</v>
      </c>
      <c r="K938" s="14">
        <v>732.24</v>
      </c>
    </row>
    <row r="939" spans="1:11" ht="14.5" x14ac:dyDescent="0.25">
      <c r="A939" s="10"/>
      <c r="B939" s="10"/>
      <c r="C939" s="10" t="s">
        <v>258</v>
      </c>
      <c r="D939" s="12"/>
      <c r="E939" s="11"/>
      <c r="F939" s="14">
        <v>14.26</v>
      </c>
      <c r="G939" s="13" t="s">
        <v>461</v>
      </c>
      <c r="H939" s="11">
        <v>1</v>
      </c>
      <c r="I939" s="16">
        <v>6.67</v>
      </c>
      <c r="J939" s="11">
        <v>57.05</v>
      </c>
      <c r="K939" s="16">
        <v>380.52</v>
      </c>
    </row>
    <row r="940" spans="1:11" ht="14.5" x14ac:dyDescent="0.25">
      <c r="A940" s="10"/>
      <c r="B940" s="10"/>
      <c r="C940" s="10" t="s">
        <v>259</v>
      </c>
      <c r="D940" s="12"/>
      <c r="E940" s="11"/>
      <c r="F940" s="14">
        <v>9.2200000000000006</v>
      </c>
      <c r="G940" s="13"/>
      <c r="H940" s="11">
        <v>1</v>
      </c>
      <c r="I940" s="14">
        <v>2.88</v>
      </c>
      <c r="J940" s="11">
        <v>3.9</v>
      </c>
      <c r="K940" s="14">
        <v>11.23</v>
      </c>
    </row>
    <row r="941" spans="1:11" ht="28" x14ac:dyDescent="0.25">
      <c r="A941" s="10" t="s">
        <v>126</v>
      </c>
      <c r="B941" s="10" t="s">
        <v>1397</v>
      </c>
      <c r="C941" s="10" t="s">
        <v>1145</v>
      </c>
      <c r="D941" s="12" t="s">
        <v>34</v>
      </c>
      <c r="E941" s="11">
        <v>2.1372</v>
      </c>
      <c r="F941" s="14">
        <v>7.17</v>
      </c>
      <c r="G941" s="15" t="s">
        <v>1</v>
      </c>
      <c r="H941" s="11">
        <v>1</v>
      </c>
      <c r="I941" s="14">
        <v>15.32</v>
      </c>
      <c r="J941" s="11">
        <v>9.98</v>
      </c>
      <c r="K941" s="14">
        <v>152.88999999999999</v>
      </c>
    </row>
    <row r="942" spans="1:11" ht="70" x14ac:dyDescent="0.25">
      <c r="A942" s="10" t="s">
        <v>129</v>
      </c>
      <c r="B942" s="10" t="s">
        <v>1382</v>
      </c>
      <c r="C942" s="10" t="s">
        <v>1130</v>
      </c>
      <c r="D942" s="12" t="s">
        <v>9</v>
      </c>
      <c r="E942" s="11">
        <v>4.3680000000000003</v>
      </c>
      <c r="F942" s="14">
        <v>17.649999999999999</v>
      </c>
      <c r="G942" s="15" t="s">
        <v>1</v>
      </c>
      <c r="H942" s="11">
        <v>1</v>
      </c>
      <c r="I942" s="14">
        <v>77.099999999999994</v>
      </c>
      <c r="J942" s="11">
        <v>5.44</v>
      </c>
      <c r="K942" s="14">
        <v>419.42</v>
      </c>
    </row>
    <row r="943" spans="1:11" ht="98" x14ac:dyDescent="0.25">
      <c r="A943" s="10" t="s">
        <v>1242</v>
      </c>
      <c r="B943" s="10" t="s">
        <v>1398</v>
      </c>
      <c r="C943" s="10" t="s">
        <v>1146</v>
      </c>
      <c r="D943" s="12" t="s">
        <v>28</v>
      </c>
      <c r="E943" s="11">
        <v>1.8720000000000001E-2</v>
      </c>
      <c r="F943" s="14">
        <v>5978.05</v>
      </c>
      <c r="G943" s="15" t="s">
        <v>1</v>
      </c>
      <c r="H943" s="11">
        <v>1</v>
      </c>
      <c r="I943" s="14">
        <v>111.91</v>
      </c>
      <c r="J943" s="11">
        <v>16.07</v>
      </c>
      <c r="K943" s="14">
        <v>1798.39</v>
      </c>
    </row>
    <row r="944" spans="1:11" ht="56" x14ac:dyDescent="0.25">
      <c r="A944" s="10" t="s">
        <v>1243</v>
      </c>
      <c r="B944" s="10" t="s">
        <v>1403</v>
      </c>
      <c r="C944" s="10" t="s">
        <v>1156</v>
      </c>
      <c r="D944" s="12" t="s">
        <v>28</v>
      </c>
      <c r="E944" s="11">
        <v>0.22487099999999999</v>
      </c>
      <c r="F944" s="14">
        <v>1416.73</v>
      </c>
      <c r="G944" s="15" t="s">
        <v>1</v>
      </c>
      <c r="H944" s="11">
        <v>1</v>
      </c>
      <c r="I944" s="14">
        <v>318.58</v>
      </c>
      <c r="J944" s="11">
        <v>22.03</v>
      </c>
      <c r="K944" s="14">
        <v>7018.32</v>
      </c>
    </row>
    <row r="945" spans="1:11" ht="28" x14ac:dyDescent="0.25">
      <c r="A945" s="10" t="s">
        <v>1244</v>
      </c>
      <c r="B945" s="10" t="s">
        <v>1444</v>
      </c>
      <c r="C945" s="10" t="s">
        <v>1190</v>
      </c>
      <c r="D945" s="12" t="s">
        <v>227</v>
      </c>
      <c r="E945" s="11">
        <v>34.631999999999998</v>
      </c>
      <c r="F945" s="14">
        <v>206.17</v>
      </c>
      <c r="G945" s="15" t="s">
        <v>1</v>
      </c>
      <c r="H945" s="11">
        <v>1</v>
      </c>
      <c r="I945" s="14">
        <v>7140.08</v>
      </c>
      <c r="J945" s="11">
        <v>8.73</v>
      </c>
      <c r="K945" s="14">
        <v>62332.9</v>
      </c>
    </row>
    <row r="946" spans="1:11" ht="14.5" x14ac:dyDescent="0.25">
      <c r="A946" s="10"/>
      <c r="B946" s="10"/>
      <c r="C946" s="10" t="s">
        <v>260</v>
      </c>
      <c r="D946" s="12" t="s">
        <v>261</v>
      </c>
      <c r="E946" s="11">
        <v>101</v>
      </c>
      <c r="F946" s="14"/>
      <c r="G946" s="13"/>
      <c r="H946" s="11"/>
      <c r="I946" s="14">
        <v>567.88</v>
      </c>
      <c r="J946" s="11">
        <v>101</v>
      </c>
      <c r="K946" s="14">
        <v>32397.7</v>
      </c>
    </row>
    <row r="947" spans="1:11" ht="14.5" x14ac:dyDescent="0.25">
      <c r="A947" s="10"/>
      <c r="B947" s="10"/>
      <c r="C947" s="10" t="s">
        <v>262</v>
      </c>
      <c r="D947" s="12" t="s">
        <v>261</v>
      </c>
      <c r="E947" s="11">
        <v>55</v>
      </c>
      <c r="F947" s="14"/>
      <c r="G947" s="13"/>
      <c r="H947" s="11"/>
      <c r="I947" s="14">
        <v>309.24</v>
      </c>
      <c r="J947" s="11">
        <v>55</v>
      </c>
      <c r="K947" s="14">
        <v>17642.310000000001</v>
      </c>
    </row>
    <row r="948" spans="1:11" ht="14.5" x14ac:dyDescent="0.25">
      <c r="A948" s="17"/>
      <c r="B948" s="17"/>
      <c r="C948" s="17" t="s">
        <v>263</v>
      </c>
      <c r="D948" s="18" t="s">
        <v>264</v>
      </c>
      <c r="E948" s="19">
        <v>78.099999999999994</v>
      </c>
      <c r="F948" s="20"/>
      <c r="G948" s="37" t="s">
        <v>460</v>
      </c>
      <c r="H948" s="19">
        <v>1</v>
      </c>
      <c r="I948" s="20">
        <v>33.630000000000003</v>
      </c>
      <c r="J948" s="19"/>
      <c r="K948" s="20"/>
    </row>
    <row r="949" spans="1:11" ht="14" x14ac:dyDescent="0.25">
      <c r="C949" s="22" t="s">
        <v>265</v>
      </c>
      <c r="H949" s="143">
        <v>9136.52</v>
      </c>
      <c r="I949" s="143"/>
      <c r="J949" s="143">
        <v>154201.81</v>
      </c>
      <c r="K949" s="143"/>
    </row>
    <row r="950" spans="1:11" ht="14" x14ac:dyDescent="0.25">
      <c r="C950" s="22" t="s">
        <v>267</v>
      </c>
      <c r="H950" s="141">
        <v>9136.52</v>
      </c>
      <c r="I950" s="141"/>
      <c r="J950" s="141">
        <v>154201.81</v>
      </c>
      <c r="K950" s="141"/>
    </row>
    <row r="952" spans="1:11" ht="56" x14ac:dyDescent="0.25">
      <c r="A952" s="10">
        <v>77</v>
      </c>
      <c r="B952" s="10" t="s">
        <v>1445</v>
      </c>
      <c r="C952" s="10" t="s">
        <v>1191</v>
      </c>
      <c r="D952" s="12" t="s">
        <v>838</v>
      </c>
      <c r="E952" s="11">
        <v>0.312</v>
      </c>
      <c r="F952" s="14"/>
      <c r="G952" s="13"/>
      <c r="H952" s="11"/>
      <c r="I952" s="14"/>
      <c r="J952" s="11"/>
      <c r="K952" s="14"/>
    </row>
    <row r="953" spans="1:11" x14ac:dyDescent="0.25">
      <c r="C953" s="23" t="s">
        <v>1473</v>
      </c>
    </row>
    <row r="954" spans="1:11" ht="28" x14ac:dyDescent="0.25">
      <c r="A954" s="10"/>
      <c r="B954" s="10"/>
      <c r="C954" s="10" t="s">
        <v>256</v>
      </c>
      <c r="D954" s="12"/>
      <c r="E954" s="11"/>
      <c r="F954" s="14">
        <v>13.94</v>
      </c>
      <c r="G954" s="13" t="s">
        <v>1192</v>
      </c>
      <c r="H954" s="11">
        <v>1</v>
      </c>
      <c r="I954" s="14">
        <v>30.01</v>
      </c>
      <c r="J954" s="11">
        <v>57.05</v>
      </c>
      <c r="K954" s="14">
        <v>1712.07</v>
      </c>
    </row>
    <row r="955" spans="1:11" ht="28" x14ac:dyDescent="0.25">
      <c r="A955" s="10"/>
      <c r="B955" s="10"/>
      <c r="C955" s="10" t="s">
        <v>257</v>
      </c>
      <c r="D955" s="12"/>
      <c r="E955" s="11"/>
      <c r="F955" s="14">
        <v>3.59</v>
      </c>
      <c r="G955" s="13" t="s">
        <v>1193</v>
      </c>
      <c r="H955" s="11">
        <v>1</v>
      </c>
      <c r="I955" s="14">
        <v>8.4</v>
      </c>
      <c r="J955" s="11">
        <v>19.37</v>
      </c>
      <c r="K955" s="14">
        <v>162.71</v>
      </c>
    </row>
    <row r="956" spans="1:11" ht="28" x14ac:dyDescent="0.25">
      <c r="A956" s="10"/>
      <c r="B956" s="10"/>
      <c r="C956" s="10" t="s">
        <v>258</v>
      </c>
      <c r="D956" s="12"/>
      <c r="E956" s="11"/>
      <c r="F956" s="14">
        <v>0.63</v>
      </c>
      <c r="G956" s="13" t="s">
        <v>1193</v>
      </c>
      <c r="H956" s="11">
        <v>1</v>
      </c>
      <c r="I956" s="16">
        <v>1.47</v>
      </c>
      <c r="J956" s="11">
        <v>57.05</v>
      </c>
      <c r="K956" s="16">
        <v>83.86</v>
      </c>
    </row>
    <row r="957" spans="1:11" ht="14.5" x14ac:dyDescent="0.25">
      <c r="A957" s="10"/>
      <c r="B957" s="10"/>
      <c r="C957" s="10" t="s">
        <v>259</v>
      </c>
      <c r="D957" s="12"/>
      <c r="E957" s="11"/>
      <c r="F957" s="14">
        <v>0.21</v>
      </c>
      <c r="G957" s="13">
        <v>5</v>
      </c>
      <c r="H957" s="11">
        <v>1</v>
      </c>
      <c r="I957" s="14">
        <v>0.33</v>
      </c>
      <c r="J957" s="11">
        <v>7.81</v>
      </c>
      <c r="K957" s="14">
        <v>2.58</v>
      </c>
    </row>
    <row r="958" spans="1:11" ht="56" x14ac:dyDescent="0.25">
      <c r="A958" s="10" t="s">
        <v>133</v>
      </c>
      <c r="B958" s="10" t="s">
        <v>1403</v>
      </c>
      <c r="C958" s="10" t="s">
        <v>1156</v>
      </c>
      <c r="D958" s="12" t="s">
        <v>28</v>
      </c>
      <c r="E958" s="11">
        <v>0.22487399999999999</v>
      </c>
      <c r="F958" s="14">
        <v>1416.73</v>
      </c>
      <c r="G958" s="15" t="s">
        <v>1195</v>
      </c>
      <c r="H958" s="11">
        <v>1</v>
      </c>
      <c r="I958" s="14">
        <v>318.58999999999997</v>
      </c>
      <c r="J958" s="11">
        <v>22.03</v>
      </c>
      <c r="K958" s="14">
        <v>7018.54</v>
      </c>
    </row>
    <row r="959" spans="1:11" ht="14.5" x14ac:dyDescent="0.25">
      <c r="A959" s="10"/>
      <c r="B959" s="10"/>
      <c r="C959" s="10" t="s">
        <v>260</v>
      </c>
      <c r="D959" s="12" t="s">
        <v>261</v>
      </c>
      <c r="E959" s="11">
        <v>101</v>
      </c>
      <c r="F959" s="14"/>
      <c r="G959" s="13"/>
      <c r="H959" s="11"/>
      <c r="I959" s="14">
        <v>31.79</v>
      </c>
      <c r="J959" s="11">
        <v>101</v>
      </c>
      <c r="K959" s="14">
        <v>1813.89</v>
      </c>
    </row>
    <row r="960" spans="1:11" ht="14.5" x14ac:dyDescent="0.25">
      <c r="A960" s="10"/>
      <c r="B960" s="10"/>
      <c r="C960" s="10" t="s">
        <v>262</v>
      </c>
      <c r="D960" s="12" t="s">
        <v>261</v>
      </c>
      <c r="E960" s="11">
        <v>55</v>
      </c>
      <c r="F960" s="14"/>
      <c r="G960" s="13"/>
      <c r="H960" s="11"/>
      <c r="I960" s="14">
        <v>17.309999999999999</v>
      </c>
      <c r="J960" s="11">
        <v>55</v>
      </c>
      <c r="K960" s="14">
        <v>987.76</v>
      </c>
    </row>
    <row r="961" spans="1:11" ht="28" x14ac:dyDescent="0.25">
      <c r="A961" s="17"/>
      <c r="B961" s="17"/>
      <c r="C961" s="17" t="s">
        <v>263</v>
      </c>
      <c r="D961" s="18" t="s">
        <v>264</v>
      </c>
      <c r="E961" s="19">
        <v>0.91</v>
      </c>
      <c r="F961" s="20"/>
      <c r="G961" s="37" t="s">
        <v>1192</v>
      </c>
      <c r="H961" s="19">
        <v>1</v>
      </c>
      <c r="I961" s="20">
        <v>1.96</v>
      </c>
      <c r="J961" s="19"/>
      <c r="K961" s="20"/>
    </row>
    <row r="962" spans="1:11" ht="14" x14ac:dyDescent="0.25">
      <c r="C962" s="22" t="s">
        <v>265</v>
      </c>
      <c r="H962" s="143">
        <v>406.43</v>
      </c>
      <c r="I962" s="143"/>
      <c r="J962" s="143">
        <v>11697.55</v>
      </c>
      <c r="K962" s="143"/>
    </row>
    <row r="963" spans="1:11" ht="14" x14ac:dyDescent="0.25">
      <c r="C963" s="22" t="s">
        <v>267</v>
      </c>
      <c r="H963" s="141">
        <v>406.43</v>
      </c>
      <c r="I963" s="141"/>
      <c r="J963" s="141">
        <v>11697.55</v>
      </c>
      <c r="K963" s="141"/>
    </row>
    <row r="966" spans="1:11" ht="14" x14ac:dyDescent="0.3">
      <c r="A966" s="140" t="s">
        <v>1446</v>
      </c>
      <c r="B966" s="140"/>
      <c r="C966" s="140"/>
      <c r="D966" s="140"/>
      <c r="E966" s="140"/>
      <c r="F966" s="140"/>
      <c r="G966" s="140"/>
      <c r="H966" s="141">
        <v>45057.32</v>
      </c>
      <c r="I966" s="142"/>
      <c r="J966" s="141">
        <v>760816.37</v>
      </c>
      <c r="K966" s="142"/>
    </row>
    <row r="968" spans="1:11" ht="16.5" x14ac:dyDescent="0.25">
      <c r="A968" s="144" t="s">
        <v>1447</v>
      </c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</row>
    <row r="969" spans="1:11" ht="29" x14ac:dyDescent="0.25">
      <c r="A969" s="10">
        <v>78</v>
      </c>
      <c r="B969" s="10" t="s">
        <v>1448</v>
      </c>
      <c r="C969" s="10" t="s">
        <v>1196</v>
      </c>
      <c r="D969" s="12" t="s">
        <v>1449</v>
      </c>
      <c r="E969" s="11">
        <v>0.58699999999999997</v>
      </c>
      <c r="F969" s="14"/>
      <c r="G969" s="13"/>
      <c r="H969" s="11"/>
      <c r="I969" s="14"/>
      <c r="J969" s="11"/>
      <c r="K969" s="14"/>
    </row>
    <row r="970" spans="1:11" x14ac:dyDescent="0.25">
      <c r="C970" s="23" t="s">
        <v>1474</v>
      </c>
    </row>
    <row r="971" spans="1:11" ht="14.5" x14ac:dyDescent="0.25">
      <c r="A971" s="10"/>
      <c r="B971" s="10"/>
      <c r="C971" s="10" t="s">
        <v>256</v>
      </c>
      <c r="D971" s="12"/>
      <c r="E971" s="11"/>
      <c r="F971" s="14">
        <v>325.45</v>
      </c>
      <c r="G971" s="13" t="s">
        <v>460</v>
      </c>
      <c r="H971" s="11">
        <v>1</v>
      </c>
      <c r="I971" s="14">
        <v>263.63</v>
      </c>
      <c r="J971" s="11">
        <v>57.05</v>
      </c>
      <c r="K971" s="14">
        <v>15040.09</v>
      </c>
    </row>
    <row r="972" spans="1:11" ht="14.5" x14ac:dyDescent="0.25">
      <c r="A972" s="10"/>
      <c r="B972" s="10"/>
      <c r="C972" s="10" t="s">
        <v>257</v>
      </c>
      <c r="D972" s="12"/>
      <c r="E972" s="11"/>
      <c r="F972" s="14">
        <v>1.8</v>
      </c>
      <c r="G972" s="13" t="s">
        <v>461</v>
      </c>
      <c r="H972" s="11">
        <v>1</v>
      </c>
      <c r="I972" s="14">
        <v>1.58</v>
      </c>
      <c r="J972" s="11">
        <v>13.82</v>
      </c>
      <c r="K972" s="14">
        <v>21.84</v>
      </c>
    </row>
    <row r="973" spans="1:11" ht="14.5" x14ac:dyDescent="0.25">
      <c r="A973" s="10"/>
      <c r="B973" s="10"/>
      <c r="C973" s="10" t="s">
        <v>259</v>
      </c>
      <c r="D973" s="12"/>
      <c r="E973" s="11"/>
      <c r="F973" s="14">
        <v>24.75</v>
      </c>
      <c r="G973" s="13"/>
      <c r="H973" s="11">
        <v>1</v>
      </c>
      <c r="I973" s="14">
        <v>14.53</v>
      </c>
      <c r="J973" s="11">
        <v>7.75</v>
      </c>
      <c r="K973" s="14">
        <v>112.61</v>
      </c>
    </row>
    <row r="974" spans="1:11" ht="14.5" x14ac:dyDescent="0.25">
      <c r="A974" s="10" t="s">
        <v>142</v>
      </c>
      <c r="B974" s="10" t="s">
        <v>1451</v>
      </c>
      <c r="C974" s="10" t="s">
        <v>1198</v>
      </c>
      <c r="D974" s="12" t="s">
        <v>1391</v>
      </c>
      <c r="E974" s="11">
        <v>1.1974800000000001</v>
      </c>
      <c r="F974" s="14">
        <v>467.32</v>
      </c>
      <c r="G974" s="15" t="s">
        <v>1</v>
      </c>
      <c r="H974" s="11">
        <v>1</v>
      </c>
      <c r="I974" s="14">
        <v>559.61</v>
      </c>
      <c r="J974" s="11">
        <v>10.96</v>
      </c>
      <c r="K974" s="14">
        <v>6133.33</v>
      </c>
    </row>
    <row r="975" spans="1:11" ht="14.5" x14ac:dyDescent="0.25">
      <c r="A975" s="10"/>
      <c r="B975" s="10"/>
      <c r="C975" s="10" t="s">
        <v>260</v>
      </c>
      <c r="D975" s="12" t="s">
        <v>261</v>
      </c>
      <c r="E975" s="11">
        <v>101</v>
      </c>
      <c r="F975" s="14"/>
      <c r="G975" s="13"/>
      <c r="H975" s="11"/>
      <c r="I975" s="14">
        <v>266.27</v>
      </c>
      <c r="J975" s="11">
        <v>101</v>
      </c>
      <c r="K975" s="14">
        <v>15190.49</v>
      </c>
    </row>
    <row r="976" spans="1:11" ht="14.5" x14ac:dyDescent="0.25">
      <c r="A976" s="10"/>
      <c r="B976" s="10"/>
      <c r="C976" s="10" t="s">
        <v>262</v>
      </c>
      <c r="D976" s="12" t="s">
        <v>261</v>
      </c>
      <c r="E976" s="11">
        <v>55</v>
      </c>
      <c r="F976" s="14"/>
      <c r="G976" s="13"/>
      <c r="H976" s="11"/>
      <c r="I976" s="14">
        <v>145</v>
      </c>
      <c r="J976" s="11">
        <v>55</v>
      </c>
      <c r="K976" s="14">
        <v>8272.0499999999993</v>
      </c>
    </row>
    <row r="977" spans="1:11" ht="14.5" x14ac:dyDescent="0.25">
      <c r="A977" s="17"/>
      <c r="B977" s="17"/>
      <c r="C977" s="17" t="s">
        <v>263</v>
      </c>
      <c r="D977" s="18" t="s">
        <v>264</v>
      </c>
      <c r="E977" s="19">
        <v>23.33</v>
      </c>
      <c r="F977" s="20"/>
      <c r="G977" s="37" t="s">
        <v>460</v>
      </c>
      <c r="H977" s="19">
        <v>1</v>
      </c>
      <c r="I977" s="20">
        <v>18.899999999999999</v>
      </c>
      <c r="J977" s="19"/>
      <c r="K977" s="20"/>
    </row>
    <row r="978" spans="1:11" ht="14" x14ac:dyDescent="0.25">
      <c r="C978" s="22" t="s">
        <v>265</v>
      </c>
      <c r="H978" s="143">
        <v>1250.6199999999999</v>
      </c>
      <c r="I978" s="143"/>
      <c r="J978" s="143">
        <v>44770.41</v>
      </c>
      <c r="K978" s="143"/>
    </row>
    <row r="979" spans="1:11" ht="14" x14ac:dyDescent="0.25">
      <c r="C979" s="22" t="s">
        <v>267</v>
      </c>
      <c r="H979" s="141">
        <v>1250.6199999999999</v>
      </c>
      <c r="I979" s="141"/>
      <c r="J979" s="141">
        <v>44770.41</v>
      </c>
      <c r="K979" s="141"/>
    </row>
    <row r="981" spans="1:11" ht="42" x14ac:dyDescent="0.25">
      <c r="A981" s="10">
        <v>79</v>
      </c>
      <c r="B981" s="10" t="s">
        <v>1452</v>
      </c>
      <c r="C981" s="10" t="s">
        <v>1199</v>
      </c>
      <c r="D981" s="12" t="s">
        <v>1449</v>
      </c>
      <c r="E981" s="11">
        <v>0.58699999999999997</v>
      </c>
      <c r="F981" s="14"/>
      <c r="G981" s="13"/>
      <c r="H981" s="11"/>
      <c r="I981" s="14"/>
      <c r="J981" s="11"/>
      <c r="K981" s="14"/>
    </row>
    <row r="982" spans="1:11" x14ac:dyDescent="0.25">
      <c r="C982" s="23" t="s">
        <v>1474</v>
      </c>
    </row>
    <row r="983" spans="1:11" ht="28" x14ac:dyDescent="0.25">
      <c r="A983" s="10"/>
      <c r="B983" s="10"/>
      <c r="C983" s="10" t="s">
        <v>256</v>
      </c>
      <c r="D983" s="12"/>
      <c r="E983" s="11"/>
      <c r="F983" s="14">
        <v>6.03</v>
      </c>
      <c r="G983" s="13" t="s">
        <v>1200</v>
      </c>
      <c r="H983" s="11">
        <v>1</v>
      </c>
      <c r="I983" s="14">
        <v>29.31</v>
      </c>
      <c r="J983" s="11">
        <v>57.05</v>
      </c>
      <c r="K983" s="14">
        <v>1672.14</v>
      </c>
    </row>
    <row r="984" spans="1:11" ht="28" x14ac:dyDescent="0.25">
      <c r="A984" s="10"/>
      <c r="B984" s="10"/>
      <c r="C984" s="10" t="s">
        <v>257</v>
      </c>
      <c r="D984" s="12"/>
      <c r="E984" s="11"/>
      <c r="F984" s="14">
        <v>0.46</v>
      </c>
      <c r="G984" s="13" t="s">
        <v>1201</v>
      </c>
      <c r="H984" s="11">
        <v>1</v>
      </c>
      <c r="I984" s="14">
        <v>2.4300000000000002</v>
      </c>
      <c r="J984" s="11">
        <v>13.83</v>
      </c>
      <c r="K984" s="14">
        <v>33.61</v>
      </c>
    </row>
    <row r="985" spans="1:11" ht="14.5" x14ac:dyDescent="0.25">
      <c r="A985" s="10" t="s">
        <v>1245</v>
      </c>
      <c r="B985" s="10" t="s">
        <v>1451</v>
      </c>
      <c r="C985" s="10" t="s">
        <v>1198</v>
      </c>
      <c r="D985" s="12" t="s">
        <v>1391</v>
      </c>
      <c r="E985" s="11">
        <v>1.7962199999999999</v>
      </c>
      <c r="F985" s="14">
        <v>467.32</v>
      </c>
      <c r="G985" s="15" t="s">
        <v>1203</v>
      </c>
      <c r="H985" s="11">
        <v>1</v>
      </c>
      <c r="I985" s="14">
        <v>839.41</v>
      </c>
      <c r="J985" s="11">
        <v>10.96</v>
      </c>
      <c r="K985" s="14">
        <v>9199.93</v>
      </c>
    </row>
    <row r="986" spans="1:11" ht="14.5" x14ac:dyDescent="0.25">
      <c r="A986" s="10"/>
      <c r="B986" s="10"/>
      <c r="C986" s="10" t="s">
        <v>260</v>
      </c>
      <c r="D986" s="12" t="s">
        <v>261</v>
      </c>
      <c r="E986" s="11">
        <v>101</v>
      </c>
      <c r="F986" s="14"/>
      <c r="G986" s="13"/>
      <c r="H986" s="11"/>
      <c r="I986" s="14">
        <v>29.6</v>
      </c>
      <c r="J986" s="11">
        <v>101</v>
      </c>
      <c r="K986" s="14">
        <v>1688.86</v>
      </c>
    </row>
    <row r="987" spans="1:11" ht="14.5" x14ac:dyDescent="0.25">
      <c r="A987" s="10"/>
      <c r="B987" s="10"/>
      <c r="C987" s="10" t="s">
        <v>262</v>
      </c>
      <c r="D987" s="12" t="s">
        <v>261</v>
      </c>
      <c r="E987" s="11">
        <v>55</v>
      </c>
      <c r="F987" s="14"/>
      <c r="G987" s="13"/>
      <c r="H987" s="11"/>
      <c r="I987" s="14">
        <v>16.12</v>
      </c>
      <c r="J987" s="11">
        <v>55</v>
      </c>
      <c r="K987" s="14">
        <v>919.68</v>
      </c>
    </row>
    <row r="988" spans="1:11" ht="28" x14ac:dyDescent="0.25">
      <c r="A988" s="17"/>
      <c r="B988" s="17"/>
      <c r="C988" s="17" t="s">
        <v>263</v>
      </c>
      <c r="D988" s="18" t="s">
        <v>264</v>
      </c>
      <c r="E988" s="19">
        <v>0.44</v>
      </c>
      <c r="F988" s="20"/>
      <c r="G988" s="37" t="s">
        <v>1200</v>
      </c>
      <c r="H988" s="19">
        <v>1</v>
      </c>
      <c r="I988" s="20">
        <v>2.14</v>
      </c>
      <c r="J988" s="19"/>
      <c r="K988" s="20"/>
    </row>
    <row r="989" spans="1:11" ht="14" x14ac:dyDescent="0.25">
      <c r="C989" s="22" t="s">
        <v>265</v>
      </c>
      <c r="H989" s="143">
        <v>916.87</v>
      </c>
      <c r="I989" s="143"/>
      <c r="J989" s="143">
        <v>13514.22</v>
      </c>
      <c r="K989" s="143"/>
    </row>
    <row r="990" spans="1:11" ht="14" x14ac:dyDescent="0.25">
      <c r="C990" s="22" t="s">
        <v>267</v>
      </c>
      <c r="H990" s="141">
        <v>916.87</v>
      </c>
      <c r="I990" s="141"/>
      <c r="J990" s="141">
        <v>13514.22</v>
      </c>
      <c r="K990" s="141"/>
    </row>
    <row r="992" spans="1:11" ht="70" x14ac:dyDescent="0.25">
      <c r="A992" s="10">
        <v>80</v>
      </c>
      <c r="B992" s="10" t="s">
        <v>1443</v>
      </c>
      <c r="C992" s="10" t="s">
        <v>1184</v>
      </c>
      <c r="D992" s="12" t="s">
        <v>838</v>
      </c>
      <c r="E992" s="11">
        <v>0.58699999999999997</v>
      </c>
      <c r="F992" s="14"/>
      <c r="G992" s="13"/>
      <c r="H992" s="11"/>
      <c r="I992" s="14"/>
      <c r="J992" s="11"/>
      <c r="K992" s="14"/>
    </row>
    <row r="993" spans="1:11" x14ac:dyDescent="0.25">
      <c r="C993" s="23" t="s">
        <v>1474</v>
      </c>
    </row>
    <row r="994" spans="1:11" ht="14.5" x14ac:dyDescent="0.25">
      <c r="A994" s="10"/>
      <c r="B994" s="10"/>
      <c r="C994" s="10" t="s">
        <v>256</v>
      </c>
      <c r="D994" s="12"/>
      <c r="E994" s="11"/>
      <c r="F994" s="14">
        <v>1290.3800000000001</v>
      </c>
      <c r="G994" s="13" t="s">
        <v>460</v>
      </c>
      <c r="H994" s="11">
        <v>1</v>
      </c>
      <c r="I994" s="14">
        <v>1045.29</v>
      </c>
      <c r="J994" s="11">
        <v>57.05</v>
      </c>
      <c r="K994" s="14">
        <v>59633.79</v>
      </c>
    </row>
    <row r="995" spans="1:11" ht="14.5" x14ac:dyDescent="0.25">
      <c r="A995" s="10"/>
      <c r="B995" s="10"/>
      <c r="C995" s="10" t="s">
        <v>257</v>
      </c>
      <c r="D995" s="12"/>
      <c r="E995" s="11"/>
      <c r="F995" s="14">
        <v>81.06</v>
      </c>
      <c r="G995" s="13" t="s">
        <v>461</v>
      </c>
      <c r="H995" s="11">
        <v>1</v>
      </c>
      <c r="I995" s="14">
        <v>71.37</v>
      </c>
      <c r="J995" s="11">
        <v>19.3</v>
      </c>
      <c r="K995" s="14">
        <v>1377.44</v>
      </c>
    </row>
    <row r="996" spans="1:11" ht="14.5" x14ac:dyDescent="0.25">
      <c r="A996" s="10"/>
      <c r="B996" s="10"/>
      <c r="C996" s="10" t="s">
        <v>258</v>
      </c>
      <c r="D996" s="12"/>
      <c r="E996" s="11"/>
      <c r="F996" s="14">
        <v>14.26</v>
      </c>
      <c r="G996" s="13" t="s">
        <v>461</v>
      </c>
      <c r="H996" s="11">
        <v>1</v>
      </c>
      <c r="I996" s="16">
        <v>12.56</v>
      </c>
      <c r="J996" s="11">
        <v>57.05</v>
      </c>
      <c r="K996" s="16">
        <v>716.55</v>
      </c>
    </row>
    <row r="997" spans="1:11" ht="14.5" x14ac:dyDescent="0.25">
      <c r="A997" s="10"/>
      <c r="B997" s="10"/>
      <c r="C997" s="10" t="s">
        <v>259</v>
      </c>
      <c r="D997" s="12"/>
      <c r="E997" s="11"/>
      <c r="F997" s="14">
        <v>9.2200000000000006</v>
      </c>
      <c r="G997" s="13"/>
      <c r="H997" s="11">
        <v>1</v>
      </c>
      <c r="I997" s="14">
        <v>5.41</v>
      </c>
      <c r="J997" s="11">
        <v>3.9</v>
      </c>
      <c r="K997" s="14">
        <v>21.1</v>
      </c>
    </row>
    <row r="998" spans="1:11" ht="28" x14ac:dyDescent="0.25">
      <c r="A998" s="10" t="s">
        <v>1246</v>
      </c>
      <c r="B998" s="10" t="s">
        <v>1397</v>
      </c>
      <c r="C998" s="10" t="s">
        <v>1145</v>
      </c>
      <c r="D998" s="12" t="s">
        <v>34</v>
      </c>
      <c r="E998" s="11">
        <v>4.02095</v>
      </c>
      <c r="F998" s="14">
        <v>7.17</v>
      </c>
      <c r="G998" s="15" t="s">
        <v>1</v>
      </c>
      <c r="H998" s="11">
        <v>1</v>
      </c>
      <c r="I998" s="14">
        <v>28.83</v>
      </c>
      <c r="J998" s="11">
        <v>9.98</v>
      </c>
      <c r="K998" s="14">
        <v>287.72000000000003</v>
      </c>
    </row>
    <row r="999" spans="1:11" ht="70" x14ac:dyDescent="0.25">
      <c r="A999" s="10" t="s">
        <v>1247</v>
      </c>
      <c r="B999" s="10" t="s">
        <v>1382</v>
      </c>
      <c r="C999" s="10" t="s">
        <v>1130</v>
      </c>
      <c r="D999" s="12" t="s">
        <v>9</v>
      </c>
      <c r="E999" s="11">
        <v>8.218</v>
      </c>
      <c r="F999" s="14">
        <v>17.649999999999999</v>
      </c>
      <c r="G999" s="15" t="s">
        <v>1</v>
      </c>
      <c r="H999" s="11">
        <v>1</v>
      </c>
      <c r="I999" s="14">
        <v>145.05000000000001</v>
      </c>
      <c r="J999" s="11">
        <v>5.44</v>
      </c>
      <c r="K999" s="14">
        <v>789.07</v>
      </c>
    </row>
    <row r="1000" spans="1:11" ht="98" x14ac:dyDescent="0.25">
      <c r="A1000" s="10" t="s">
        <v>1248</v>
      </c>
      <c r="B1000" s="10" t="s">
        <v>1398</v>
      </c>
      <c r="C1000" s="10" t="s">
        <v>1146</v>
      </c>
      <c r="D1000" s="12" t="s">
        <v>28</v>
      </c>
      <c r="E1000" s="11">
        <v>3.5220000000000001E-2</v>
      </c>
      <c r="F1000" s="14">
        <v>5978.05</v>
      </c>
      <c r="G1000" s="15" t="s">
        <v>1</v>
      </c>
      <c r="H1000" s="11">
        <v>1</v>
      </c>
      <c r="I1000" s="14">
        <v>210.55</v>
      </c>
      <c r="J1000" s="11">
        <v>16.07</v>
      </c>
      <c r="K1000" s="14">
        <v>3383.54</v>
      </c>
    </row>
    <row r="1001" spans="1:11" ht="56" x14ac:dyDescent="0.25">
      <c r="A1001" s="10" t="s">
        <v>1249</v>
      </c>
      <c r="B1001" s="10" t="s">
        <v>1403</v>
      </c>
      <c r="C1001" s="10" t="s">
        <v>1156</v>
      </c>
      <c r="D1001" s="12" t="s">
        <v>28</v>
      </c>
      <c r="E1001" s="11">
        <v>0.42307400000000001</v>
      </c>
      <c r="F1001" s="14">
        <v>1416.73</v>
      </c>
      <c r="G1001" s="15" t="s">
        <v>1</v>
      </c>
      <c r="H1001" s="11">
        <v>1</v>
      </c>
      <c r="I1001" s="14">
        <v>599.38</v>
      </c>
      <c r="J1001" s="11">
        <v>22.03</v>
      </c>
      <c r="K1001" s="14">
        <v>13204.34</v>
      </c>
    </row>
    <row r="1002" spans="1:11" ht="28" x14ac:dyDescent="0.25">
      <c r="A1002" s="10" t="s">
        <v>1250</v>
      </c>
      <c r="B1002" s="10" t="s">
        <v>1444</v>
      </c>
      <c r="C1002" s="10" t="s">
        <v>1190</v>
      </c>
      <c r="D1002" s="12" t="s">
        <v>227</v>
      </c>
      <c r="E1002" s="11">
        <v>65.156999999999996</v>
      </c>
      <c r="F1002" s="14">
        <v>206.17</v>
      </c>
      <c r="G1002" s="15" t="s">
        <v>1</v>
      </c>
      <c r="H1002" s="11">
        <v>1</v>
      </c>
      <c r="I1002" s="14">
        <v>13433.42</v>
      </c>
      <c r="J1002" s="11">
        <v>8.73</v>
      </c>
      <c r="K1002" s="14">
        <v>117273.76</v>
      </c>
    </row>
    <row r="1003" spans="1:11" ht="14.5" x14ac:dyDescent="0.25">
      <c r="A1003" s="10"/>
      <c r="B1003" s="10"/>
      <c r="C1003" s="10" t="s">
        <v>260</v>
      </c>
      <c r="D1003" s="12" t="s">
        <v>261</v>
      </c>
      <c r="E1003" s="11">
        <v>101</v>
      </c>
      <c r="F1003" s="14"/>
      <c r="G1003" s="13"/>
      <c r="H1003" s="11"/>
      <c r="I1003" s="14">
        <v>1068.43</v>
      </c>
      <c r="J1003" s="11">
        <v>101</v>
      </c>
      <c r="K1003" s="14">
        <v>60953.84</v>
      </c>
    </row>
    <row r="1004" spans="1:11" ht="14.5" x14ac:dyDescent="0.25">
      <c r="A1004" s="10"/>
      <c r="B1004" s="10"/>
      <c r="C1004" s="10" t="s">
        <v>262</v>
      </c>
      <c r="D1004" s="12" t="s">
        <v>261</v>
      </c>
      <c r="E1004" s="11">
        <v>55</v>
      </c>
      <c r="F1004" s="14"/>
      <c r="G1004" s="13"/>
      <c r="H1004" s="11"/>
      <c r="I1004" s="14">
        <v>581.82000000000005</v>
      </c>
      <c r="J1004" s="11">
        <v>55</v>
      </c>
      <c r="K1004" s="14">
        <v>33192.69</v>
      </c>
    </row>
    <row r="1005" spans="1:11" ht="14.5" x14ac:dyDescent="0.25">
      <c r="A1005" s="17"/>
      <c r="B1005" s="17"/>
      <c r="C1005" s="17" t="s">
        <v>263</v>
      </c>
      <c r="D1005" s="18" t="s">
        <v>264</v>
      </c>
      <c r="E1005" s="19">
        <v>78.099999999999994</v>
      </c>
      <c r="F1005" s="20"/>
      <c r="G1005" s="37" t="s">
        <v>460</v>
      </c>
      <c r="H1005" s="19">
        <v>1</v>
      </c>
      <c r="I1005" s="20">
        <v>63.27</v>
      </c>
      <c r="J1005" s="19"/>
      <c r="K1005" s="20"/>
    </row>
    <row r="1006" spans="1:11" ht="14" x14ac:dyDescent="0.25">
      <c r="C1006" s="22" t="s">
        <v>265</v>
      </c>
      <c r="H1006" s="143">
        <v>17189.55</v>
      </c>
      <c r="I1006" s="143"/>
      <c r="J1006" s="143">
        <v>290117.28999999998</v>
      </c>
      <c r="K1006" s="143"/>
    </row>
    <row r="1007" spans="1:11" ht="14" x14ac:dyDescent="0.25">
      <c r="C1007" s="22" t="s">
        <v>267</v>
      </c>
      <c r="H1007" s="141">
        <v>17189.55</v>
      </c>
      <c r="I1007" s="141"/>
      <c r="J1007" s="141">
        <v>290117.28999999998</v>
      </c>
      <c r="K1007" s="141"/>
    </row>
    <row r="1009" spans="1:11" ht="56" x14ac:dyDescent="0.25">
      <c r="A1009" s="10">
        <v>81</v>
      </c>
      <c r="B1009" s="10" t="s">
        <v>1445</v>
      </c>
      <c r="C1009" s="10" t="s">
        <v>1191</v>
      </c>
      <c r="D1009" s="12" t="s">
        <v>838</v>
      </c>
      <c r="E1009" s="11">
        <v>0.58699999999999997</v>
      </c>
      <c r="F1009" s="14"/>
      <c r="G1009" s="13"/>
      <c r="H1009" s="11"/>
      <c r="I1009" s="14"/>
      <c r="J1009" s="11"/>
      <c r="K1009" s="14"/>
    </row>
    <row r="1010" spans="1:11" x14ac:dyDescent="0.25">
      <c r="C1010" s="23" t="s">
        <v>1474</v>
      </c>
    </row>
    <row r="1011" spans="1:11" ht="28" x14ac:dyDescent="0.25">
      <c r="A1011" s="10"/>
      <c r="B1011" s="10"/>
      <c r="C1011" s="10" t="s">
        <v>256</v>
      </c>
      <c r="D1011" s="12"/>
      <c r="E1011" s="11"/>
      <c r="F1011" s="14">
        <v>13.94</v>
      </c>
      <c r="G1011" s="13" t="s">
        <v>1192</v>
      </c>
      <c r="H1011" s="11">
        <v>1</v>
      </c>
      <c r="I1011" s="14">
        <v>56.46</v>
      </c>
      <c r="J1011" s="11">
        <v>57.05</v>
      </c>
      <c r="K1011" s="14">
        <v>3221.04</v>
      </c>
    </row>
    <row r="1012" spans="1:11" ht="28" x14ac:dyDescent="0.25">
      <c r="A1012" s="10"/>
      <c r="B1012" s="10"/>
      <c r="C1012" s="10" t="s">
        <v>257</v>
      </c>
      <c r="D1012" s="12"/>
      <c r="E1012" s="11"/>
      <c r="F1012" s="14">
        <v>3.59</v>
      </c>
      <c r="G1012" s="13" t="s">
        <v>1193</v>
      </c>
      <c r="H1012" s="11">
        <v>1</v>
      </c>
      <c r="I1012" s="14">
        <v>15.8</v>
      </c>
      <c r="J1012" s="11">
        <v>19.37</v>
      </c>
      <c r="K1012" s="14">
        <v>306.05</v>
      </c>
    </row>
    <row r="1013" spans="1:11" ht="28" x14ac:dyDescent="0.25">
      <c r="A1013" s="10"/>
      <c r="B1013" s="10"/>
      <c r="C1013" s="10" t="s">
        <v>258</v>
      </c>
      <c r="D1013" s="12"/>
      <c r="E1013" s="11"/>
      <c r="F1013" s="14">
        <v>0.63</v>
      </c>
      <c r="G1013" s="13" t="s">
        <v>1193</v>
      </c>
      <c r="H1013" s="11">
        <v>1</v>
      </c>
      <c r="I1013" s="16">
        <v>2.77</v>
      </c>
      <c r="J1013" s="11">
        <v>57.05</v>
      </c>
      <c r="K1013" s="16">
        <v>158.03</v>
      </c>
    </row>
    <row r="1014" spans="1:11" ht="14.5" x14ac:dyDescent="0.25">
      <c r="A1014" s="10"/>
      <c r="B1014" s="10"/>
      <c r="C1014" s="10" t="s">
        <v>259</v>
      </c>
      <c r="D1014" s="12"/>
      <c r="E1014" s="11"/>
      <c r="F1014" s="14">
        <v>0.21</v>
      </c>
      <c r="G1014" s="13">
        <v>5</v>
      </c>
      <c r="H1014" s="11">
        <v>1</v>
      </c>
      <c r="I1014" s="14">
        <v>0.62</v>
      </c>
      <c r="J1014" s="11">
        <v>7.81</v>
      </c>
      <c r="K1014" s="14">
        <v>4.84</v>
      </c>
    </row>
    <row r="1015" spans="1:11" ht="56" x14ac:dyDescent="0.25">
      <c r="A1015" s="10" t="s">
        <v>1251</v>
      </c>
      <c r="B1015" s="10" t="s">
        <v>1403</v>
      </c>
      <c r="C1015" s="10" t="s">
        <v>1156</v>
      </c>
      <c r="D1015" s="12" t="s">
        <v>28</v>
      </c>
      <c r="E1015" s="11">
        <v>0.42308000000000001</v>
      </c>
      <c r="F1015" s="14">
        <v>1416.73</v>
      </c>
      <c r="G1015" s="15" t="s">
        <v>1195</v>
      </c>
      <c r="H1015" s="11">
        <v>1</v>
      </c>
      <c r="I1015" s="14">
        <v>599.39</v>
      </c>
      <c r="J1015" s="11">
        <v>22.03</v>
      </c>
      <c r="K1015" s="14">
        <v>13204.56</v>
      </c>
    </row>
    <row r="1016" spans="1:11" ht="14.5" x14ac:dyDescent="0.25">
      <c r="A1016" s="10"/>
      <c r="B1016" s="10"/>
      <c r="C1016" s="10" t="s">
        <v>260</v>
      </c>
      <c r="D1016" s="12" t="s">
        <v>261</v>
      </c>
      <c r="E1016" s="11">
        <v>101</v>
      </c>
      <c r="F1016" s="14"/>
      <c r="G1016" s="13"/>
      <c r="H1016" s="11"/>
      <c r="I1016" s="14">
        <v>59.82</v>
      </c>
      <c r="J1016" s="11">
        <v>101</v>
      </c>
      <c r="K1016" s="14">
        <v>3412.86</v>
      </c>
    </row>
    <row r="1017" spans="1:11" ht="14.5" x14ac:dyDescent="0.25">
      <c r="A1017" s="10"/>
      <c r="B1017" s="10"/>
      <c r="C1017" s="10" t="s">
        <v>262</v>
      </c>
      <c r="D1017" s="12" t="s">
        <v>261</v>
      </c>
      <c r="E1017" s="11">
        <v>55</v>
      </c>
      <c r="F1017" s="14"/>
      <c r="G1017" s="13"/>
      <c r="H1017" s="11"/>
      <c r="I1017" s="14">
        <v>32.58</v>
      </c>
      <c r="J1017" s="11">
        <v>55</v>
      </c>
      <c r="K1017" s="14">
        <v>1858.49</v>
      </c>
    </row>
    <row r="1018" spans="1:11" ht="28" x14ac:dyDescent="0.25">
      <c r="A1018" s="17"/>
      <c r="B1018" s="17"/>
      <c r="C1018" s="17" t="s">
        <v>263</v>
      </c>
      <c r="D1018" s="18" t="s">
        <v>264</v>
      </c>
      <c r="E1018" s="19">
        <v>0.91</v>
      </c>
      <c r="F1018" s="20"/>
      <c r="G1018" s="37" t="s">
        <v>1192</v>
      </c>
      <c r="H1018" s="19">
        <v>1</v>
      </c>
      <c r="I1018" s="20">
        <v>3.69</v>
      </c>
      <c r="J1018" s="19"/>
      <c r="K1018" s="20"/>
    </row>
    <row r="1019" spans="1:11" ht="14" x14ac:dyDescent="0.25">
      <c r="C1019" s="22" t="s">
        <v>265</v>
      </c>
      <c r="H1019" s="143">
        <v>764.67</v>
      </c>
      <c r="I1019" s="143"/>
      <c r="J1019" s="143">
        <v>22007.84</v>
      </c>
      <c r="K1019" s="143"/>
    </row>
    <row r="1020" spans="1:11" ht="14" x14ac:dyDescent="0.25">
      <c r="C1020" s="22" t="s">
        <v>267</v>
      </c>
      <c r="H1020" s="141">
        <v>764.67</v>
      </c>
      <c r="I1020" s="141"/>
      <c r="J1020" s="141">
        <v>22007.84</v>
      </c>
      <c r="K1020" s="141"/>
    </row>
    <row r="1023" spans="1:11" ht="14" x14ac:dyDescent="0.3">
      <c r="A1023" s="140" t="s">
        <v>1453</v>
      </c>
      <c r="B1023" s="140"/>
      <c r="C1023" s="140"/>
      <c r="D1023" s="140"/>
      <c r="E1023" s="140"/>
      <c r="F1023" s="140"/>
      <c r="G1023" s="140"/>
      <c r="H1023" s="141">
        <v>20121.71</v>
      </c>
      <c r="I1023" s="142"/>
      <c r="J1023" s="141">
        <v>370409.76</v>
      </c>
      <c r="K1023" s="142"/>
    </row>
    <row r="1025" spans="1:11" ht="14" x14ac:dyDescent="0.3">
      <c r="A1025" s="140" t="s">
        <v>1475</v>
      </c>
      <c r="B1025" s="140"/>
      <c r="C1025" s="140"/>
      <c r="D1025" s="140"/>
      <c r="E1025" s="140"/>
      <c r="F1025" s="140"/>
      <c r="G1025" s="140"/>
      <c r="H1025" s="141">
        <v>341098.51</v>
      </c>
      <c r="I1025" s="142"/>
      <c r="J1025" s="141">
        <v>5634819.5999999996</v>
      </c>
      <c r="K1025" s="142"/>
    </row>
    <row r="1027" spans="1:11" ht="16.5" x14ac:dyDescent="0.25">
      <c r="A1027" s="144" t="s">
        <v>1476</v>
      </c>
      <c r="B1027" s="144"/>
      <c r="C1027" s="144"/>
      <c r="D1027" s="144"/>
      <c r="E1027" s="144"/>
      <c r="F1027" s="144"/>
      <c r="G1027" s="144"/>
      <c r="H1027" s="144"/>
      <c r="I1027" s="144"/>
      <c r="J1027" s="144"/>
      <c r="K1027" s="144"/>
    </row>
    <row r="1028" spans="1:11" ht="42" x14ac:dyDescent="0.25">
      <c r="A1028" s="10">
        <v>82</v>
      </c>
      <c r="B1028" s="10" t="s">
        <v>1459</v>
      </c>
      <c r="C1028" s="10" t="s">
        <v>1215</v>
      </c>
      <c r="D1028" s="12" t="s">
        <v>838</v>
      </c>
      <c r="E1028" s="11">
        <v>3.2</v>
      </c>
      <c r="F1028" s="14"/>
      <c r="G1028" s="13"/>
      <c r="H1028" s="11"/>
      <c r="I1028" s="14"/>
      <c r="J1028" s="11"/>
      <c r="K1028" s="14"/>
    </row>
    <row r="1029" spans="1:11" x14ac:dyDescent="0.25">
      <c r="C1029" s="23" t="s">
        <v>1477</v>
      </c>
    </row>
    <row r="1030" spans="1:11" ht="14.5" x14ac:dyDescent="0.25">
      <c r="A1030" s="10"/>
      <c r="B1030" s="10"/>
      <c r="C1030" s="10" t="s">
        <v>256</v>
      </c>
      <c r="D1030" s="12"/>
      <c r="E1030" s="11"/>
      <c r="F1030" s="14">
        <v>204.51</v>
      </c>
      <c r="G1030" s="13" t="s">
        <v>460</v>
      </c>
      <c r="H1030" s="11">
        <v>1</v>
      </c>
      <c r="I1030" s="14">
        <v>903.12</v>
      </c>
      <c r="J1030" s="11">
        <v>57.05</v>
      </c>
      <c r="K1030" s="14">
        <v>51523</v>
      </c>
    </row>
    <row r="1031" spans="1:11" ht="14.5" x14ac:dyDescent="0.25">
      <c r="A1031" s="10"/>
      <c r="B1031" s="10"/>
      <c r="C1031" s="10" t="s">
        <v>257</v>
      </c>
      <c r="D1031" s="12"/>
      <c r="E1031" s="11"/>
      <c r="F1031" s="14">
        <v>1.66</v>
      </c>
      <c r="G1031" s="13" t="s">
        <v>461</v>
      </c>
      <c r="H1031" s="11">
        <v>1</v>
      </c>
      <c r="I1031" s="14">
        <v>7.97</v>
      </c>
      <c r="J1031" s="11">
        <v>17.47</v>
      </c>
      <c r="K1031" s="14">
        <v>139.24</v>
      </c>
    </row>
    <row r="1032" spans="1:11" ht="14.5" x14ac:dyDescent="0.25">
      <c r="A1032" s="10"/>
      <c r="B1032" s="10"/>
      <c r="C1032" s="10" t="s">
        <v>258</v>
      </c>
      <c r="D1032" s="12"/>
      <c r="E1032" s="11"/>
      <c r="F1032" s="14">
        <v>0.25</v>
      </c>
      <c r="G1032" s="13" t="s">
        <v>461</v>
      </c>
      <c r="H1032" s="11">
        <v>1</v>
      </c>
      <c r="I1032" s="16">
        <v>1.2</v>
      </c>
      <c r="J1032" s="11">
        <v>57.05</v>
      </c>
      <c r="K1032" s="16">
        <v>68.459999999999994</v>
      </c>
    </row>
    <row r="1033" spans="1:11" ht="42" x14ac:dyDescent="0.25">
      <c r="A1033" s="10" t="s">
        <v>152</v>
      </c>
      <c r="B1033" s="10" t="s">
        <v>1461</v>
      </c>
      <c r="C1033" s="10" t="s">
        <v>1217</v>
      </c>
      <c r="D1033" s="12" t="s">
        <v>227</v>
      </c>
      <c r="E1033" s="11">
        <v>384</v>
      </c>
      <c r="F1033" s="14">
        <v>24.09</v>
      </c>
      <c r="G1033" s="15" t="s">
        <v>1</v>
      </c>
      <c r="H1033" s="11">
        <v>1</v>
      </c>
      <c r="I1033" s="14">
        <v>9250.56</v>
      </c>
      <c r="J1033" s="11">
        <v>7.47</v>
      </c>
      <c r="K1033" s="14">
        <v>69101.679999999993</v>
      </c>
    </row>
    <row r="1034" spans="1:11" ht="14.5" x14ac:dyDescent="0.25">
      <c r="A1034" s="10"/>
      <c r="B1034" s="10"/>
      <c r="C1034" s="10" t="s">
        <v>260</v>
      </c>
      <c r="D1034" s="12" t="s">
        <v>261</v>
      </c>
      <c r="E1034" s="11">
        <v>99</v>
      </c>
      <c r="F1034" s="14"/>
      <c r="G1034" s="13"/>
      <c r="H1034" s="11"/>
      <c r="I1034" s="14">
        <v>895.28</v>
      </c>
      <c r="J1034" s="11">
        <v>99</v>
      </c>
      <c r="K1034" s="14">
        <v>51075.55</v>
      </c>
    </row>
    <row r="1035" spans="1:11" ht="14.5" x14ac:dyDescent="0.25">
      <c r="A1035" s="10"/>
      <c r="B1035" s="10"/>
      <c r="C1035" s="10" t="s">
        <v>262</v>
      </c>
      <c r="D1035" s="12" t="s">
        <v>261</v>
      </c>
      <c r="E1035" s="11">
        <v>59</v>
      </c>
      <c r="F1035" s="14"/>
      <c r="G1035" s="13"/>
      <c r="H1035" s="11"/>
      <c r="I1035" s="14">
        <v>533.54999999999995</v>
      </c>
      <c r="J1035" s="11">
        <v>59</v>
      </c>
      <c r="K1035" s="14">
        <v>30438.959999999999</v>
      </c>
    </row>
    <row r="1036" spans="1:11" ht="14.5" x14ac:dyDescent="0.25">
      <c r="A1036" s="17"/>
      <c r="B1036" s="17"/>
      <c r="C1036" s="17" t="s">
        <v>263</v>
      </c>
      <c r="D1036" s="18" t="s">
        <v>264</v>
      </c>
      <c r="E1036" s="19">
        <v>13.36</v>
      </c>
      <c r="F1036" s="20"/>
      <c r="G1036" s="37" t="s">
        <v>460</v>
      </c>
      <c r="H1036" s="19">
        <v>1</v>
      </c>
      <c r="I1036" s="20">
        <v>59</v>
      </c>
      <c r="J1036" s="19"/>
      <c r="K1036" s="20"/>
    </row>
    <row r="1037" spans="1:11" ht="14" x14ac:dyDescent="0.25">
      <c r="C1037" s="22" t="s">
        <v>265</v>
      </c>
      <c r="H1037" s="143">
        <v>11590.48</v>
      </c>
      <c r="I1037" s="143"/>
      <c r="J1037" s="143">
        <v>202278.43</v>
      </c>
      <c r="K1037" s="143"/>
    </row>
    <row r="1038" spans="1:11" ht="14" x14ac:dyDescent="0.25">
      <c r="C1038" s="22" t="s">
        <v>267</v>
      </c>
      <c r="H1038" s="141">
        <v>11590.48</v>
      </c>
      <c r="I1038" s="141"/>
      <c r="J1038" s="141">
        <v>202278.43</v>
      </c>
      <c r="K1038" s="141"/>
    </row>
    <row r="1040" spans="1:11" ht="58" x14ac:dyDescent="0.25">
      <c r="A1040" s="10">
        <v>83</v>
      </c>
      <c r="B1040" s="10" t="s">
        <v>1462</v>
      </c>
      <c r="C1040" s="10" t="s">
        <v>1218</v>
      </c>
      <c r="D1040" s="12" t="s">
        <v>1463</v>
      </c>
      <c r="E1040" s="11">
        <v>3.073</v>
      </c>
      <c r="F1040" s="14"/>
      <c r="G1040" s="13"/>
      <c r="H1040" s="11"/>
      <c r="I1040" s="14"/>
      <c r="J1040" s="11"/>
      <c r="K1040" s="14"/>
    </row>
    <row r="1041" spans="1:11" x14ac:dyDescent="0.25">
      <c r="C1041" s="23" t="s">
        <v>1478</v>
      </c>
    </row>
    <row r="1042" spans="1:11" ht="14.5" x14ac:dyDescent="0.25">
      <c r="A1042" s="10"/>
      <c r="B1042" s="10"/>
      <c r="C1042" s="10" t="s">
        <v>256</v>
      </c>
      <c r="D1042" s="12"/>
      <c r="E1042" s="11"/>
      <c r="F1042" s="14">
        <v>412.56</v>
      </c>
      <c r="G1042" s="13" t="s">
        <v>277</v>
      </c>
      <c r="H1042" s="11">
        <v>1</v>
      </c>
      <c r="I1042" s="14">
        <v>1749.56</v>
      </c>
      <c r="J1042" s="11">
        <v>57.05</v>
      </c>
      <c r="K1042" s="14">
        <v>99812.4</v>
      </c>
    </row>
    <row r="1043" spans="1:11" ht="14.5" x14ac:dyDescent="0.25">
      <c r="A1043" s="10"/>
      <c r="B1043" s="10"/>
      <c r="C1043" s="10" t="s">
        <v>257</v>
      </c>
      <c r="D1043" s="12"/>
      <c r="E1043" s="11"/>
      <c r="F1043" s="14">
        <v>122.12</v>
      </c>
      <c r="G1043" s="13" t="s">
        <v>278</v>
      </c>
      <c r="H1043" s="11">
        <v>1</v>
      </c>
      <c r="I1043" s="14">
        <v>562.91</v>
      </c>
      <c r="J1043" s="11">
        <v>15.8</v>
      </c>
      <c r="K1043" s="14">
        <v>8893.98</v>
      </c>
    </row>
    <row r="1044" spans="1:11" ht="14.5" x14ac:dyDescent="0.25">
      <c r="A1044" s="10"/>
      <c r="B1044" s="10"/>
      <c r="C1044" s="10" t="s">
        <v>258</v>
      </c>
      <c r="D1044" s="12"/>
      <c r="E1044" s="11"/>
      <c r="F1044" s="14">
        <v>13.3</v>
      </c>
      <c r="G1044" s="13" t="s">
        <v>278</v>
      </c>
      <c r="H1044" s="11">
        <v>1</v>
      </c>
      <c r="I1044" s="16">
        <v>61.31</v>
      </c>
      <c r="J1044" s="11">
        <v>57.05</v>
      </c>
      <c r="K1044" s="16">
        <v>3497.74</v>
      </c>
    </row>
    <row r="1045" spans="1:11" ht="140" x14ac:dyDescent="0.25">
      <c r="A1045" s="10" t="s">
        <v>1252</v>
      </c>
      <c r="B1045" s="10" t="s">
        <v>1479</v>
      </c>
      <c r="C1045" s="10" t="s">
        <v>1253</v>
      </c>
      <c r="D1045" s="12" t="s">
        <v>1391</v>
      </c>
      <c r="E1045" s="11">
        <v>31.3446</v>
      </c>
      <c r="F1045" s="14">
        <v>1245.78</v>
      </c>
      <c r="G1045" s="15" t="s">
        <v>1</v>
      </c>
      <c r="H1045" s="11">
        <v>1</v>
      </c>
      <c r="I1045" s="14">
        <v>39048.480000000003</v>
      </c>
      <c r="J1045" s="11">
        <v>5.9</v>
      </c>
      <c r="K1045" s="14">
        <v>230386.03</v>
      </c>
    </row>
    <row r="1046" spans="1:11" ht="14.5" x14ac:dyDescent="0.25">
      <c r="A1046" s="10"/>
      <c r="B1046" s="10"/>
      <c r="C1046" s="10" t="s">
        <v>260</v>
      </c>
      <c r="D1046" s="12" t="s">
        <v>261</v>
      </c>
      <c r="E1046" s="11">
        <v>98</v>
      </c>
      <c r="F1046" s="14"/>
      <c r="G1046" s="13"/>
      <c r="H1046" s="11"/>
      <c r="I1046" s="14">
        <v>1774.65</v>
      </c>
      <c r="J1046" s="11">
        <v>98</v>
      </c>
      <c r="K1046" s="14">
        <v>101243.94</v>
      </c>
    </row>
    <row r="1047" spans="1:11" ht="14.5" x14ac:dyDescent="0.25">
      <c r="A1047" s="10"/>
      <c r="B1047" s="10"/>
      <c r="C1047" s="10" t="s">
        <v>262</v>
      </c>
      <c r="D1047" s="12" t="s">
        <v>261</v>
      </c>
      <c r="E1047" s="11">
        <v>48</v>
      </c>
      <c r="F1047" s="14"/>
      <c r="G1047" s="13"/>
      <c r="H1047" s="11"/>
      <c r="I1047" s="14">
        <v>869.22</v>
      </c>
      <c r="J1047" s="11">
        <v>48</v>
      </c>
      <c r="K1047" s="14">
        <v>49588.87</v>
      </c>
    </row>
    <row r="1048" spans="1:11" ht="14.5" x14ac:dyDescent="0.25">
      <c r="A1048" s="17"/>
      <c r="B1048" s="17"/>
      <c r="C1048" s="17" t="s">
        <v>263</v>
      </c>
      <c r="D1048" s="18" t="s">
        <v>264</v>
      </c>
      <c r="E1048" s="19">
        <v>26.16</v>
      </c>
      <c r="F1048" s="20"/>
      <c r="G1048" s="37" t="s">
        <v>277</v>
      </c>
      <c r="H1048" s="19">
        <v>1</v>
      </c>
      <c r="I1048" s="20">
        <v>110.94</v>
      </c>
      <c r="J1048" s="19"/>
      <c r="K1048" s="20"/>
    </row>
    <row r="1049" spans="1:11" ht="14" x14ac:dyDescent="0.25">
      <c r="C1049" s="22" t="s">
        <v>265</v>
      </c>
      <c r="H1049" s="143">
        <v>44004.82</v>
      </c>
      <c r="I1049" s="143"/>
      <c r="J1049" s="143">
        <v>489925.22</v>
      </c>
      <c r="K1049" s="143"/>
    </row>
    <row r="1050" spans="1:11" ht="14" x14ac:dyDescent="0.25">
      <c r="C1050" s="22" t="s">
        <v>267</v>
      </c>
      <c r="H1050" s="141">
        <v>44004.82</v>
      </c>
      <c r="I1050" s="141"/>
      <c r="J1050" s="141">
        <v>489925.22</v>
      </c>
      <c r="K1050" s="141"/>
    </row>
    <row r="1052" spans="1:11" ht="58" x14ac:dyDescent="0.25">
      <c r="A1052" s="10">
        <v>84</v>
      </c>
      <c r="B1052" s="10" t="s">
        <v>1462</v>
      </c>
      <c r="C1052" s="10" t="s">
        <v>1218</v>
      </c>
      <c r="D1052" s="12" t="s">
        <v>1463</v>
      </c>
      <c r="E1052" s="11">
        <v>3.073</v>
      </c>
      <c r="F1052" s="14"/>
      <c r="G1052" s="13"/>
      <c r="H1052" s="11"/>
      <c r="I1052" s="14"/>
      <c r="J1052" s="11"/>
      <c r="K1052" s="14"/>
    </row>
    <row r="1053" spans="1:11" x14ac:dyDescent="0.25">
      <c r="C1053" s="23" t="s">
        <v>1478</v>
      </c>
    </row>
    <row r="1054" spans="1:11" ht="14.5" x14ac:dyDescent="0.25">
      <c r="A1054" s="10"/>
      <c r="B1054" s="10"/>
      <c r="C1054" s="10" t="s">
        <v>256</v>
      </c>
      <c r="D1054" s="12"/>
      <c r="E1054" s="11"/>
      <c r="F1054" s="14">
        <v>412.56</v>
      </c>
      <c r="G1054" s="13" t="s">
        <v>277</v>
      </c>
      <c r="H1054" s="11">
        <v>1</v>
      </c>
      <c r="I1054" s="14">
        <v>1749.56</v>
      </c>
      <c r="J1054" s="11">
        <v>57.05</v>
      </c>
      <c r="K1054" s="14">
        <v>99812.4</v>
      </c>
    </row>
    <row r="1055" spans="1:11" ht="14.5" x14ac:dyDescent="0.25">
      <c r="A1055" s="10"/>
      <c r="B1055" s="10"/>
      <c r="C1055" s="10" t="s">
        <v>257</v>
      </c>
      <c r="D1055" s="12"/>
      <c r="E1055" s="11"/>
      <c r="F1055" s="14">
        <v>122.12</v>
      </c>
      <c r="G1055" s="13" t="s">
        <v>278</v>
      </c>
      <c r="H1055" s="11">
        <v>1</v>
      </c>
      <c r="I1055" s="14">
        <v>562.91</v>
      </c>
      <c r="J1055" s="11">
        <v>15.8</v>
      </c>
      <c r="K1055" s="14">
        <v>8893.98</v>
      </c>
    </row>
    <row r="1056" spans="1:11" ht="14.5" x14ac:dyDescent="0.25">
      <c r="A1056" s="10"/>
      <c r="B1056" s="10"/>
      <c r="C1056" s="10" t="s">
        <v>258</v>
      </c>
      <c r="D1056" s="12"/>
      <c r="E1056" s="11"/>
      <c r="F1056" s="14">
        <v>13.3</v>
      </c>
      <c r="G1056" s="13" t="s">
        <v>278</v>
      </c>
      <c r="H1056" s="11">
        <v>1</v>
      </c>
      <c r="I1056" s="16">
        <v>61.31</v>
      </c>
      <c r="J1056" s="11">
        <v>57.05</v>
      </c>
      <c r="K1056" s="16">
        <v>3497.74</v>
      </c>
    </row>
    <row r="1057" spans="1:11" ht="112" x14ac:dyDescent="0.25">
      <c r="A1057" s="10" t="s">
        <v>1254</v>
      </c>
      <c r="B1057" s="10" t="s">
        <v>1480</v>
      </c>
      <c r="C1057" s="10" t="s">
        <v>1255</v>
      </c>
      <c r="D1057" s="12" t="s">
        <v>1391</v>
      </c>
      <c r="E1057" s="11">
        <v>31.3446</v>
      </c>
      <c r="F1057" s="14">
        <v>1723.59</v>
      </c>
      <c r="G1057" s="15" t="s">
        <v>1</v>
      </c>
      <c r="H1057" s="11">
        <v>1</v>
      </c>
      <c r="I1057" s="14">
        <v>54025.24</v>
      </c>
      <c r="J1057" s="11">
        <v>6.22</v>
      </c>
      <c r="K1057" s="14">
        <v>336036.99</v>
      </c>
    </row>
    <row r="1058" spans="1:11" ht="14.5" x14ac:dyDescent="0.25">
      <c r="A1058" s="10"/>
      <c r="B1058" s="10"/>
      <c r="C1058" s="10" t="s">
        <v>260</v>
      </c>
      <c r="D1058" s="12" t="s">
        <v>261</v>
      </c>
      <c r="E1058" s="11">
        <v>98</v>
      </c>
      <c r="F1058" s="14"/>
      <c r="G1058" s="13"/>
      <c r="H1058" s="11"/>
      <c r="I1058" s="14">
        <v>1774.65</v>
      </c>
      <c r="J1058" s="11">
        <v>98</v>
      </c>
      <c r="K1058" s="14">
        <v>101243.94</v>
      </c>
    </row>
    <row r="1059" spans="1:11" ht="14.5" x14ac:dyDescent="0.25">
      <c r="A1059" s="10"/>
      <c r="B1059" s="10"/>
      <c r="C1059" s="10" t="s">
        <v>262</v>
      </c>
      <c r="D1059" s="12" t="s">
        <v>261</v>
      </c>
      <c r="E1059" s="11">
        <v>48</v>
      </c>
      <c r="F1059" s="14"/>
      <c r="G1059" s="13"/>
      <c r="H1059" s="11"/>
      <c r="I1059" s="14">
        <v>869.22</v>
      </c>
      <c r="J1059" s="11">
        <v>48</v>
      </c>
      <c r="K1059" s="14">
        <v>49588.87</v>
      </c>
    </row>
    <row r="1060" spans="1:11" ht="14.5" x14ac:dyDescent="0.25">
      <c r="A1060" s="17"/>
      <c r="B1060" s="17"/>
      <c r="C1060" s="17" t="s">
        <v>263</v>
      </c>
      <c r="D1060" s="18" t="s">
        <v>264</v>
      </c>
      <c r="E1060" s="19">
        <v>26.16</v>
      </c>
      <c r="F1060" s="20"/>
      <c r="G1060" s="37" t="s">
        <v>277</v>
      </c>
      <c r="H1060" s="19">
        <v>1</v>
      </c>
      <c r="I1060" s="20">
        <v>110.94</v>
      </c>
      <c r="J1060" s="19"/>
      <c r="K1060" s="20"/>
    </row>
    <row r="1061" spans="1:11" ht="14" x14ac:dyDescent="0.25">
      <c r="C1061" s="22" t="s">
        <v>265</v>
      </c>
      <c r="H1061" s="143">
        <v>58981.58</v>
      </c>
      <c r="I1061" s="143"/>
      <c r="J1061" s="143">
        <v>595576.18000000005</v>
      </c>
      <c r="K1061" s="143"/>
    </row>
    <row r="1062" spans="1:11" ht="14" x14ac:dyDescent="0.25">
      <c r="C1062" s="22" t="s">
        <v>267</v>
      </c>
      <c r="H1062" s="141">
        <v>58981.58</v>
      </c>
      <c r="I1062" s="141"/>
      <c r="J1062" s="141">
        <v>595576.18000000005</v>
      </c>
      <c r="K1062" s="141"/>
    </row>
    <row r="1064" spans="1:11" ht="28" x14ac:dyDescent="0.25">
      <c r="A1064" s="10">
        <v>85</v>
      </c>
      <c r="B1064" s="10" t="s">
        <v>1466</v>
      </c>
      <c r="C1064" s="10" t="s">
        <v>1525</v>
      </c>
      <c r="D1064" s="12" t="s">
        <v>838</v>
      </c>
      <c r="E1064" s="11">
        <v>3.202</v>
      </c>
      <c r="F1064" s="14"/>
      <c r="G1064" s="13"/>
      <c r="H1064" s="11"/>
      <c r="I1064" s="14"/>
      <c r="J1064" s="11"/>
      <c r="K1064" s="14"/>
    </row>
    <row r="1065" spans="1:11" x14ac:dyDescent="0.25">
      <c r="C1065" s="23" t="s">
        <v>1481</v>
      </c>
    </row>
    <row r="1066" spans="1:11" ht="28" x14ac:dyDescent="0.25">
      <c r="A1066" s="10"/>
      <c r="B1066" s="10"/>
      <c r="C1066" s="10" t="s">
        <v>256</v>
      </c>
      <c r="D1066" s="12"/>
      <c r="E1066" s="11"/>
      <c r="F1066" s="14">
        <v>1347.04</v>
      </c>
      <c r="G1066" s="13" t="s">
        <v>787</v>
      </c>
      <c r="H1066" s="11">
        <v>1</v>
      </c>
      <c r="I1066" s="14">
        <v>11904.49</v>
      </c>
      <c r="J1066" s="11">
        <v>57.05</v>
      </c>
      <c r="K1066" s="14">
        <v>679151.15</v>
      </c>
    </row>
    <row r="1067" spans="1:11" ht="28" x14ac:dyDescent="0.25">
      <c r="A1067" s="10"/>
      <c r="B1067" s="10"/>
      <c r="C1067" s="10" t="s">
        <v>257</v>
      </c>
      <c r="D1067" s="12"/>
      <c r="E1067" s="11"/>
      <c r="F1067" s="14">
        <v>43.45</v>
      </c>
      <c r="G1067" s="13" t="s">
        <v>788</v>
      </c>
      <c r="H1067" s="11">
        <v>1</v>
      </c>
      <c r="I1067" s="14">
        <v>417.38</v>
      </c>
      <c r="J1067" s="11">
        <v>10.39</v>
      </c>
      <c r="K1067" s="14">
        <v>4336.58</v>
      </c>
    </row>
    <row r="1068" spans="1:11" ht="28" x14ac:dyDescent="0.25">
      <c r="A1068" s="10"/>
      <c r="B1068" s="10"/>
      <c r="C1068" s="10" t="s">
        <v>258</v>
      </c>
      <c r="D1068" s="12"/>
      <c r="E1068" s="11"/>
      <c r="F1068" s="14">
        <v>0.76</v>
      </c>
      <c r="G1068" s="13" t="s">
        <v>788</v>
      </c>
      <c r="H1068" s="11">
        <v>1</v>
      </c>
      <c r="I1068" s="16">
        <v>7.3</v>
      </c>
      <c r="J1068" s="11">
        <v>57.05</v>
      </c>
      <c r="K1068" s="16">
        <v>416.47</v>
      </c>
    </row>
    <row r="1069" spans="1:11" ht="14.5" x14ac:dyDescent="0.25">
      <c r="A1069" s="10"/>
      <c r="B1069" s="10"/>
      <c r="C1069" s="10" t="s">
        <v>259</v>
      </c>
      <c r="D1069" s="12"/>
      <c r="E1069" s="11"/>
      <c r="F1069" s="14">
        <v>108.37</v>
      </c>
      <c r="G1069" s="13">
        <v>2</v>
      </c>
      <c r="H1069" s="11">
        <v>1</v>
      </c>
      <c r="I1069" s="14">
        <v>694</v>
      </c>
      <c r="J1069" s="11">
        <v>14.19</v>
      </c>
      <c r="K1069" s="14">
        <v>9847.86</v>
      </c>
    </row>
    <row r="1070" spans="1:11" ht="70" x14ac:dyDescent="0.25">
      <c r="A1070" s="10" t="s">
        <v>1256</v>
      </c>
      <c r="B1070" s="10" t="s">
        <v>1467</v>
      </c>
      <c r="C1070" s="10" t="s">
        <v>1227</v>
      </c>
      <c r="D1070" s="12" t="s">
        <v>34</v>
      </c>
      <c r="E1070" s="11">
        <v>97.340800000000002</v>
      </c>
      <c r="F1070" s="14">
        <v>95.11</v>
      </c>
      <c r="G1070" s="15" t="s">
        <v>1228</v>
      </c>
      <c r="H1070" s="11">
        <v>1</v>
      </c>
      <c r="I1070" s="14">
        <v>9258.08</v>
      </c>
      <c r="J1070" s="11">
        <v>14.51</v>
      </c>
      <c r="K1070" s="14">
        <v>134334.74</v>
      </c>
    </row>
    <row r="1071" spans="1:11" ht="14.5" x14ac:dyDescent="0.25">
      <c r="A1071" s="10" t="s">
        <v>1257</v>
      </c>
      <c r="B1071" s="10" t="s">
        <v>1468</v>
      </c>
      <c r="C1071" s="10" t="s">
        <v>1230</v>
      </c>
      <c r="D1071" s="12" t="s">
        <v>9</v>
      </c>
      <c r="E1071" s="11">
        <v>512.32000000000005</v>
      </c>
      <c r="F1071" s="14">
        <v>9.98</v>
      </c>
      <c r="G1071" s="15" t="s">
        <v>1228</v>
      </c>
      <c r="H1071" s="11">
        <v>1</v>
      </c>
      <c r="I1071" s="14">
        <v>5112.95</v>
      </c>
      <c r="J1071" s="11">
        <v>8.5399999999999991</v>
      </c>
      <c r="K1071" s="14">
        <v>43664.59</v>
      </c>
    </row>
    <row r="1072" spans="1:11" ht="28" x14ac:dyDescent="0.25">
      <c r="A1072" s="10" t="s">
        <v>1258</v>
      </c>
      <c r="B1072" s="10" t="s">
        <v>1469</v>
      </c>
      <c r="C1072" s="10" t="s">
        <v>1232</v>
      </c>
      <c r="D1072" s="12" t="s">
        <v>227</v>
      </c>
      <c r="E1072" s="11">
        <v>653.20799999999997</v>
      </c>
      <c r="F1072" s="14">
        <v>25.82</v>
      </c>
      <c r="G1072" s="15" t="s">
        <v>1</v>
      </c>
      <c r="H1072" s="11">
        <v>1</v>
      </c>
      <c r="I1072" s="14">
        <v>16865.830000000002</v>
      </c>
      <c r="J1072" s="11">
        <v>9.4700000000000006</v>
      </c>
      <c r="K1072" s="14">
        <v>159719.41</v>
      </c>
    </row>
    <row r="1073" spans="1:11" ht="14.5" x14ac:dyDescent="0.25">
      <c r="A1073" s="10"/>
      <c r="B1073" s="10"/>
      <c r="C1073" s="10" t="s">
        <v>260</v>
      </c>
      <c r="D1073" s="12" t="s">
        <v>261</v>
      </c>
      <c r="E1073" s="11">
        <v>101</v>
      </c>
      <c r="F1073" s="14"/>
      <c r="G1073" s="13"/>
      <c r="H1073" s="11"/>
      <c r="I1073" s="14">
        <v>12030.91</v>
      </c>
      <c r="J1073" s="11">
        <v>101</v>
      </c>
      <c r="K1073" s="14">
        <v>686363.3</v>
      </c>
    </row>
    <row r="1074" spans="1:11" ht="14.5" x14ac:dyDescent="0.25">
      <c r="A1074" s="10"/>
      <c r="B1074" s="10"/>
      <c r="C1074" s="10" t="s">
        <v>262</v>
      </c>
      <c r="D1074" s="12" t="s">
        <v>261</v>
      </c>
      <c r="E1074" s="11">
        <v>55</v>
      </c>
      <c r="F1074" s="14"/>
      <c r="G1074" s="13"/>
      <c r="H1074" s="11"/>
      <c r="I1074" s="14">
        <v>6551.48</v>
      </c>
      <c r="J1074" s="11">
        <v>55</v>
      </c>
      <c r="K1074" s="14">
        <v>373762.19</v>
      </c>
    </row>
    <row r="1075" spans="1:11" ht="28" x14ac:dyDescent="0.25">
      <c r="A1075" s="17"/>
      <c r="B1075" s="17"/>
      <c r="C1075" s="17" t="s">
        <v>263</v>
      </c>
      <c r="D1075" s="18" t="s">
        <v>264</v>
      </c>
      <c r="E1075" s="19">
        <v>83.04</v>
      </c>
      <c r="F1075" s="20"/>
      <c r="G1075" s="37" t="s">
        <v>787</v>
      </c>
      <c r="H1075" s="19">
        <v>1</v>
      </c>
      <c r="I1075" s="20">
        <v>733.87</v>
      </c>
      <c r="J1075" s="19"/>
      <c r="K1075" s="20"/>
    </row>
    <row r="1076" spans="1:11" ht="14" x14ac:dyDescent="0.25">
      <c r="C1076" s="22" t="s">
        <v>265</v>
      </c>
      <c r="H1076" s="143">
        <v>62835.12</v>
      </c>
      <c r="I1076" s="143"/>
      <c r="J1076" s="143">
        <v>2091179.82</v>
      </c>
      <c r="K1076" s="143"/>
    </row>
    <row r="1077" spans="1:11" ht="14" x14ac:dyDescent="0.25">
      <c r="C1077" s="22" t="s">
        <v>267</v>
      </c>
      <c r="H1077" s="141">
        <v>62835.12</v>
      </c>
      <c r="I1077" s="141"/>
      <c r="J1077" s="141">
        <v>2091179.82</v>
      </c>
      <c r="K1077" s="141"/>
    </row>
    <row r="1079" spans="1:11" ht="29" x14ac:dyDescent="0.25">
      <c r="A1079" s="10">
        <v>86</v>
      </c>
      <c r="B1079" s="10" t="s">
        <v>1482</v>
      </c>
      <c r="C1079" s="10" t="s">
        <v>1259</v>
      </c>
      <c r="D1079" s="12" t="s">
        <v>1437</v>
      </c>
      <c r="E1079" s="11">
        <v>0.14000000000000001</v>
      </c>
      <c r="F1079" s="14"/>
      <c r="G1079" s="13"/>
      <c r="H1079" s="11"/>
      <c r="I1079" s="14"/>
      <c r="J1079" s="11"/>
      <c r="K1079" s="14"/>
    </row>
    <row r="1080" spans="1:11" x14ac:dyDescent="0.25">
      <c r="C1080" s="23" t="s">
        <v>821</v>
      </c>
    </row>
    <row r="1081" spans="1:11" ht="14.5" x14ac:dyDescent="0.25">
      <c r="A1081" s="10"/>
      <c r="B1081" s="10"/>
      <c r="C1081" s="10" t="s">
        <v>256</v>
      </c>
      <c r="D1081" s="12"/>
      <c r="E1081" s="11"/>
      <c r="F1081" s="14">
        <v>819.48</v>
      </c>
      <c r="G1081" s="13" t="s">
        <v>460</v>
      </c>
      <c r="H1081" s="11">
        <v>1</v>
      </c>
      <c r="I1081" s="14">
        <v>158.32</v>
      </c>
      <c r="J1081" s="11">
        <v>57.05</v>
      </c>
      <c r="K1081" s="14">
        <v>9032.16</v>
      </c>
    </row>
    <row r="1082" spans="1:11" ht="14.5" x14ac:dyDescent="0.25">
      <c r="A1082" s="10"/>
      <c r="B1082" s="10"/>
      <c r="C1082" s="10" t="s">
        <v>257</v>
      </c>
      <c r="D1082" s="12"/>
      <c r="E1082" s="11"/>
      <c r="F1082" s="14">
        <v>119</v>
      </c>
      <c r="G1082" s="13" t="s">
        <v>461</v>
      </c>
      <c r="H1082" s="11">
        <v>1</v>
      </c>
      <c r="I1082" s="14">
        <v>24.99</v>
      </c>
      <c r="J1082" s="11">
        <v>17.2</v>
      </c>
      <c r="K1082" s="14">
        <v>429.83</v>
      </c>
    </row>
    <row r="1083" spans="1:11" ht="14.5" x14ac:dyDescent="0.25">
      <c r="A1083" s="10"/>
      <c r="B1083" s="10"/>
      <c r="C1083" s="10" t="s">
        <v>258</v>
      </c>
      <c r="D1083" s="12"/>
      <c r="E1083" s="11"/>
      <c r="F1083" s="14">
        <v>17.420000000000002</v>
      </c>
      <c r="G1083" s="13" t="s">
        <v>461</v>
      </c>
      <c r="H1083" s="11">
        <v>1</v>
      </c>
      <c r="I1083" s="16">
        <v>3.66</v>
      </c>
      <c r="J1083" s="11">
        <v>57.05</v>
      </c>
      <c r="K1083" s="16">
        <v>208.8</v>
      </c>
    </row>
    <row r="1084" spans="1:11" ht="14.5" x14ac:dyDescent="0.25">
      <c r="A1084" s="10"/>
      <c r="B1084" s="10"/>
      <c r="C1084" s="10" t="s">
        <v>259</v>
      </c>
      <c r="D1084" s="12"/>
      <c r="E1084" s="11"/>
      <c r="F1084" s="14">
        <v>80.11</v>
      </c>
      <c r="G1084" s="13"/>
      <c r="H1084" s="11">
        <v>1</v>
      </c>
      <c r="I1084" s="14">
        <v>11.22</v>
      </c>
      <c r="J1084" s="11">
        <v>12.21</v>
      </c>
      <c r="K1084" s="14">
        <v>137</v>
      </c>
    </row>
    <row r="1085" spans="1:11" ht="56" x14ac:dyDescent="0.25">
      <c r="A1085" s="10" t="s">
        <v>160</v>
      </c>
      <c r="B1085" s="10" t="s">
        <v>1483</v>
      </c>
      <c r="C1085" s="10" t="s">
        <v>1260</v>
      </c>
      <c r="D1085" s="12" t="s">
        <v>1391</v>
      </c>
      <c r="E1085" s="11">
        <v>0.4032</v>
      </c>
      <c r="F1085" s="14">
        <v>3433.22</v>
      </c>
      <c r="G1085" s="15" t="s">
        <v>1</v>
      </c>
      <c r="H1085" s="11">
        <v>1</v>
      </c>
      <c r="I1085" s="14">
        <v>1384.27</v>
      </c>
      <c r="J1085" s="11">
        <v>6.21</v>
      </c>
      <c r="K1085" s="14">
        <v>8596.32</v>
      </c>
    </row>
    <row r="1086" spans="1:11" ht="14.5" x14ac:dyDescent="0.25">
      <c r="A1086" s="10"/>
      <c r="B1086" s="10"/>
      <c r="C1086" s="10" t="s">
        <v>260</v>
      </c>
      <c r="D1086" s="12" t="s">
        <v>261</v>
      </c>
      <c r="E1086" s="11">
        <v>101</v>
      </c>
      <c r="F1086" s="14"/>
      <c r="G1086" s="13"/>
      <c r="H1086" s="11"/>
      <c r="I1086" s="14">
        <v>163.6</v>
      </c>
      <c r="J1086" s="11">
        <v>101</v>
      </c>
      <c r="K1086" s="14">
        <v>9333.3700000000008</v>
      </c>
    </row>
    <row r="1087" spans="1:11" ht="14.5" x14ac:dyDescent="0.25">
      <c r="A1087" s="10"/>
      <c r="B1087" s="10"/>
      <c r="C1087" s="10" t="s">
        <v>262</v>
      </c>
      <c r="D1087" s="12" t="s">
        <v>261</v>
      </c>
      <c r="E1087" s="11">
        <v>55</v>
      </c>
      <c r="F1087" s="14"/>
      <c r="G1087" s="13"/>
      <c r="H1087" s="11"/>
      <c r="I1087" s="14">
        <v>89.09</v>
      </c>
      <c r="J1087" s="11">
        <v>55</v>
      </c>
      <c r="K1087" s="14">
        <v>5082.53</v>
      </c>
    </row>
    <row r="1088" spans="1:11" ht="14.5" x14ac:dyDescent="0.25">
      <c r="A1088" s="17"/>
      <c r="B1088" s="17"/>
      <c r="C1088" s="17" t="s">
        <v>263</v>
      </c>
      <c r="D1088" s="18" t="s">
        <v>264</v>
      </c>
      <c r="E1088" s="19">
        <v>54.7</v>
      </c>
      <c r="F1088" s="20"/>
      <c r="G1088" s="37" t="s">
        <v>460</v>
      </c>
      <c r="H1088" s="19">
        <v>1</v>
      </c>
      <c r="I1088" s="20">
        <v>10.57</v>
      </c>
      <c r="J1088" s="19"/>
      <c r="K1088" s="20"/>
    </row>
    <row r="1089" spans="1:11" ht="14" x14ac:dyDescent="0.25">
      <c r="C1089" s="22" t="s">
        <v>265</v>
      </c>
      <c r="H1089" s="143">
        <v>1831.49</v>
      </c>
      <c r="I1089" s="143"/>
      <c r="J1089" s="143">
        <v>32611.21</v>
      </c>
      <c r="K1089" s="143"/>
    </row>
    <row r="1090" spans="1:11" ht="14" x14ac:dyDescent="0.25">
      <c r="C1090" s="22" t="s">
        <v>267</v>
      </c>
      <c r="H1090" s="141">
        <v>1831.49</v>
      </c>
      <c r="I1090" s="141"/>
      <c r="J1090" s="141">
        <v>32611.21</v>
      </c>
      <c r="K1090" s="141"/>
    </row>
    <row r="1093" spans="1:11" ht="14" x14ac:dyDescent="0.3">
      <c r="A1093" s="140" t="s">
        <v>1484</v>
      </c>
      <c r="B1093" s="140"/>
      <c r="C1093" s="140"/>
      <c r="D1093" s="140"/>
      <c r="E1093" s="140"/>
      <c r="F1093" s="140"/>
      <c r="G1093" s="140"/>
      <c r="H1093" s="141">
        <v>179243.49</v>
      </c>
      <c r="I1093" s="142"/>
      <c r="J1093" s="141">
        <v>3411570.86</v>
      </c>
      <c r="K1093" s="142"/>
    </row>
    <row r="1095" spans="1:11" ht="16.5" x14ac:dyDescent="0.25">
      <c r="A1095" s="144" t="s">
        <v>1485</v>
      </c>
      <c r="B1095" s="144"/>
      <c r="C1095" s="144"/>
      <c r="D1095" s="144"/>
      <c r="E1095" s="144"/>
      <c r="F1095" s="144"/>
      <c r="G1095" s="144"/>
      <c r="H1095" s="144"/>
      <c r="I1095" s="144"/>
      <c r="J1095" s="144"/>
      <c r="K1095" s="144"/>
    </row>
    <row r="1096" spans="1:11" ht="42" x14ac:dyDescent="0.25">
      <c r="A1096" s="10">
        <v>87</v>
      </c>
      <c r="B1096" s="10" t="s">
        <v>1486</v>
      </c>
      <c r="C1096" s="10" t="s">
        <v>1261</v>
      </c>
      <c r="D1096" s="12" t="s">
        <v>1487</v>
      </c>
      <c r="E1096" s="11">
        <v>1.96</v>
      </c>
      <c r="F1096" s="14"/>
      <c r="G1096" s="13"/>
      <c r="H1096" s="11"/>
      <c r="I1096" s="14"/>
      <c r="J1096" s="11"/>
      <c r="K1096" s="14"/>
    </row>
    <row r="1097" spans="1:11" ht="14.5" x14ac:dyDescent="0.25">
      <c r="A1097" s="10"/>
      <c r="B1097" s="10"/>
      <c r="C1097" s="10" t="s">
        <v>256</v>
      </c>
      <c r="D1097" s="12"/>
      <c r="E1097" s="11"/>
      <c r="F1097" s="14">
        <v>32.96</v>
      </c>
      <c r="G1097" s="13" t="s">
        <v>460</v>
      </c>
      <c r="H1097" s="11">
        <v>1</v>
      </c>
      <c r="I1097" s="14">
        <v>89.15</v>
      </c>
      <c r="J1097" s="11">
        <v>57.05</v>
      </c>
      <c r="K1097" s="14">
        <v>5086.01</v>
      </c>
    </row>
    <row r="1098" spans="1:11" ht="14.5" x14ac:dyDescent="0.25">
      <c r="A1098" s="10"/>
      <c r="B1098" s="10"/>
      <c r="C1098" s="10" t="s">
        <v>257</v>
      </c>
      <c r="D1098" s="12"/>
      <c r="E1098" s="11"/>
      <c r="F1098" s="14">
        <v>44.53</v>
      </c>
      <c r="G1098" s="13" t="s">
        <v>461</v>
      </c>
      <c r="H1098" s="11">
        <v>1</v>
      </c>
      <c r="I1098" s="14">
        <v>130.91999999999999</v>
      </c>
      <c r="J1098" s="11">
        <v>15.29</v>
      </c>
      <c r="K1098" s="14">
        <v>2001.77</v>
      </c>
    </row>
    <row r="1099" spans="1:11" ht="14.5" x14ac:dyDescent="0.25">
      <c r="A1099" s="10"/>
      <c r="B1099" s="10"/>
      <c r="C1099" s="10" t="s">
        <v>258</v>
      </c>
      <c r="D1099" s="12"/>
      <c r="E1099" s="11"/>
      <c r="F1099" s="14">
        <v>3.93</v>
      </c>
      <c r="G1099" s="13" t="s">
        <v>461</v>
      </c>
      <c r="H1099" s="11">
        <v>1</v>
      </c>
      <c r="I1099" s="16">
        <v>11.55</v>
      </c>
      <c r="J1099" s="11">
        <v>57.05</v>
      </c>
      <c r="K1099" s="16">
        <v>658.93</v>
      </c>
    </row>
    <row r="1100" spans="1:11" ht="14.5" x14ac:dyDescent="0.25">
      <c r="A1100" s="10"/>
      <c r="B1100" s="10"/>
      <c r="C1100" s="10" t="s">
        <v>259</v>
      </c>
      <c r="D1100" s="12"/>
      <c r="E1100" s="11"/>
      <c r="F1100" s="14">
        <v>388.48</v>
      </c>
      <c r="G1100" s="13"/>
      <c r="H1100" s="11">
        <v>1</v>
      </c>
      <c r="I1100" s="14">
        <v>761.42</v>
      </c>
      <c r="J1100" s="11">
        <v>5.69</v>
      </c>
      <c r="K1100" s="14">
        <v>4332.4799999999996</v>
      </c>
    </row>
    <row r="1101" spans="1:11" ht="14.5" x14ac:dyDescent="0.25">
      <c r="A1101" s="10"/>
      <c r="B1101" s="10"/>
      <c r="C1101" s="10" t="s">
        <v>260</v>
      </c>
      <c r="D1101" s="12" t="s">
        <v>261</v>
      </c>
      <c r="E1101" s="11">
        <v>101</v>
      </c>
      <c r="F1101" s="14"/>
      <c r="G1101" s="13"/>
      <c r="H1101" s="11"/>
      <c r="I1101" s="14">
        <v>101.71</v>
      </c>
      <c r="J1101" s="11">
        <v>101</v>
      </c>
      <c r="K1101" s="14">
        <v>5802.39</v>
      </c>
    </row>
    <row r="1102" spans="1:11" ht="14.5" x14ac:dyDescent="0.25">
      <c r="A1102" s="10"/>
      <c r="B1102" s="10"/>
      <c r="C1102" s="10" t="s">
        <v>262</v>
      </c>
      <c r="D1102" s="12" t="s">
        <v>261</v>
      </c>
      <c r="E1102" s="11">
        <v>55</v>
      </c>
      <c r="F1102" s="14"/>
      <c r="G1102" s="13"/>
      <c r="H1102" s="11"/>
      <c r="I1102" s="14">
        <v>55.39</v>
      </c>
      <c r="J1102" s="11">
        <v>55</v>
      </c>
      <c r="K1102" s="14">
        <v>3159.72</v>
      </c>
    </row>
    <row r="1103" spans="1:11" ht="14.5" x14ac:dyDescent="0.25">
      <c r="A1103" s="17"/>
      <c r="B1103" s="17"/>
      <c r="C1103" s="17" t="s">
        <v>263</v>
      </c>
      <c r="D1103" s="18" t="s">
        <v>264</v>
      </c>
      <c r="E1103" s="19">
        <v>2.2000000000000002</v>
      </c>
      <c r="F1103" s="20"/>
      <c r="G1103" s="37" t="s">
        <v>460</v>
      </c>
      <c r="H1103" s="19">
        <v>1</v>
      </c>
      <c r="I1103" s="20">
        <v>5.95</v>
      </c>
      <c r="J1103" s="19"/>
      <c r="K1103" s="20"/>
    </row>
    <row r="1104" spans="1:11" ht="14" x14ac:dyDescent="0.25">
      <c r="C1104" s="22" t="s">
        <v>265</v>
      </c>
      <c r="H1104" s="143">
        <v>1138.5899999999999</v>
      </c>
      <c r="I1104" s="143"/>
      <c r="J1104" s="143">
        <v>20382.37</v>
      </c>
      <c r="K1104" s="143"/>
    </row>
    <row r="1105" spans="1:11" ht="14" x14ac:dyDescent="0.25">
      <c r="C1105" s="22" t="s">
        <v>267</v>
      </c>
      <c r="H1105" s="141">
        <v>1138.5899999999999</v>
      </c>
      <c r="I1105" s="141"/>
      <c r="J1105" s="141">
        <v>20382.37</v>
      </c>
      <c r="K1105" s="141"/>
    </row>
    <row r="1107" spans="1:11" ht="28" x14ac:dyDescent="0.25">
      <c r="A1107" s="10">
        <v>88</v>
      </c>
      <c r="B1107" s="10" t="s">
        <v>1488</v>
      </c>
      <c r="C1107" s="10" t="s">
        <v>1262</v>
      </c>
      <c r="D1107" s="12" t="s">
        <v>826</v>
      </c>
      <c r="E1107" s="11">
        <v>1.96</v>
      </c>
      <c r="F1107" s="14"/>
      <c r="G1107" s="13"/>
      <c r="H1107" s="11"/>
      <c r="I1107" s="14"/>
      <c r="J1107" s="11"/>
      <c r="K1107" s="14"/>
    </row>
    <row r="1108" spans="1:11" ht="14.5" x14ac:dyDescent="0.25">
      <c r="A1108" s="10"/>
      <c r="B1108" s="10"/>
      <c r="C1108" s="10" t="s">
        <v>256</v>
      </c>
      <c r="D1108" s="12"/>
      <c r="E1108" s="11"/>
      <c r="F1108" s="14">
        <v>30.71</v>
      </c>
      <c r="G1108" s="13" t="s">
        <v>460</v>
      </c>
      <c r="H1108" s="11">
        <v>1</v>
      </c>
      <c r="I1108" s="14">
        <v>83.06</v>
      </c>
      <c r="J1108" s="11">
        <v>57.05</v>
      </c>
      <c r="K1108" s="14">
        <v>4738.57</v>
      </c>
    </row>
    <row r="1109" spans="1:11" ht="14.5" x14ac:dyDescent="0.25">
      <c r="A1109" s="10"/>
      <c r="B1109" s="10"/>
      <c r="C1109" s="10" t="s">
        <v>257</v>
      </c>
      <c r="D1109" s="12"/>
      <c r="E1109" s="11"/>
      <c r="F1109" s="14">
        <v>2.14</v>
      </c>
      <c r="G1109" s="13" t="s">
        <v>461</v>
      </c>
      <c r="H1109" s="11">
        <v>1</v>
      </c>
      <c r="I1109" s="14">
        <v>6.29</v>
      </c>
      <c r="J1109" s="11">
        <v>46.8</v>
      </c>
      <c r="K1109" s="14">
        <v>294.37</v>
      </c>
    </row>
    <row r="1110" spans="1:11" ht="14.5" x14ac:dyDescent="0.25">
      <c r="A1110" s="10"/>
      <c r="B1110" s="10"/>
      <c r="C1110" s="10" t="s">
        <v>258</v>
      </c>
      <c r="D1110" s="12"/>
      <c r="E1110" s="11"/>
      <c r="F1110" s="14">
        <v>1.45</v>
      </c>
      <c r="G1110" s="13" t="s">
        <v>461</v>
      </c>
      <c r="H1110" s="11">
        <v>1</v>
      </c>
      <c r="I1110" s="16">
        <v>4.26</v>
      </c>
      <c r="J1110" s="11">
        <v>57.05</v>
      </c>
      <c r="K1110" s="16">
        <v>243.03</v>
      </c>
    </row>
    <row r="1111" spans="1:11" ht="14.5" x14ac:dyDescent="0.25">
      <c r="A1111" s="10" t="s">
        <v>1263</v>
      </c>
      <c r="B1111" s="10" t="s">
        <v>1489</v>
      </c>
      <c r="C1111" s="10" t="s">
        <v>1264</v>
      </c>
      <c r="D1111" s="12" t="s">
        <v>1391</v>
      </c>
      <c r="E1111" s="11">
        <v>0.88200000000000001</v>
      </c>
      <c r="F1111" s="14">
        <v>1653.47</v>
      </c>
      <c r="G1111" s="15" t="s">
        <v>1</v>
      </c>
      <c r="H1111" s="11">
        <v>1</v>
      </c>
      <c r="I1111" s="14">
        <v>1458.36</v>
      </c>
      <c r="J1111" s="11">
        <v>4.0199999999999996</v>
      </c>
      <c r="K1111" s="14">
        <v>5862.61</v>
      </c>
    </row>
    <row r="1112" spans="1:11" ht="14.5" x14ac:dyDescent="0.25">
      <c r="A1112" s="10"/>
      <c r="B1112" s="10"/>
      <c r="C1112" s="10" t="s">
        <v>260</v>
      </c>
      <c r="D1112" s="12" t="s">
        <v>261</v>
      </c>
      <c r="E1112" s="11">
        <v>101</v>
      </c>
      <c r="F1112" s="14"/>
      <c r="G1112" s="13"/>
      <c r="H1112" s="11"/>
      <c r="I1112" s="14">
        <v>88.19</v>
      </c>
      <c r="J1112" s="11">
        <v>101</v>
      </c>
      <c r="K1112" s="14">
        <v>5031.42</v>
      </c>
    </row>
    <row r="1113" spans="1:11" ht="14.5" x14ac:dyDescent="0.25">
      <c r="A1113" s="10"/>
      <c r="B1113" s="10"/>
      <c r="C1113" s="10" t="s">
        <v>262</v>
      </c>
      <c r="D1113" s="12" t="s">
        <v>261</v>
      </c>
      <c r="E1113" s="11">
        <v>55</v>
      </c>
      <c r="F1113" s="14"/>
      <c r="G1113" s="13"/>
      <c r="H1113" s="11"/>
      <c r="I1113" s="14">
        <v>48.03</v>
      </c>
      <c r="J1113" s="11">
        <v>55</v>
      </c>
      <c r="K1113" s="14">
        <v>2739.88</v>
      </c>
    </row>
    <row r="1114" spans="1:11" ht="14.5" x14ac:dyDescent="0.25">
      <c r="A1114" s="17"/>
      <c r="B1114" s="17"/>
      <c r="C1114" s="17" t="s">
        <v>263</v>
      </c>
      <c r="D1114" s="18" t="s">
        <v>264</v>
      </c>
      <c r="E1114" s="19">
        <v>2.0499999999999998</v>
      </c>
      <c r="F1114" s="20"/>
      <c r="G1114" s="37" t="s">
        <v>460</v>
      </c>
      <c r="H1114" s="19">
        <v>1</v>
      </c>
      <c r="I1114" s="20">
        <v>5.54</v>
      </c>
      <c r="J1114" s="19"/>
      <c r="K1114" s="20"/>
    </row>
    <row r="1115" spans="1:11" ht="14" x14ac:dyDescent="0.25">
      <c r="C1115" s="22" t="s">
        <v>265</v>
      </c>
      <c r="H1115" s="143">
        <v>1683.93</v>
      </c>
      <c r="I1115" s="143"/>
      <c r="J1115" s="143">
        <v>18666.849999999999</v>
      </c>
      <c r="K1115" s="143"/>
    </row>
    <row r="1116" spans="1:11" ht="14" x14ac:dyDescent="0.25">
      <c r="C1116" s="22" t="s">
        <v>267</v>
      </c>
      <c r="H1116" s="141">
        <v>1683.93</v>
      </c>
      <c r="I1116" s="141"/>
      <c r="J1116" s="141">
        <v>18666.849999999999</v>
      </c>
      <c r="K1116" s="141"/>
    </row>
    <row r="1118" spans="1:11" ht="70" x14ac:dyDescent="0.25">
      <c r="A1118" s="10">
        <v>89</v>
      </c>
      <c r="B1118" s="10" t="s">
        <v>1490</v>
      </c>
      <c r="C1118" s="10" t="s">
        <v>1265</v>
      </c>
      <c r="D1118" s="12" t="s">
        <v>838</v>
      </c>
      <c r="E1118" s="11">
        <v>4.9000000000000002E-2</v>
      </c>
      <c r="F1118" s="14"/>
      <c r="G1118" s="13"/>
      <c r="H1118" s="11"/>
      <c r="I1118" s="14"/>
      <c r="J1118" s="11"/>
      <c r="K1118" s="14"/>
    </row>
    <row r="1119" spans="1:11" x14ac:dyDescent="0.25">
      <c r="C1119" s="23" t="s">
        <v>1491</v>
      </c>
    </row>
    <row r="1120" spans="1:11" ht="14.5" x14ac:dyDescent="0.25">
      <c r="A1120" s="10"/>
      <c r="B1120" s="10"/>
      <c r="C1120" s="10" t="s">
        <v>256</v>
      </c>
      <c r="D1120" s="12"/>
      <c r="E1120" s="11"/>
      <c r="F1120" s="14">
        <v>1013.05</v>
      </c>
      <c r="G1120" s="13" t="s">
        <v>460</v>
      </c>
      <c r="H1120" s="11">
        <v>1</v>
      </c>
      <c r="I1120" s="14">
        <v>68.5</v>
      </c>
      <c r="J1120" s="11">
        <v>57.05</v>
      </c>
      <c r="K1120" s="14">
        <v>3907.93</v>
      </c>
    </row>
    <row r="1121" spans="1:11" ht="14.5" x14ac:dyDescent="0.25">
      <c r="A1121" s="10"/>
      <c r="B1121" s="10"/>
      <c r="C1121" s="10" t="s">
        <v>257</v>
      </c>
      <c r="D1121" s="12"/>
      <c r="E1121" s="11"/>
      <c r="F1121" s="14">
        <v>77.48</v>
      </c>
      <c r="G1121" s="13" t="s">
        <v>461</v>
      </c>
      <c r="H1121" s="11">
        <v>1</v>
      </c>
      <c r="I1121" s="14">
        <v>5.69</v>
      </c>
      <c r="J1121" s="11">
        <v>19.29</v>
      </c>
      <c r="K1121" s="14">
        <v>109.76</v>
      </c>
    </row>
    <row r="1122" spans="1:11" ht="14.5" x14ac:dyDescent="0.25">
      <c r="A1122" s="10"/>
      <c r="B1122" s="10"/>
      <c r="C1122" s="10" t="s">
        <v>258</v>
      </c>
      <c r="D1122" s="12"/>
      <c r="E1122" s="11"/>
      <c r="F1122" s="14">
        <v>13.63</v>
      </c>
      <c r="G1122" s="13" t="s">
        <v>461</v>
      </c>
      <c r="H1122" s="11">
        <v>1</v>
      </c>
      <c r="I1122" s="16">
        <v>1</v>
      </c>
      <c r="J1122" s="11">
        <v>57.05</v>
      </c>
      <c r="K1122" s="16">
        <v>57.05</v>
      </c>
    </row>
    <row r="1123" spans="1:11" ht="14.5" x14ac:dyDescent="0.25">
      <c r="A1123" s="10"/>
      <c r="B1123" s="10"/>
      <c r="C1123" s="10" t="s">
        <v>259</v>
      </c>
      <c r="D1123" s="12"/>
      <c r="E1123" s="11"/>
      <c r="F1123" s="14">
        <v>7.2</v>
      </c>
      <c r="G1123" s="13"/>
      <c r="H1123" s="11">
        <v>1</v>
      </c>
      <c r="I1123" s="14">
        <v>0.35</v>
      </c>
      <c r="J1123" s="11">
        <v>4.37</v>
      </c>
      <c r="K1123" s="14">
        <v>1.53</v>
      </c>
    </row>
    <row r="1124" spans="1:11" ht="28" x14ac:dyDescent="0.25">
      <c r="A1124" s="10" t="s">
        <v>164</v>
      </c>
      <c r="B1124" s="10" t="s">
        <v>1397</v>
      </c>
      <c r="C1124" s="10" t="s">
        <v>1145</v>
      </c>
      <c r="D1124" s="12" t="s">
        <v>34</v>
      </c>
      <c r="E1124" s="11">
        <v>0.56791000000000003</v>
      </c>
      <c r="F1124" s="14">
        <v>7.17</v>
      </c>
      <c r="G1124" s="15" t="s">
        <v>1</v>
      </c>
      <c r="H1124" s="11">
        <v>1</v>
      </c>
      <c r="I1124" s="14">
        <v>4.07</v>
      </c>
      <c r="J1124" s="11">
        <v>9.98</v>
      </c>
      <c r="K1124" s="14">
        <v>40.619999999999997</v>
      </c>
    </row>
    <row r="1125" spans="1:11" ht="70" x14ac:dyDescent="0.25">
      <c r="A1125" s="10" t="s">
        <v>1266</v>
      </c>
      <c r="B1125" s="10" t="s">
        <v>1382</v>
      </c>
      <c r="C1125" s="10" t="s">
        <v>1130</v>
      </c>
      <c r="D1125" s="12" t="s">
        <v>9</v>
      </c>
      <c r="E1125" s="11">
        <v>0.68600000000000005</v>
      </c>
      <c r="F1125" s="14">
        <v>17.649999999999999</v>
      </c>
      <c r="G1125" s="15" t="s">
        <v>1</v>
      </c>
      <c r="H1125" s="11">
        <v>1</v>
      </c>
      <c r="I1125" s="14">
        <v>12.11</v>
      </c>
      <c r="J1125" s="11">
        <v>5.44</v>
      </c>
      <c r="K1125" s="14">
        <v>65.88</v>
      </c>
    </row>
    <row r="1126" spans="1:11" ht="98" x14ac:dyDescent="0.25">
      <c r="A1126" s="10" t="s">
        <v>1267</v>
      </c>
      <c r="B1126" s="10" t="s">
        <v>1398</v>
      </c>
      <c r="C1126" s="10" t="s">
        <v>1146</v>
      </c>
      <c r="D1126" s="12" t="s">
        <v>28</v>
      </c>
      <c r="E1126" s="11">
        <v>2.9399999999999999E-3</v>
      </c>
      <c r="F1126" s="14">
        <v>5978.05</v>
      </c>
      <c r="G1126" s="15" t="s">
        <v>1</v>
      </c>
      <c r="H1126" s="11">
        <v>1</v>
      </c>
      <c r="I1126" s="14">
        <v>17.579999999999998</v>
      </c>
      <c r="J1126" s="11">
        <v>16.07</v>
      </c>
      <c r="K1126" s="14">
        <v>282.51</v>
      </c>
    </row>
    <row r="1127" spans="1:11" ht="56" x14ac:dyDescent="0.25">
      <c r="A1127" s="10" t="s">
        <v>1268</v>
      </c>
      <c r="B1127" s="10" t="s">
        <v>1403</v>
      </c>
      <c r="C1127" s="10" t="s">
        <v>1156</v>
      </c>
      <c r="D1127" s="12" t="s">
        <v>28</v>
      </c>
      <c r="E1127" s="11">
        <v>3.5316E-2</v>
      </c>
      <c r="F1127" s="14">
        <v>1416.73</v>
      </c>
      <c r="G1127" s="15" t="s">
        <v>1</v>
      </c>
      <c r="H1127" s="11">
        <v>1</v>
      </c>
      <c r="I1127" s="14">
        <v>50.03</v>
      </c>
      <c r="J1127" s="11">
        <v>22.03</v>
      </c>
      <c r="K1127" s="14">
        <v>1102.1600000000001</v>
      </c>
    </row>
    <row r="1128" spans="1:11" ht="70" x14ac:dyDescent="0.25">
      <c r="A1128" s="10" t="s">
        <v>1269</v>
      </c>
      <c r="B1128" s="10" t="s">
        <v>1399</v>
      </c>
      <c r="C1128" s="10" t="s">
        <v>1148</v>
      </c>
      <c r="D1128" s="12" t="s">
        <v>227</v>
      </c>
      <c r="E1128" s="11">
        <v>5.2919999999999998</v>
      </c>
      <c r="F1128" s="14">
        <v>186.36</v>
      </c>
      <c r="G1128" s="15" t="s">
        <v>1</v>
      </c>
      <c r="H1128" s="11">
        <v>1</v>
      </c>
      <c r="I1128" s="14">
        <v>986.22</v>
      </c>
      <c r="J1128" s="11">
        <v>7.41</v>
      </c>
      <c r="K1128" s="14">
        <v>7307.89</v>
      </c>
    </row>
    <row r="1129" spans="1:11" ht="14.5" x14ac:dyDescent="0.25">
      <c r="A1129" s="10"/>
      <c r="B1129" s="10"/>
      <c r="C1129" s="10" t="s">
        <v>260</v>
      </c>
      <c r="D1129" s="12" t="s">
        <v>261</v>
      </c>
      <c r="E1129" s="11">
        <v>101</v>
      </c>
      <c r="F1129" s="14"/>
      <c r="G1129" s="13"/>
      <c r="H1129" s="11"/>
      <c r="I1129" s="14">
        <v>70.2</v>
      </c>
      <c r="J1129" s="11">
        <v>101</v>
      </c>
      <c r="K1129" s="14">
        <v>4004.63</v>
      </c>
    </row>
    <row r="1130" spans="1:11" ht="14.5" x14ac:dyDescent="0.25">
      <c r="A1130" s="10"/>
      <c r="B1130" s="10"/>
      <c r="C1130" s="10" t="s">
        <v>262</v>
      </c>
      <c r="D1130" s="12" t="s">
        <v>261</v>
      </c>
      <c r="E1130" s="11">
        <v>55</v>
      </c>
      <c r="F1130" s="14"/>
      <c r="G1130" s="13"/>
      <c r="H1130" s="11"/>
      <c r="I1130" s="14">
        <v>38.229999999999997</v>
      </c>
      <c r="J1130" s="11">
        <v>55</v>
      </c>
      <c r="K1130" s="14">
        <v>2180.7399999999998</v>
      </c>
    </row>
    <row r="1131" spans="1:11" ht="14.5" x14ac:dyDescent="0.25">
      <c r="A1131" s="17"/>
      <c r="B1131" s="17"/>
      <c r="C1131" s="17" t="s">
        <v>263</v>
      </c>
      <c r="D1131" s="18" t="s">
        <v>264</v>
      </c>
      <c r="E1131" s="19">
        <v>61.6</v>
      </c>
      <c r="F1131" s="20"/>
      <c r="G1131" s="37" t="s">
        <v>460</v>
      </c>
      <c r="H1131" s="19">
        <v>1</v>
      </c>
      <c r="I1131" s="20">
        <v>4.17</v>
      </c>
      <c r="J1131" s="19"/>
      <c r="K1131" s="20"/>
    </row>
    <row r="1132" spans="1:11" ht="14" x14ac:dyDescent="0.25">
      <c r="C1132" s="22" t="s">
        <v>265</v>
      </c>
      <c r="H1132" s="143">
        <v>1252.98</v>
      </c>
      <c r="I1132" s="143"/>
      <c r="J1132" s="143">
        <v>19003.650000000001</v>
      </c>
      <c r="K1132" s="143"/>
    </row>
    <row r="1133" spans="1:11" ht="14" x14ac:dyDescent="0.25">
      <c r="C1133" s="22" t="s">
        <v>267</v>
      </c>
      <c r="H1133" s="141">
        <v>1252.98</v>
      </c>
      <c r="I1133" s="141"/>
      <c r="J1133" s="141">
        <v>19003.650000000001</v>
      </c>
      <c r="K1133" s="141"/>
    </row>
    <row r="1135" spans="1:11" ht="56" x14ac:dyDescent="0.25">
      <c r="A1135" s="10">
        <v>90</v>
      </c>
      <c r="B1135" s="10" t="s">
        <v>1445</v>
      </c>
      <c r="C1135" s="10" t="s">
        <v>1191</v>
      </c>
      <c r="D1135" s="12" t="s">
        <v>838</v>
      </c>
      <c r="E1135" s="11">
        <v>4.9000000000000002E-2</v>
      </c>
      <c r="F1135" s="14"/>
      <c r="G1135" s="13"/>
      <c r="H1135" s="11"/>
      <c r="I1135" s="14"/>
      <c r="J1135" s="11"/>
      <c r="K1135" s="14"/>
    </row>
    <row r="1136" spans="1:11" x14ac:dyDescent="0.25">
      <c r="C1136" s="23" t="s">
        <v>1491</v>
      </c>
    </row>
    <row r="1137" spans="1:11" ht="28" x14ac:dyDescent="0.25">
      <c r="A1137" s="10"/>
      <c r="B1137" s="10"/>
      <c r="C1137" s="10" t="s">
        <v>256</v>
      </c>
      <c r="D1137" s="12"/>
      <c r="E1137" s="11"/>
      <c r="F1137" s="14">
        <v>13.94</v>
      </c>
      <c r="G1137" s="13" t="s">
        <v>1192</v>
      </c>
      <c r="H1137" s="11">
        <v>1</v>
      </c>
      <c r="I1137" s="14">
        <v>4.71</v>
      </c>
      <c r="J1137" s="11">
        <v>57.05</v>
      </c>
      <c r="K1137" s="14">
        <v>268.70999999999998</v>
      </c>
    </row>
    <row r="1138" spans="1:11" ht="28" x14ac:dyDescent="0.25">
      <c r="A1138" s="10"/>
      <c r="B1138" s="10"/>
      <c r="C1138" s="10" t="s">
        <v>257</v>
      </c>
      <c r="D1138" s="12"/>
      <c r="E1138" s="11"/>
      <c r="F1138" s="14">
        <v>3.59</v>
      </c>
      <c r="G1138" s="13" t="s">
        <v>1193</v>
      </c>
      <c r="H1138" s="11">
        <v>1</v>
      </c>
      <c r="I1138" s="14">
        <v>1.32</v>
      </c>
      <c r="J1138" s="11">
        <v>19.37</v>
      </c>
      <c r="K1138" s="14">
        <v>25.57</v>
      </c>
    </row>
    <row r="1139" spans="1:11" ht="28" x14ac:dyDescent="0.25">
      <c r="A1139" s="10"/>
      <c r="B1139" s="10"/>
      <c r="C1139" s="10" t="s">
        <v>258</v>
      </c>
      <c r="D1139" s="12"/>
      <c r="E1139" s="11"/>
      <c r="F1139" s="14">
        <v>0.63</v>
      </c>
      <c r="G1139" s="13" t="s">
        <v>1193</v>
      </c>
      <c r="H1139" s="11">
        <v>1</v>
      </c>
      <c r="I1139" s="16">
        <v>0.23</v>
      </c>
      <c r="J1139" s="11">
        <v>57.05</v>
      </c>
      <c r="K1139" s="16">
        <v>13.12</v>
      </c>
    </row>
    <row r="1140" spans="1:11" ht="14.5" x14ac:dyDescent="0.25">
      <c r="A1140" s="10"/>
      <c r="B1140" s="10"/>
      <c r="C1140" s="10" t="s">
        <v>259</v>
      </c>
      <c r="D1140" s="12"/>
      <c r="E1140" s="11"/>
      <c r="F1140" s="14">
        <v>0.21</v>
      </c>
      <c r="G1140" s="13">
        <v>5</v>
      </c>
      <c r="H1140" s="11">
        <v>1</v>
      </c>
      <c r="I1140" s="14">
        <v>0.05</v>
      </c>
      <c r="J1140" s="11">
        <v>7.81</v>
      </c>
      <c r="K1140" s="14">
        <v>0.39</v>
      </c>
    </row>
    <row r="1141" spans="1:11" ht="56" x14ac:dyDescent="0.25">
      <c r="A1141" s="10" t="s">
        <v>1270</v>
      </c>
      <c r="B1141" s="10" t="s">
        <v>1403</v>
      </c>
      <c r="C1141" s="10" t="s">
        <v>1156</v>
      </c>
      <c r="D1141" s="12" t="s">
        <v>28</v>
      </c>
      <c r="E1141" s="11">
        <v>3.5317000000000001E-2</v>
      </c>
      <c r="F1141" s="14">
        <v>1416.73</v>
      </c>
      <c r="G1141" s="15" t="s">
        <v>1195</v>
      </c>
      <c r="H1141" s="11">
        <v>1</v>
      </c>
      <c r="I1141" s="14">
        <v>50.03</v>
      </c>
      <c r="J1141" s="11">
        <v>22.03</v>
      </c>
      <c r="K1141" s="14">
        <v>1102.1600000000001</v>
      </c>
    </row>
    <row r="1142" spans="1:11" ht="14.5" x14ac:dyDescent="0.25">
      <c r="A1142" s="10"/>
      <c r="B1142" s="10"/>
      <c r="C1142" s="10" t="s">
        <v>260</v>
      </c>
      <c r="D1142" s="12" t="s">
        <v>261</v>
      </c>
      <c r="E1142" s="11">
        <v>101</v>
      </c>
      <c r="F1142" s="14"/>
      <c r="G1142" s="13"/>
      <c r="H1142" s="11"/>
      <c r="I1142" s="14">
        <v>4.99</v>
      </c>
      <c r="J1142" s="11">
        <v>101</v>
      </c>
      <c r="K1142" s="14">
        <v>284.64999999999998</v>
      </c>
    </row>
    <row r="1143" spans="1:11" ht="14.5" x14ac:dyDescent="0.25">
      <c r="A1143" s="10"/>
      <c r="B1143" s="10"/>
      <c r="C1143" s="10" t="s">
        <v>262</v>
      </c>
      <c r="D1143" s="12" t="s">
        <v>261</v>
      </c>
      <c r="E1143" s="11">
        <v>55</v>
      </c>
      <c r="F1143" s="14"/>
      <c r="G1143" s="13"/>
      <c r="H1143" s="11"/>
      <c r="I1143" s="14">
        <v>2.72</v>
      </c>
      <c r="J1143" s="11">
        <v>55</v>
      </c>
      <c r="K1143" s="14">
        <v>155.01</v>
      </c>
    </row>
    <row r="1144" spans="1:11" ht="28" x14ac:dyDescent="0.25">
      <c r="A1144" s="17"/>
      <c r="B1144" s="17"/>
      <c r="C1144" s="17" t="s">
        <v>263</v>
      </c>
      <c r="D1144" s="18" t="s">
        <v>264</v>
      </c>
      <c r="E1144" s="19">
        <v>0.91</v>
      </c>
      <c r="F1144" s="20"/>
      <c r="G1144" s="37" t="s">
        <v>1192</v>
      </c>
      <c r="H1144" s="19">
        <v>1</v>
      </c>
      <c r="I1144" s="20">
        <v>0.31</v>
      </c>
      <c r="J1144" s="19"/>
      <c r="K1144" s="20"/>
    </row>
    <row r="1145" spans="1:11" ht="14" x14ac:dyDescent="0.25">
      <c r="C1145" s="22" t="s">
        <v>265</v>
      </c>
      <c r="H1145" s="143">
        <v>63.82</v>
      </c>
      <c r="I1145" s="143"/>
      <c r="J1145" s="143">
        <v>1836.49</v>
      </c>
      <c r="K1145" s="143"/>
    </row>
    <row r="1146" spans="1:11" ht="14" x14ac:dyDescent="0.25">
      <c r="C1146" s="22" t="s">
        <v>267</v>
      </c>
      <c r="H1146" s="141">
        <v>63.82</v>
      </c>
      <c r="I1146" s="141"/>
      <c r="J1146" s="141">
        <v>1836.49</v>
      </c>
      <c r="K1146" s="141"/>
    </row>
    <row r="1149" spans="1:11" ht="14" x14ac:dyDescent="0.3">
      <c r="A1149" s="140" t="s">
        <v>1492</v>
      </c>
      <c r="B1149" s="140"/>
      <c r="C1149" s="140"/>
      <c r="D1149" s="140"/>
      <c r="E1149" s="140"/>
      <c r="F1149" s="140"/>
      <c r="G1149" s="140"/>
      <c r="H1149" s="141">
        <v>4139.32</v>
      </c>
      <c r="I1149" s="142"/>
      <c r="J1149" s="141">
        <v>59889.36</v>
      </c>
      <c r="K1149" s="142"/>
    </row>
    <row r="1151" spans="1:11" ht="16.5" x14ac:dyDescent="0.25">
      <c r="A1151" s="144" t="s">
        <v>1493</v>
      </c>
      <c r="B1151" s="144"/>
      <c r="C1151" s="144"/>
      <c r="D1151" s="144"/>
      <c r="E1151" s="144"/>
      <c r="F1151" s="144"/>
      <c r="G1151" s="144"/>
      <c r="H1151" s="144"/>
      <c r="I1151" s="144"/>
      <c r="J1151" s="144"/>
      <c r="K1151" s="144"/>
    </row>
    <row r="1152" spans="1:11" ht="56" x14ac:dyDescent="0.25">
      <c r="A1152" s="10">
        <v>91</v>
      </c>
      <c r="B1152" s="10" t="s">
        <v>1494</v>
      </c>
      <c r="C1152" s="10" t="s">
        <v>1271</v>
      </c>
      <c r="D1152" s="12" t="s">
        <v>838</v>
      </c>
      <c r="E1152" s="11">
        <v>4.0289999999999999</v>
      </c>
      <c r="F1152" s="14"/>
      <c r="G1152" s="13"/>
      <c r="H1152" s="11"/>
      <c r="I1152" s="14"/>
      <c r="J1152" s="11"/>
      <c r="K1152" s="14"/>
    </row>
    <row r="1153" spans="1:11" x14ac:dyDescent="0.25">
      <c r="C1153" s="23" t="s">
        <v>1495</v>
      </c>
    </row>
    <row r="1154" spans="1:11" ht="14.5" x14ac:dyDescent="0.25">
      <c r="A1154" s="10"/>
      <c r="B1154" s="10"/>
      <c r="C1154" s="10" t="s">
        <v>256</v>
      </c>
      <c r="D1154" s="12"/>
      <c r="E1154" s="11"/>
      <c r="F1154" s="14">
        <v>463.75</v>
      </c>
      <c r="G1154" s="13" t="s">
        <v>460</v>
      </c>
      <c r="H1154" s="11">
        <v>1</v>
      </c>
      <c r="I1154" s="14">
        <v>2578.46</v>
      </c>
      <c r="J1154" s="11">
        <v>57.05</v>
      </c>
      <c r="K1154" s="14">
        <v>147101.14000000001</v>
      </c>
    </row>
    <row r="1155" spans="1:11" ht="14.5" x14ac:dyDescent="0.25">
      <c r="A1155" s="10"/>
      <c r="B1155" s="10"/>
      <c r="C1155" s="10" t="s">
        <v>257</v>
      </c>
      <c r="D1155" s="12"/>
      <c r="E1155" s="11"/>
      <c r="F1155" s="14">
        <v>6.21</v>
      </c>
      <c r="G1155" s="13" t="s">
        <v>461</v>
      </c>
      <c r="H1155" s="11">
        <v>1</v>
      </c>
      <c r="I1155" s="14">
        <v>37.53</v>
      </c>
      <c r="J1155" s="11">
        <v>17.2</v>
      </c>
      <c r="K1155" s="14">
        <v>645.52</v>
      </c>
    </row>
    <row r="1156" spans="1:11" ht="14.5" x14ac:dyDescent="0.25">
      <c r="A1156" s="10"/>
      <c r="B1156" s="10"/>
      <c r="C1156" s="10" t="s">
        <v>258</v>
      </c>
      <c r="D1156" s="12"/>
      <c r="E1156" s="11"/>
      <c r="F1156" s="14">
        <v>0.88</v>
      </c>
      <c r="G1156" s="13" t="s">
        <v>461</v>
      </c>
      <c r="H1156" s="11">
        <v>1</v>
      </c>
      <c r="I1156" s="16">
        <v>5.32</v>
      </c>
      <c r="J1156" s="11">
        <v>57.05</v>
      </c>
      <c r="K1156" s="16">
        <v>303.51</v>
      </c>
    </row>
    <row r="1157" spans="1:11" ht="14.5" x14ac:dyDescent="0.25">
      <c r="A1157" s="10"/>
      <c r="B1157" s="10"/>
      <c r="C1157" s="10" t="s">
        <v>259</v>
      </c>
      <c r="D1157" s="12"/>
      <c r="E1157" s="11"/>
      <c r="F1157" s="14">
        <v>41.9</v>
      </c>
      <c r="G1157" s="13"/>
      <c r="H1157" s="11">
        <v>1</v>
      </c>
      <c r="I1157" s="14">
        <v>168.82</v>
      </c>
      <c r="J1157" s="11">
        <v>2.0699999999999998</v>
      </c>
      <c r="K1157" s="14">
        <v>349.46</v>
      </c>
    </row>
    <row r="1158" spans="1:11" ht="112" x14ac:dyDescent="0.25">
      <c r="A1158" s="10" t="s">
        <v>1272</v>
      </c>
      <c r="B1158" s="10" t="s">
        <v>1381</v>
      </c>
      <c r="C1158" s="10" t="s">
        <v>1128</v>
      </c>
      <c r="D1158" s="12" t="s">
        <v>28</v>
      </c>
      <c r="E1158" s="11">
        <v>9.0329999999999994E-2</v>
      </c>
      <c r="F1158" s="14">
        <v>26842.89</v>
      </c>
      <c r="G1158" s="15" t="s">
        <v>1</v>
      </c>
      <c r="H1158" s="11">
        <v>1</v>
      </c>
      <c r="I1158" s="14">
        <v>2424.7199999999998</v>
      </c>
      <c r="J1158" s="11">
        <v>8.9700000000000006</v>
      </c>
      <c r="K1158" s="14">
        <v>21749.74</v>
      </c>
    </row>
    <row r="1159" spans="1:11" ht="70" x14ac:dyDescent="0.25">
      <c r="A1159" s="10" t="s">
        <v>1273</v>
      </c>
      <c r="B1159" s="10" t="s">
        <v>1382</v>
      </c>
      <c r="C1159" s="10" t="s">
        <v>1130</v>
      </c>
      <c r="D1159" s="12" t="s">
        <v>9</v>
      </c>
      <c r="E1159" s="11">
        <v>114.42359999999999</v>
      </c>
      <c r="F1159" s="14">
        <v>17.649999999999999</v>
      </c>
      <c r="G1159" s="15" t="s">
        <v>1</v>
      </c>
      <c r="H1159" s="11">
        <v>1</v>
      </c>
      <c r="I1159" s="14">
        <v>2019.58</v>
      </c>
      <c r="J1159" s="11">
        <v>5.44</v>
      </c>
      <c r="K1159" s="14">
        <v>10986.52</v>
      </c>
    </row>
    <row r="1160" spans="1:11" ht="112" x14ac:dyDescent="0.25">
      <c r="A1160" s="10" t="s">
        <v>1274</v>
      </c>
      <c r="B1160" s="10" t="s">
        <v>1496</v>
      </c>
      <c r="C1160" s="10" t="s">
        <v>1275</v>
      </c>
      <c r="D1160" s="12" t="s">
        <v>9</v>
      </c>
      <c r="E1160" s="11">
        <v>312.32808</v>
      </c>
      <c r="F1160" s="14">
        <v>3.91</v>
      </c>
      <c r="G1160" s="15" t="s">
        <v>1</v>
      </c>
      <c r="H1160" s="11">
        <v>1</v>
      </c>
      <c r="I1160" s="14">
        <v>1221.2</v>
      </c>
      <c r="J1160" s="11">
        <v>3.64</v>
      </c>
      <c r="K1160" s="14">
        <v>4445.17</v>
      </c>
    </row>
    <row r="1161" spans="1:11" ht="14.5" x14ac:dyDescent="0.25">
      <c r="A1161" s="10"/>
      <c r="B1161" s="10"/>
      <c r="C1161" s="10" t="s">
        <v>260</v>
      </c>
      <c r="D1161" s="12" t="s">
        <v>261</v>
      </c>
      <c r="E1161" s="11">
        <v>90</v>
      </c>
      <c r="F1161" s="14"/>
      <c r="G1161" s="13"/>
      <c r="H1161" s="11"/>
      <c r="I1161" s="14">
        <v>2325.4</v>
      </c>
      <c r="J1161" s="11">
        <v>90</v>
      </c>
      <c r="K1161" s="14">
        <v>132664.19</v>
      </c>
    </row>
    <row r="1162" spans="1:11" ht="14.5" x14ac:dyDescent="0.25">
      <c r="A1162" s="10"/>
      <c r="B1162" s="10"/>
      <c r="C1162" s="10" t="s">
        <v>262</v>
      </c>
      <c r="D1162" s="12" t="s">
        <v>261</v>
      </c>
      <c r="E1162" s="11">
        <v>42</v>
      </c>
      <c r="F1162" s="14"/>
      <c r="G1162" s="13"/>
      <c r="H1162" s="11"/>
      <c r="I1162" s="14">
        <v>1085.19</v>
      </c>
      <c r="J1162" s="11">
        <v>42</v>
      </c>
      <c r="K1162" s="14">
        <v>61909.95</v>
      </c>
    </row>
    <row r="1163" spans="1:11" ht="14.5" x14ac:dyDescent="0.25">
      <c r="A1163" s="17"/>
      <c r="B1163" s="17"/>
      <c r="C1163" s="17" t="s">
        <v>263</v>
      </c>
      <c r="D1163" s="18" t="s">
        <v>264</v>
      </c>
      <c r="E1163" s="19">
        <v>30.07</v>
      </c>
      <c r="F1163" s="20"/>
      <c r="G1163" s="37" t="s">
        <v>460</v>
      </c>
      <c r="H1163" s="19">
        <v>1</v>
      </c>
      <c r="I1163" s="20">
        <v>167.19</v>
      </c>
      <c r="J1163" s="19"/>
      <c r="K1163" s="20"/>
    </row>
    <row r="1164" spans="1:11" ht="14" x14ac:dyDescent="0.25">
      <c r="C1164" s="22" t="s">
        <v>265</v>
      </c>
      <c r="H1164" s="143">
        <v>11860.9</v>
      </c>
      <c r="I1164" s="143"/>
      <c r="J1164" s="143">
        <v>379851.69</v>
      </c>
      <c r="K1164" s="143"/>
    </row>
    <row r="1165" spans="1:11" ht="14" x14ac:dyDescent="0.25">
      <c r="C1165" s="22" t="s">
        <v>267</v>
      </c>
      <c r="H1165" s="141">
        <v>11860.9</v>
      </c>
      <c r="I1165" s="141"/>
      <c r="J1165" s="141">
        <v>379851.69</v>
      </c>
      <c r="K1165" s="141"/>
    </row>
    <row r="1167" spans="1:11" ht="28" x14ac:dyDescent="0.25">
      <c r="A1167" s="10">
        <v>92</v>
      </c>
      <c r="B1167" s="10" t="s">
        <v>1497</v>
      </c>
      <c r="C1167" s="10" t="s">
        <v>1276</v>
      </c>
      <c r="D1167" s="12" t="s">
        <v>838</v>
      </c>
      <c r="E1167" s="11">
        <v>0.112</v>
      </c>
      <c r="F1167" s="14"/>
      <c r="G1167" s="13"/>
      <c r="H1167" s="11"/>
      <c r="I1167" s="14"/>
      <c r="J1167" s="11"/>
      <c r="K1167" s="14"/>
    </row>
    <row r="1168" spans="1:11" x14ac:dyDescent="0.25">
      <c r="C1168" s="23" t="s">
        <v>1498</v>
      </c>
    </row>
    <row r="1169" spans="1:11" ht="14.5" x14ac:dyDescent="0.25">
      <c r="A1169" s="10"/>
      <c r="B1169" s="10"/>
      <c r="C1169" s="10" t="s">
        <v>256</v>
      </c>
      <c r="D1169" s="12"/>
      <c r="E1169" s="11"/>
      <c r="F1169" s="14">
        <v>1785.99</v>
      </c>
      <c r="G1169" s="13" t="s">
        <v>460</v>
      </c>
      <c r="H1169" s="11">
        <v>1</v>
      </c>
      <c r="I1169" s="14">
        <v>276.04000000000002</v>
      </c>
      <c r="J1169" s="11">
        <v>57.05</v>
      </c>
      <c r="K1169" s="14">
        <v>15748.08</v>
      </c>
    </row>
    <row r="1170" spans="1:11" ht="14.5" x14ac:dyDescent="0.25">
      <c r="A1170" s="10"/>
      <c r="B1170" s="10"/>
      <c r="C1170" s="10" t="s">
        <v>257</v>
      </c>
      <c r="D1170" s="12"/>
      <c r="E1170" s="11"/>
      <c r="F1170" s="14">
        <v>121.23</v>
      </c>
      <c r="G1170" s="13" t="s">
        <v>461</v>
      </c>
      <c r="H1170" s="11">
        <v>1</v>
      </c>
      <c r="I1170" s="14">
        <v>20.37</v>
      </c>
      <c r="J1170" s="11">
        <v>13.01</v>
      </c>
      <c r="K1170" s="14">
        <v>265.01</v>
      </c>
    </row>
    <row r="1171" spans="1:11" ht="14.5" x14ac:dyDescent="0.25">
      <c r="A1171" s="10"/>
      <c r="B1171" s="10"/>
      <c r="C1171" s="10" t="s">
        <v>258</v>
      </c>
      <c r="D1171" s="12"/>
      <c r="E1171" s="11"/>
      <c r="F1171" s="14">
        <v>6</v>
      </c>
      <c r="G1171" s="13" t="s">
        <v>461</v>
      </c>
      <c r="H1171" s="11">
        <v>1</v>
      </c>
      <c r="I1171" s="16">
        <v>1.01</v>
      </c>
      <c r="J1171" s="11">
        <v>57.05</v>
      </c>
      <c r="K1171" s="16">
        <v>57.62</v>
      </c>
    </row>
    <row r="1172" spans="1:11" ht="56" x14ac:dyDescent="0.25">
      <c r="A1172" s="10" t="s">
        <v>166</v>
      </c>
      <c r="B1172" s="10" t="s">
        <v>1499</v>
      </c>
      <c r="C1172" s="10" t="s">
        <v>1277</v>
      </c>
      <c r="D1172" s="12" t="s">
        <v>227</v>
      </c>
      <c r="E1172" s="11">
        <v>12.32</v>
      </c>
      <c r="F1172" s="14">
        <v>97.98</v>
      </c>
      <c r="G1172" s="15" t="s">
        <v>1</v>
      </c>
      <c r="H1172" s="11">
        <v>1</v>
      </c>
      <c r="I1172" s="14">
        <v>1207.1099999999999</v>
      </c>
      <c r="J1172" s="11">
        <v>6.99</v>
      </c>
      <c r="K1172" s="14">
        <v>8437.7000000000007</v>
      </c>
    </row>
    <row r="1173" spans="1:11" ht="14.5" x14ac:dyDescent="0.25">
      <c r="A1173" s="10"/>
      <c r="B1173" s="10"/>
      <c r="C1173" s="10" t="s">
        <v>260</v>
      </c>
      <c r="D1173" s="12" t="s">
        <v>261</v>
      </c>
      <c r="E1173" s="11">
        <v>90</v>
      </c>
      <c r="F1173" s="14"/>
      <c r="G1173" s="13"/>
      <c r="H1173" s="11"/>
      <c r="I1173" s="14">
        <v>249.35</v>
      </c>
      <c r="J1173" s="11">
        <v>90</v>
      </c>
      <c r="K1173" s="14">
        <v>14225.13</v>
      </c>
    </row>
    <row r="1174" spans="1:11" ht="14.5" x14ac:dyDescent="0.25">
      <c r="A1174" s="10"/>
      <c r="B1174" s="10"/>
      <c r="C1174" s="10" t="s">
        <v>262</v>
      </c>
      <c r="D1174" s="12" t="s">
        <v>261</v>
      </c>
      <c r="E1174" s="11">
        <v>42</v>
      </c>
      <c r="F1174" s="14"/>
      <c r="G1174" s="13"/>
      <c r="H1174" s="11"/>
      <c r="I1174" s="14">
        <v>116.36</v>
      </c>
      <c r="J1174" s="11">
        <v>42</v>
      </c>
      <c r="K1174" s="14">
        <v>6638.39</v>
      </c>
    </row>
    <row r="1175" spans="1:11" ht="14.5" x14ac:dyDescent="0.25">
      <c r="A1175" s="17"/>
      <c r="B1175" s="17"/>
      <c r="C1175" s="17" t="s">
        <v>263</v>
      </c>
      <c r="D1175" s="18" t="s">
        <v>264</v>
      </c>
      <c r="E1175" s="19">
        <v>108.36</v>
      </c>
      <c r="F1175" s="20"/>
      <c r="G1175" s="37" t="s">
        <v>460</v>
      </c>
      <c r="H1175" s="19">
        <v>1</v>
      </c>
      <c r="I1175" s="20">
        <v>16.75</v>
      </c>
      <c r="J1175" s="19"/>
      <c r="K1175" s="20"/>
    </row>
    <row r="1176" spans="1:11" ht="14" x14ac:dyDescent="0.25">
      <c r="C1176" s="22" t="s">
        <v>265</v>
      </c>
      <c r="H1176" s="143">
        <v>1869.23</v>
      </c>
      <c r="I1176" s="143"/>
      <c r="J1176" s="143">
        <v>45314.31</v>
      </c>
      <c r="K1176" s="143"/>
    </row>
    <row r="1177" spans="1:11" ht="14" x14ac:dyDescent="0.25">
      <c r="C1177" s="22" t="s">
        <v>267</v>
      </c>
      <c r="H1177" s="141">
        <v>1869.23</v>
      </c>
      <c r="I1177" s="141"/>
      <c r="J1177" s="141">
        <v>45314.31</v>
      </c>
      <c r="K1177" s="141"/>
    </row>
    <row r="1180" spans="1:11" ht="14" x14ac:dyDescent="0.3">
      <c r="A1180" s="140" t="s">
        <v>1500</v>
      </c>
      <c r="B1180" s="140"/>
      <c r="C1180" s="140"/>
      <c r="D1180" s="140"/>
      <c r="E1180" s="140"/>
      <c r="F1180" s="140"/>
      <c r="G1180" s="140"/>
      <c r="H1180" s="141">
        <v>13730.13</v>
      </c>
      <c r="I1180" s="142"/>
      <c r="J1180" s="141">
        <v>425166</v>
      </c>
      <c r="K1180" s="142"/>
    </row>
    <row r="1182" spans="1:11" ht="16.5" x14ac:dyDescent="0.25">
      <c r="A1182" s="144" t="s">
        <v>1501</v>
      </c>
      <c r="B1182" s="144"/>
      <c r="C1182" s="144"/>
      <c r="D1182" s="144"/>
      <c r="E1182" s="144"/>
      <c r="F1182" s="144"/>
      <c r="G1182" s="144"/>
      <c r="H1182" s="144"/>
      <c r="I1182" s="144"/>
      <c r="J1182" s="144"/>
      <c r="K1182" s="144"/>
    </row>
    <row r="1183" spans="1:11" ht="42" x14ac:dyDescent="0.25">
      <c r="A1183" s="10">
        <v>93</v>
      </c>
      <c r="B1183" s="10" t="s">
        <v>1502</v>
      </c>
      <c r="C1183" s="10" t="s">
        <v>1278</v>
      </c>
      <c r="D1183" s="12" t="s">
        <v>1503</v>
      </c>
      <c r="E1183" s="11">
        <v>4.9000000000000002E-2</v>
      </c>
      <c r="F1183" s="14"/>
      <c r="G1183" s="13"/>
      <c r="H1183" s="11"/>
      <c r="I1183" s="14"/>
      <c r="J1183" s="11"/>
      <c r="K1183" s="14"/>
    </row>
    <row r="1184" spans="1:11" x14ac:dyDescent="0.25">
      <c r="C1184" s="23" t="s">
        <v>1491</v>
      </c>
    </row>
    <row r="1185" spans="1:11" ht="14.5" x14ac:dyDescent="0.25">
      <c r="A1185" s="10"/>
      <c r="B1185" s="10"/>
      <c r="C1185" s="10" t="s">
        <v>256</v>
      </c>
      <c r="D1185" s="12"/>
      <c r="E1185" s="11"/>
      <c r="F1185" s="14">
        <v>1671.52</v>
      </c>
      <c r="G1185" s="13" t="s">
        <v>460</v>
      </c>
      <c r="H1185" s="11">
        <v>1</v>
      </c>
      <c r="I1185" s="14">
        <v>113.03</v>
      </c>
      <c r="J1185" s="11">
        <v>57.05</v>
      </c>
      <c r="K1185" s="14">
        <v>6448.36</v>
      </c>
    </row>
    <row r="1186" spans="1:11" ht="14.5" x14ac:dyDescent="0.25">
      <c r="A1186" s="10"/>
      <c r="B1186" s="10"/>
      <c r="C1186" s="10" t="s">
        <v>257</v>
      </c>
      <c r="D1186" s="12"/>
      <c r="E1186" s="11"/>
      <c r="F1186" s="14">
        <v>66.319999999999993</v>
      </c>
      <c r="G1186" s="13" t="s">
        <v>461</v>
      </c>
      <c r="H1186" s="11">
        <v>1</v>
      </c>
      <c r="I1186" s="14">
        <v>4.87</v>
      </c>
      <c r="J1186" s="11">
        <v>15.46</v>
      </c>
      <c r="K1186" s="14">
        <v>75.290000000000006</v>
      </c>
    </row>
    <row r="1187" spans="1:11" ht="14.5" x14ac:dyDescent="0.25">
      <c r="A1187" s="10"/>
      <c r="B1187" s="10"/>
      <c r="C1187" s="10" t="s">
        <v>258</v>
      </c>
      <c r="D1187" s="12"/>
      <c r="E1187" s="11"/>
      <c r="F1187" s="14">
        <v>6.59</v>
      </c>
      <c r="G1187" s="13" t="s">
        <v>461</v>
      </c>
      <c r="H1187" s="11">
        <v>1</v>
      </c>
      <c r="I1187" s="16">
        <v>0.48</v>
      </c>
      <c r="J1187" s="11">
        <v>57.05</v>
      </c>
      <c r="K1187" s="16">
        <v>27.38</v>
      </c>
    </row>
    <row r="1188" spans="1:11" ht="14.5" x14ac:dyDescent="0.25">
      <c r="A1188" s="10"/>
      <c r="B1188" s="10"/>
      <c r="C1188" s="10" t="s">
        <v>259</v>
      </c>
      <c r="D1188" s="12"/>
      <c r="E1188" s="11"/>
      <c r="F1188" s="14">
        <v>8083.27</v>
      </c>
      <c r="G1188" s="13"/>
      <c r="H1188" s="11">
        <v>1</v>
      </c>
      <c r="I1188" s="14">
        <v>396.08</v>
      </c>
      <c r="J1188" s="11">
        <v>3.85</v>
      </c>
      <c r="K1188" s="14">
        <v>1524.91</v>
      </c>
    </row>
    <row r="1189" spans="1:11" ht="112" x14ac:dyDescent="0.25">
      <c r="A1189" s="10" t="s">
        <v>1279</v>
      </c>
      <c r="B1189" s="10" t="s">
        <v>1386</v>
      </c>
      <c r="C1189" s="10" t="s">
        <v>1134</v>
      </c>
      <c r="D1189" s="12" t="s">
        <v>52</v>
      </c>
      <c r="E1189" s="11">
        <v>6.6150000000000002</v>
      </c>
      <c r="F1189" s="14">
        <v>1.35</v>
      </c>
      <c r="G1189" s="15" t="s">
        <v>1</v>
      </c>
      <c r="H1189" s="11">
        <v>1</v>
      </c>
      <c r="I1189" s="14">
        <v>8.93</v>
      </c>
      <c r="J1189" s="11">
        <v>12.99</v>
      </c>
      <c r="K1189" s="14">
        <v>116</v>
      </c>
    </row>
    <row r="1190" spans="1:11" ht="42" x14ac:dyDescent="0.25">
      <c r="A1190" s="10" t="s">
        <v>1280</v>
      </c>
      <c r="B1190" s="10" t="s">
        <v>1504</v>
      </c>
      <c r="C1190" s="10" t="s">
        <v>1281</v>
      </c>
      <c r="D1190" s="12" t="s">
        <v>34</v>
      </c>
      <c r="E1190" s="11">
        <v>3.2829999999999998E-2</v>
      </c>
      <c r="F1190" s="14">
        <v>108.41</v>
      </c>
      <c r="G1190" s="15" t="s">
        <v>1</v>
      </c>
      <c r="H1190" s="11">
        <v>1</v>
      </c>
      <c r="I1190" s="14">
        <v>3.56</v>
      </c>
      <c r="J1190" s="11">
        <v>5.99</v>
      </c>
      <c r="K1190" s="14">
        <v>21.32</v>
      </c>
    </row>
    <row r="1191" spans="1:11" ht="28" x14ac:dyDescent="0.25">
      <c r="A1191" s="10" t="s">
        <v>1282</v>
      </c>
      <c r="B1191" s="10" t="s">
        <v>1469</v>
      </c>
      <c r="C1191" s="10" t="s">
        <v>1232</v>
      </c>
      <c r="D1191" s="12" t="s">
        <v>227</v>
      </c>
      <c r="E1191" s="11">
        <v>5.4390000000000001</v>
      </c>
      <c r="F1191" s="14">
        <v>25.82</v>
      </c>
      <c r="G1191" s="15" t="s">
        <v>1</v>
      </c>
      <c r="H1191" s="11">
        <v>1</v>
      </c>
      <c r="I1191" s="14">
        <v>140.43</v>
      </c>
      <c r="J1191" s="11">
        <v>9.4700000000000006</v>
      </c>
      <c r="K1191" s="14">
        <v>1329.87</v>
      </c>
    </row>
    <row r="1192" spans="1:11" ht="14.5" x14ac:dyDescent="0.25">
      <c r="A1192" s="10"/>
      <c r="B1192" s="10"/>
      <c r="C1192" s="10" t="s">
        <v>260</v>
      </c>
      <c r="D1192" s="12" t="s">
        <v>261</v>
      </c>
      <c r="E1192" s="11">
        <v>97</v>
      </c>
      <c r="F1192" s="14"/>
      <c r="G1192" s="13"/>
      <c r="H1192" s="11"/>
      <c r="I1192" s="14">
        <v>110.1</v>
      </c>
      <c r="J1192" s="11">
        <v>97</v>
      </c>
      <c r="K1192" s="14">
        <v>6281.47</v>
      </c>
    </row>
    <row r="1193" spans="1:11" ht="14.5" x14ac:dyDescent="0.25">
      <c r="A1193" s="10"/>
      <c r="B1193" s="10"/>
      <c r="C1193" s="10" t="s">
        <v>262</v>
      </c>
      <c r="D1193" s="12" t="s">
        <v>261</v>
      </c>
      <c r="E1193" s="11">
        <v>47</v>
      </c>
      <c r="F1193" s="14"/>
      <c r="G1193" s="13"/>
      <c r="H1193" s="11"/>
      <c r="I1193" s="14">
        <v>53.35</v>
      </c>
      <c r="J1193" s="11">
        <v>47</v>
      </c>
      <c r="K1193" s="14">
        <v>3043.6</v>
      </c>
    </row>
    <row r="1194" spans="1:11" ht="14.5" x14ac:dyDescent="0.25">
      <c r="A1194" s="17"/>
      <c r="B1194" s="17"/>
      <c r="C1194" s="17" t="s">
        <v>263</v>
      </c>
      <c r="D1194" s="18" t="s">
        <v>264</v>
      </c>
      <c r="E1194" s="19">
        <v>105</v>
      </c>
      <c r="F1194" s="20"/>
      <c r="G1194" s="37" t="s">
        <v>460</v>
      </c>
      <c r="H1194" s="19">
        <v>1</v>
      </c>
      <c r="I1194" s="20">
        <v>7.1</v>
      </c>
      <c r="J1194" s="19"/>
      <c r="K1194" s="20"/>
    </row>
    <row r="1195" spans="1:11" ht="14" x14ac:dyDescent="0.25">
      <c r="C1195" s="22" t="s">
        <v>265</v>
      </c>
      <c r="H1195" s="143">
        <v>830.35</v>
      </c>
      <c r="I1195" s="143"/>
      <c r="J1195" s="143">
        <v>18840.82</v>
      </c>
      <c r="K1195" s="143"/>
    </row>
    <row r="1196" spans="1:11" ht="14" x14ac:dyDescent="0.25">
      <c r="C1196" s="22" t="s">
        <v>267</v>
      </c>
      <c r="H1196" s="141">
        <v>830.35</v>
      </c>
      <c r="I1196" s="141"/>
      <c r="J1196" s="141">
        <v>18840.82</v>
      </c>
      <c r="K1196" s="141"/>
    </row>
    <row r="1198" spans="1:11" ht="28" x14ac:dyDescent="0.25">
      <c r="A1198" s="10">
        <v>94</v>
      </c>
      <c r="B1198" s="10" t="s">
        <v>1505</v>
      </c>
      <c r="C1198" s="10" t="s">
        <v>1283</v>
      </c>
      <c r="D1198" s="12" t="s">
        <v>838</v>
      </c>
      <c r="E1198" s="11">
        <v>4.9000000000000002E-2</v>
      </c>
      <c r="F1198" s="14"/>
      <c r="G1198" s="13"/>
      <c r="H1198" s="11"/>
      <c r="I1198" s="14"/>
      <c r="J1198" s="11"/>
      <c r="K1198" s="14"/>
    </row>
    <row r="1199" spans="1:11" x14ac:dyDescent="0.25">
      <c r="C1199" s="23" t="s">
        <v>1491</v>
      </c>
    </row>
    <row r="1200" spans="1:11" ht="14.5" x14ac:dyDescent="0.25">
      <c r="A1200" s="10"/>
      <c r="B1200" s="10"/>
      <c r="C1200" s="10" t="s">
        <v>256</v>
      </c>
      <c r="D1200" s="12"/>
      <c r="E1200" s="11"/>
      <c r="F1200" s="14">
        <v>277.51</v>
      </c>
      <c r="G1200" s="13" t="s">
        <v>460</v>
      </c>
      <c r="H1200" s="11">
        <v>1</v>
      </c>
      <c r="I1200" s="14">
        <v>18.77</v>
      </c>
      <c r="J1200" s="11">
        <v>57.05</v>
      </c>
      <c r="K1200" s="14">
        <v>1070.83</v>
      </c>
    </row>
    <row r="1201" spans="1:11" ht="14.5" x14ac:dyDescent="0.25">
      <c r="A1201" s="10"/>
      <c r="B1201" s="10"/>
      <c r="C1201" s="10" t="s">
        <v>257</v>
      </c>
      <c r="D1201" s="12"/>
      <c r="E1201" s="11"/>
      <c r="F1201" s="14">
        <v>13.11</v>
      </c>
      <c r="G1201" s="13" t="s">
        <v>461</v>
      </c>
      <c r="H1201" s="11">
        <v>1</v>
      </c>
      <c r="I1201" s="14">
        <v>0.96</v>
      </c>
      <c r="J1201" s="11">
        <v>16.670000000000002</v>
      </c>
      <c r="K1201" s="14">
        <v>16</v>
      </c>
    </row>
    <row r="1202" spans="1:11" ht="14.5" x14ac:dyDescent="0.25">
      <c r="A1202" s="10"/>
      <c r="B1202" s="10"/>
      <c r="C1202" s="10" t="s">
        <v>258</v>
      </c>
      <c r="D1202" s="12"/>
      <c r="E1202" s="11"/>
      <c r="F1202" s="14">
        <v>1.51</v>
      </c>
      <c r="G1202" s="13" t="s">
        <v>461</v>
      </c>
      <c r="H1202" s="11">
        <v>1</v>
      </c>
      <c r="I1202" s="16">
        <v>0.11</v>
      </c>
      <c r="J1202" s="11">
        <v>57.05</v>
      </c>
      <c r="K1202" s="16">
        <v>6.28</v>
      </c>
    </row>
    <row r="1203" spans="1:11" ht="14.5" x14ac:dyDescent="0.25">
      <c r="A1203" s="10"/>
      <c r="B1203" s="10"/>
      <c r="C1203" s="10" t="s">
        <v>259</v>
      </c>
      <c r="D1203" s="12"/>
      <c r="E1203" s="11"/>
      <c r="F1203" s="14">
        <v>579.1</v>
      </c>
      <c r="G1203" s="13"/>
      <c r="H1203" s="11">
        <v>1</v>
      </c>
      <c r="I1203" s="14">
        <v>28.38</v>
      </c>
      <c r="J1203" s="11">
        <v>6.22</v>
      </c>
      <c r="K1203" s="14">
        <v>176.52</v>
      </c>
    </row>
    <row r="1204" spans="1:11" ht="28" x14ac:dyDescent="0.25">
      <c r="A1204" s="10" t="s">
        <v>1284</v>
      </c>
      <c r="B1204" s="10" t="s">
        <v>1469</v>
      </c>
      <c r="C1204" s="10" t="s">
        <v>1232</v>
      </c>
      <c r="D1204" s="12" t="s">
        <v>227</v>
      </c>
      <c r="E1204" s="11">
        <v>5.0960000000000001</v>
      </c>
      <c r="F1204" s="14">
        <v>25.82</v>
      </c>
      <c r="G1204" s="15" t="s">
        <v>1</v>
      </c>
      <c r="H1204" s="11">
        <v>1</v>
      </c>
      <c r="I1204" s="14">
        <v>131.58000000000001</v>
      </c>
      <c r="J1204" s="11">
        <v>9.4700000000000006</v>
      </c>
      <c r="K1204" s="14">
        <v>1246.06</v>
      </c>
    </row>
    <row r="1205" spans="1:11" ht="14.5" x14ac:dyDescent="0.25">
      <c r="A1205" s="10"/>
      <c r="B1205" s="10"/>
      <c r="C1205" s="10" t="s">
        <v>260</v>
      </c>
      <c r="D1205" s="12" t="s">
        <v>261</v>
      </c>
      <c r="E1205" s="11">
        <v>97</v>
      </c>
      <c r="F1205" s="14"/>
      <c r="G1205" s="13"/>
      <c r="H1205" s="11"/>
      <c r="I1205" s="14">
        <v>18.309999999999999</v>
      </c>
      <c r="J1205" s="11">
        <v>97</v>
      </c>
      <c r="K1205" s="14">
        <v>1044.8</v>
      </c>
    </row>
    <row r="1206" spans="1:11" ht="14.5" x14ac:dyDescent="0.25">
      <c r="A1206" s="10"/>
      <c r="B1206" s="10"/>
      <c r="C1206" s="10" t="s">
        <v>262</v>
      </c>
      <c r="D1206" s="12" t="s">
        <v>261</v>
      </c>
      <c r="E1206" s="11">
        <v>47</v>
      </c>
      <c r="F1206" s="14"/>
      <c r="G1206" s="13"/>
      <c r="H1206" s="11"/>
      <c r="I1206" s="14">
        <v>8.8699999999999992</v>
      </c>
      <c r="J1206" s="11">
        <v>47</v>
      </c>
      <c r="K1206" s="14">
        <v>506.24</v>
      </c>
    </row>
    <row r="1207" spans="1:11" ht="14.5" x14ac:dyDescent="0.25">
      <c r="A1207" s="17"/>
      <c r="B1207" s="17"/>
      <c r="C1207" s="17" t="s">
        <v>263</v>
      </c>
      <c r="D1207" s="18" t="s">
        <v>264</v>
      </c>
      <c r="E1207" s="19">
        <v>16.84</v>
      </c>
      <c r="F1207" s="20"/>
      <c r="G1207" s="37" t="s">
        <v>460</v>
      </c>
      <c r="H1207" s="19">
        <v>1</v>
      </c>
      <c r="I1207" s="20">
        <v>1.1399999999999999</v>
      </c>
      <c r="J1207" s="19"/>
      <c r="K1207" s="20"/>
    </row>
    <row r="1208" spans="1:11" ht="14" x14ac:dyDescent="0.25">
      <c r="C1208" s="22" t="s">
        <v>265</v>
      </c>
      <c r="H1208" s="143">
        <v>206.87</v>
      </c>
      <c r="I1208" s="143"/>
      <c r="J1208" s="143">
        <v>4060.45</v>
      </c>
      <c r="K1208" s="143"/>
    </row>
    <row r="1209" spans="1:11" ht="14" x14ac:dyDescent="0.25">
      <c r="C1209" s="22" t="s">
        <v>267</v>
      </c>
      <c r="H1209" s="141">
        <v>206.87</v>
      </c>
      <c r="I1209" s="141"/>
      <c r="J1209" s="141">
        <v>4060.45</v>
      </c>
      <c r="K1209" s="141"/>
    </row>
    <row r="1211" spans="1:11" ht="56" x14ac:dyDescent="0.25">
      <c r="A1211" s="10">
        <v>95</v>
      </c>
      <c r="B1211" s="10" t="s">
        <v>1494</v>
      </c>
      <c r="C1211" s="10" t="s">
        <v>1271</v>
      </c>
      <c r="D1211" s="12" t="s">
        <v>838</v>
      </c>
      <c r="E1211" s="11">
        <v>4.9000000000000002E-2</v>
      </c>
      <c r="F1211" s="14"/>
      <c r="G1211" s="13"/>
      <c r="H1211" s="11"/>
      <c r="I1211" s="14"/>
      <c r="J1211" s="11"/>
      <c r="K1211" s="14"/>
    </row>
    <row r="1212" spans="1:11" x14ac:dyDescent="0.25">
      <c r="C1212" s="23" t="s">
        <v>1491</v>
      </c>
    </row>
    <row r="1213" spans="1:11" ht="14.5" x14ac:dyDescent="0.25">
      <c r="A1213" s="10"/>
      <c r="B1213" s="10"/>
      <c r="C1213" s="10" t="s">
        <v>256</v>
      </c>
      <c r="D1213" s="12"/>
      <c r="E1213" s="11"/>
      <c r="F1213" s="14">
        <v>463.75</v>
      </c>
      <c r="G1213" s="13" t="s">
        <v>460</v>
      </c>
      <c r="H1213" s="11">
        <v>1</v>
      </c>
      <c r="I1213" s="14">
        <v>31.36</v>
      </c>
      <c r="J1213" s="11">
        <v>57.05</v>
      </c>
      <c r="K1213" s="14">
        <v>1789.09</v>
      </c>
    </row>
    <row r="1214" spans="1:11" ht="14.5" x14ac:dyDescent="0.25">
      <c r="A1214" s="10"/>
      <c r="B1214" s="10"/>
      <c r="C1214" s="10" t="s">
        <v>257</v>
      </c>
      <c r="D1214" s="12"/>
      <c r="E1214" s="11"/>
      <c r="F1214" s="14">
        <v>6.21</v>
      </c>
      <c r="G1214" s="13" t="s">
        <v>461</v>
      </c>
      <c r="H1214" s="11">
        <v>1</v>
      </c>
      <c r="I1214" s="14">
        <v>0.46</v>
      </c>
      <c r="J1214" s="11">
        <v>17.2</v>
      </c>
      <c r="K1214" s="14">
        <v>7.91</v>
      </c>
    </row>
    <row r="1215" spans="1:11" ht="14.5" x14ac:dyDescent="0.25">
      <c r="A1215" s="10"/>
      <c r="B1215" s="10"/>
      <c r="C1215" s="10" t="s">
        <v>258</v>
      </c>
      <c r="D1215" s="12"/>
      <c r="E1215" s="11"/>
      <c r="F1215" s="14">
        <v>0.88</v>
      </c>
      <c r="G1215" s="13" t="s">
        <v>461</v>
      </c>
      <c r="H1215" s="11">
        <v>1</v>
      </c>
      <c r="I1215" s="16">
        <v>0.06</v>
      </c>
      <c r="J1215" s="11">
        <v>57.05</v>
      </c>
      <c r="K1215" s="16">
        <v>3.42</v>
      </c>
    </row>
    <row r="1216" spans="1:11" ht="14.5" x14ac:dyDescent="0.25">
      <c r="A1216" s="10"/>
      <c r="B1216" s="10"/>
      <c r="C1216" s="10" t="s">
        <v>259</v>
      </c>
      <c r="D1216" s="12"/>
      <c r="E1216" s="11"/>
      <c r="F1216" s="14">
        <v>41.9</v>
      </c>
      <c r="G1216" s="13"/>
      <c r="H1216" s="11">
        <v>1</v>
      </c>
      <c r="I1216" s="14">
        <v>2.0499999999999998</v>
      </c>
      <c r="J1216" s="11">
        <v>2.0699999999999998</v>
      </c>
      <c r="K1216" s="14">
        <v>4.24</v>
      </c>
    </row>
    <row r="1217" spans="1:11" ht="112" x14ac:dyDescent="0.25">
      <c r="A1217" s="10" t="s">
        <v>174</v>
      </c>
      <c r="B1217" s="10" t="s">
        <v>1381</v>
      </c>
      <c r="C1217" s="10" t="s">
        <v>1128</v>
      </c>
      <c r="D1217" s="12" t="s">
        <v>28</v>
      </c>
      <c r="E1217" s="11">
        <v>1.0989999999999999E-3</v>
      </c>
      <c r="F1217" s="14">
        <v>26842.89</v>
      </c>
      <c r="G1217" s="15" t="s">
        <v>1</v>
      </c>
      <c r="H1217" s="11">
        <v>1</v>
      </c>
      <c r="I1217" s="14">
        <v>29.5</v>
      </c>
      <c r="J1217" s="11">
        <v>8.9700000000000006</v>
      </c>
      <c r="K1217" s="14">
        <v>264.62</v>
      </c>
    </row>
    <row r="1218" spans="1:11" ht="70" x14ac:dyDescent="0.25">
      <c r="A1218" s="10" t="s">
        <v>177</v>
      </c>
      <c r="B1218" s="10" t="s">
        <v>1382</v>
      </c>
      <c r="C1218" s="10" t="s">
        <v>1130</v>
      </c>
      <c r="D1218" s="12" t="s">
        <v>9</v>
      </c>
      <c r="E1218" s="11">
        <v>1.3915999999999999</v>
      </c>
      <c r="F1218" s="14">
        <v>17.649999999999999</v>
      </c>
      <c r="G1218" s="15" t="s">
        <v>1</v>
      </c>
      <c r="H1218" s="11">
        <v>1</v>
      </c>
      <c r="I1218" s="14">
        <v>24.56</v>
      </c>
      <c r="J1218" s="11">
        <v>5.44</v>
      </c>
      <c r="K1218" s="14">
        <v>133.61000000000001</v>
      </c>
    </row>
    <row r="1219" spans="1:11" ht="112" x14ac:dyDescent="0.25">
      <c r="A1219" s="10" t="s">
        <v>1285</v>
      </c>
      <c r="B1219" s="10" t="s">
        <v>1496</v>
      </c>
      <c r="C1219" s="10" t="s">
        <v>1275</v>
      </c>
      <c r="D1219" s="12" t="s">
        <v>9</v>
      </c>
      <c r="E1219" s="11">
        <v>3.7984800000000001</v>
      </c>
      <c r="F1219" s="14">
        <v>3.91</v>
      </c>
      <c r="G1219" s="15" t="s">
        <v>1</v>
      </c>
      <c r="H1219" s="11">
        <v>1</v>
      </c>
      <c r="I1219" s="14">
        <v>14.85</v>
      </c>
      <c r="J1219" s="11">
        <v>3.64</v>
      </c>
      <c r="K1219" s="14">
        <v>54.05</v>
      </c>
    </row>
    <row r="1220" spans="1:11" ht="14.5" x14ac:dyDescent="0.25">
      <c r="A1220" s="10"/>
      <c r="B1220" s="10"/>
      <c r="C1220" s="10" t="s">
        <v>260</v>
      </c>
      <c r="D1220" s="12" t="s">
        <v>261</v>
      </c>
      <c r="E1220" s="11">
        <v>90</v>
      </c>
      <c r="F1220" s="14"/>
      <c r="G1220" s="13"/>
      <c r="H1220" s="11"/>
      <c r="I1220" s="14">
        <v>28.28</v>
      </c>
      <c r="J1220" s="11">
        <v>90</v>
      </c>
      <c r="K1220" s="14">
        <v>1613.26</v>
      </c>
    </row>
    <row r="1221" spans="1:11" ht="14.5" x14ac:dyDescent="0.25">
      <c r="A1221" s="10"/>
      <c r="B1221" s="10"/>
      <c r="C1221" s="10" t="s">
        <v>262</v>
      </c>
      <c r="D1221" s="12" t="s">
        <v>261</v>
      </c>
      <c r="E1221" s="11">
        <v>42</v>
      </c>
      <c r="F1221" s="14"/>
      <c r="G1221" s="13"/>
      <c r="H1221" s="11"/>
      <c r="I1221" s="14">
        <v>13.2</v>
      </c>
      <c r="J1221" s="11">
        <v>42</v>
      </c>
      <c r="K1221" s="14">
        <v>752.85</v>
      </c>
    </row>
    <row r="1222" spans="1:11" ht="14.5" x14ac:dyDescent="0.25">
      <c r="A1222" s="17"/>
      <c r="B1222" s="17"/>
      <c r="C1222" s="17" t="s">
        <v>263</v>
      </c>
      <c r="D1222" s="18" t="s">
        <v>264</v>
      </c>
      <c r="E1222" s="19">
        <v>30.07</v>
      </c>
      <c r="F1222" s="20"/>
      <c r="G1222" s="37" t="s">
        <v>460</v>
      </c>
      <c r="H1222" s="19">
        <v>1</v>
      </c>
      <c r="I1222" s="20">
        <v>2.0299999999999998</v>
      </c>
      <c r="J1222" s="19"/>
      <c r="K1222" s="20"/>
    </row>
    <row r="1223" spans="1:11" ht="14" x14ac:dyDescent="0.25">
      <c r="C1223" s="22" t="s">
        <v>265</v>
      </c>
      <c r="H1223" s="143">
        <v>144.26</v>
      </c>
      <c r="I1223" s="143"/>
      <c r="J1223" s="143">
        <v>4619.63</v>
      </c>
      <c r="K1223" s="143"/>
    </row>
    <row r="1224" spans="1:11" ht="14" x14ac:dyDescent="0.25">
      <c r="C1224" s="22" t="s">
        <v>267</v>
      </c>
      <c r="H1224" s="141">
        <v>144.26</v>
      </c>
      <c r="I1224" s="141"/>
      <c r="J1224" s="141">
        <v>4619.63</v>
      </c>
      <c r="K1224" s="141"/>
    </row>
    <row r="1227" spans="1:11" ht="14" x14ac:dyDescent="0.3">
      <c r="A1227" s="140" t="s">
        <v>1506</v>
      </c>
      <c r="B1227" s="140"/>
      <c r="C1227" s="140"/>
      <c r="D1227" s="140"/>
      <c r="E1227" s="140"/>
      <c r="F1227" s="140"/>
      <c r="G1227" s="140"/>
      <c r="H1227" s="141">
        <v>1181.48</v>
      </c>
      <c r="I1227" s="142"/>
      <c r="J1227" s="141">
        <v>27520.9</v>
      </c>
      <c r="K1227" s="142"/>
    </row>
    <row r="1229" spans="1:11" ht="16.5" x14ac:dyDescent="0.25">
      <c r="A1229" s="144" t="s">
        <v>1507</v>
      </c>
      <c r="B1229" s="144"/>
      <c r="C1229" s="144"/>
      <c r="D1229" s="144"/>
      <c r="E1229" s="144"/>
      <c r="F1229" s="144"/>
      <c r="G1229" s="144"/>
      <c r="H1229" s="144"/>
      <c r="I1229" s="144"/>
      <c r="J1229" s="144"/>
      <c r="K1229" s="144"/>
    </row>
    <row r="1230" spans="1:11" ht="29" x14ac:dyDescent="0.25">
      <c r="A1230" s="10">
        <v>96</v>
      </c>
      <c r="B1230" s="10" t="s">
        <v>1508</v>
      </c>
      <c r="C1230" s="10" t="s">
        <v>1286</v>
      </c>
      <c r="D1230" s="12" t="s">
        <v>1367</v>
      </c>
      <c r="E1230" s="11">
        <v>2.42</v>
      </c>
      <c r="F1230" s="14"/>
      <c r="G1230" s="13"/>
      <c r="H1230" s="11"/>
      <c r="I1230" s="14"/>
      <c r="J1230" s="11"/>
      <c r="K1230" s="14"/>
    </row>
    <row r="1231" spans="1:11" x14ac:dyDescent="0.25">
      <c r="C1231" s="23" t="s">
        <v>1509</v>
      </c>
    </row>
    <row r="1232" spans="1:11" ht="14.5" x14ac:dyDescent="0.25">
      <c r="A1232" s="10"/>
      <c r="B1232" s="10"/>
      <c r="C1232" s="10" t="s">
        <v>256</v>
      </c>
      <c r="D1232" s="12"/>
      <c r="E1232" s="11"/>
      <c r="F1232" s="14">
        <v>394.98</v>
      </c>
      <c r="G1232" s="13" t="s">
        <v>460</v>
      </c>
      <c r="H1232" s="11">
        <v>1</v>
      </c>
      <c r="I1232" s="14">
        <v>1319.08</v>
      </c>
      <c r="J1232" s="11">
        <v>57.05</v>
      </c>
      <c r="K1232" s="14">
        <v>75253.509999999995</v>
      </c>
    </row>
    <row r="1233" spans="1:11" ht="14.5" x14ac:dyDescent="0.25">
      <c r="A1233" s="10"/>
      <c r="B1233" s="10"/>
      <c r="C1233" s="10" t="s">
        <v>257</v>
      </c>
      <c r="D1233" s="12"/>
      <c r="E1233" s="11"/>
      <c r="F1233" s="14">
        <v>4.99</v>
      </c>
      <c r="G1233" s="13" t="s">
        <v>461</v>
      </c>
      <c r="H1233" s="11">
        <v>1</v>
      </c>
      <c r="I1233" s="14">
        <v>18.11</v>
      </c>
      <c r="J1233" s="11">
        <v>17.440000000000001</v>
      </c>
      <c r="K1233" s="14">
        <v>315.83999999999997</v>
      </c>
    </row>
    <row r="1234" spans="1:11" ht="14.5" x14ac:dyDescent="0.25">
      <c r="A1234" s="10"/>
      <c r="B1234" s="10"/>
      <c r="C1234" s="10" t="s">
        <v>258</v>
      </c>
      <c r="D1234" s="12"/>
      <c r="E1234" s="11"/>
      <c r="F1234" s="14">
        <v>0.76</v>
      </c>
      <c r="G1234" s="13" t="s">
        <v>461</v>
      </c>
      <c r="H1234" s="11">
        <v>1</v>
      </c>
      <c r="I1234" s="16">
        <v>2.76</v>
      </c>
      <c r="J1234" s="11">
        <v>57.05</v>
      </c>
      <c r="K1234" s="16">
        <v>157.46</v>
      </c>
    </row>
    <row r="1235" spans="1:11" ht="14.5" x14ac:dyDescent="0.25">
      <c r="A1235" s="10" t="s">
        <v>179</v>
      </c>
      <c r="B1235" s="10" t="s">
        <v>1510</v>
      </c>
      <c r="C1235" s="10" t="s">
        <v>1287</v>
      </c>
      <c r="D1235" s="12" t="s">
        <v>1391</v>
      </c>
      <c r="E1235" s="11">
        <v>0.38719999999999999</v>
      </c>
      <c r="F1235" s="14">
        <v>507.97</v>
      </c>
      <c r="G1235" s="15" t="s">
        <v>1</v>
      </c>
      <c r="H1235" s="11">
        <v>1</v>
      </c>
      <c r="I1235" s="14">
        <v>196.69</v>
      </c>
      <c r="J1235" s="11">
        <v>10.79</v>
      </c>
      <c r="K1235" s="14">
        <v>2122.29</v>
      </c>
    </row>
    <row r="1236" spans="1:11" ht="28" x14ac:dyDescent="0.25">
      <c r="A1236" s="10" t="s">
        <v>182</v>
      </c>
      <c r="B1236" s="10" t="s">
        <v>1511</v>
      </c>
      <c r="C1236" s="10" t="s">
        <v>1288</v>
      </c>
      <c r="D1236" s="12" t="s">
        <v>38</v>
      </c>
      <c r="E1236" s="11">
        <v>408</v>
      </c>
      <c r="F1236" s="14">
        <v>23.81</v>
      </c>
      <c r="G1236" s="15" t="s">
        <v>1</v>
      </c>
      <c r="H1236" s="11">
        <v>1</v>
      </c>
      <c r="I1236" s="14">
        <v>9714.48</v>
      </c>
      <c r="J1236" s="11">
        <v>14.09</v>
      </c>
      <c r="K1236" s="14">
        <v>136877.01999999999</v>
      </c>
    </row>
    <row r="1237" spans="1:11" ht="14.5" x14ac:dyDescent="0.25">
      <c r="A1237" s="10"/>
      <c r="B1237" s="10"/>
      <c r="C1237" s="10" t="s">
        <v>260</v>
      </c>
      <c r="D1237" s="12" t="s">
        <v>261</v>
      </c>
      <c r="E1237" s="11">
        <v>101</v>
      </c>
      <c r="F1237" s="14"/>
      <c r="G1237" s="13"/>
      <c r="H1237" s="11"/>
      <c r="I1237" s="14">
        <v>1335.06</v>
      </c>
      <c r="J1237" s="11">
        <v>101</v>
      </c>
      <c r="K1237" s="14">
        <v>76165.08</v>
      </c>
    </row>
    <row r="1238" spans="1:11" ht="14.5" x14ac:dyDescent="0.25">
      <c r="A1238" s="10"/>
      <c r="B1238" s="10"/>
      <c r="C1238" s="10" t="s">
        <v>262</v>
      </c>
      <c r="D1238" s="12" t="s">
        <v>261</v>
      </c>
      <c r="E1238" s="11">
        <v>55</v>
      </c>
      <c r="F1238" s="14"/>
      <c r="G1238" s="13"/>
      <c r="H1238" s="11"/>
      <c r="I1238" s="14">
        <v>727.01</v>
      </c>
      <c r="J1238" s="11">
        <v>55</v>
      </c>
      <c r="K1238" s="14">
        <v>41476.03</v>
      </c>
    </row>
    <row r="1239" spans="1:11" ht="14.5" x14ac:dyDescent="0.25">
      <c r="A1239" s="17"/>
      <c r="B1239" s="17"/>
      <c r="C1239" s="17" t="s">
        <v>263</v>
      </c>
      <c r="D1239" s="18" t="s">
        <v>264</v>
      </c>
      <c r="E1239" s="19">
        <v>23.6</v>
      </c>
      <c r="F1239" s="20"/>
      <c r="G1239" s="37" t="s">
        <v>460</v>
      </c>
      <c r="H1239" s="19">
        <v>1</v>
      </c>
      <c r="I1239" s="20">
        <v>78.81</v>
      </c>
      <c r="J1239" s="19"/>
      <c r="K1239" s="20"/>
    </row>
    <row r="1240" spans="1:11" ht="14" x14ac:dyDescent="0.25">
      <c r="C1240" s="22" t="s">
        <v>265</v>
      </c>
      <c r="H1240" s="143">
        <v>13310.43</v>
      </c>
      <c r="I1240" s="143"/>
      <c r="J1240" s="143">
        <v>332209.77</v>
      </c>
      <c r="K1240" s="143"/>
    </row>
    <row r="1241" spans="1:11" ht="14" x14ac:dyDescent="0.25">
      <c r="C1241" s="22" t="s">
        <v>267</v>
      </c>
      <c r="H1241" s="141">
        <v>13310.43</v>
      </c>
      <c r="I1241" s="141"/>
      <c r="J1241" s="141">
        <v>332209.77</v>
      </c>
      <c r="K1241" s="141"/>
    </row>
    <row r="1243" spans="1:11" ht="29" x14ac:dyDescent="0.25">
      <c r="A1243" s="10">
        <v>97</v>
      </c>
      <c r="B1243" s="10" t="s">
        <v>1366</v>
      </c>
      <c r="C1243" s="10" t="s">
        <v>1289</v>
      </c>
      <c r="D1243" s="12" t="s">
        <v>1367</v>
      </c>
      <c r="E1243" s="11">
        <v>2.78</v>
      </c>
      <c r="F1243" s="14"/>
      <c r="G1243" s="13"/>
      <c r="H1243" s="11"/>
      <c r="I1243" s="14"/>
      <c r="J1243" s="11"/>
      <c r="K1243" s="14"/>
    </row>
    <row r="1244" spans="1:11" x14ac:dyDescent="0.25">
      <c r="C1244" s="23" t="s">
        <v>1512</v>
      </c>
    </row>
    <row r="1245" spans="1:11" ht="14.5" x14ac:dyDescent="0.25">
      <c r="A1245" s="10"/>
      <c r="B1245" s="10"/>
      <c r="C1245" s="10" t="s">
        <v>256</v>
      </c>
      <c r="D1245" s="12"/>
      <c r="E1245" s="11"/>
      <c r="F1245" s="14">
        <v>154.19</v>
      </c>
      <c r="G1245" s="13" t="s">
        <v>460</v>
      </c>
      <c r="H1245" s="11">
        <v>1</v>
      </c>
      <c r="I1245" s="14">
        <v>591.53</v>
      </c>
      <c r="J1245" s="11">
        <v>57.05</v>
      </c>
      <c r="K1245" s="14">
        <v>33746.79</v>
      </c>
    </row>
    <row r="1246" spans="1:11" ht="14.5" x14ac:dyDescent="0.25">
      <c r="A1246" s="10"/>
      <c r="B1246" s="10"/>
      <c r="C1246" s="10" t="s">
        <v>257</v>
      </c>
      <c r="D1246" s="12"/>
      <c r="E1246" s="11"/>
      <c r="F1246" s="14">
        <v>2.4900000000000002</v>
      </c>
      <c r="G1246" s="13" t="s">
        <v>461</v>
      </c>
      <c r="H1246" s="11">
        <v>1</v>
      </c>
      <c r="I1246" s="14">
        <v>10.38</v>
      </c>
      <c r="J1246" s="11">
        <v>17.47</v>
      </c>
      <c r="K1246" s="14">
        <v>181.34</v>
      </c>
    </row>
    <row r="1247" spans="1:11" ht="14.5" x14ac:dyDescent="0.25">
      <c r="A1247" s="10"/>
      <c r="B1247" s="10"/>
      <c r="C1247" s="10" t="s">
        <v>258</v>
      </c>
      <c r="D1247" s="12"/>
      <c r="E1247" s="11"/>
      <c r="F1247" s="14">
        <v>0.38</v>
      </c>
      <c r="G1247" s="13" t="s">
        <v>461</v>
      </c>
      <c r="H1247" s="11">
        <v>1</v>
      </c>
      <c r="I1247" s="16">
        <v>1.58</v>
      </c>
      <c r="J1247" s="11">
        <v>57.05</v>
      </c>
      <c r="K1247" s="16">
        <v>90.14</v>
      </c>
    </row>
    <row r="1248" spans="1:11" ht="98" x14ac:dyDescent="0.25">
      <c r="A1248" s="10" t="s">
        <v>1290</v>
      </c>
      <c r="B1248" s="10" t="s">
        <v>1369</v>
      </c>
      <c r="C1248" s="10" t="s">
        <v>1121</v>
      </c>
      <c r="D1248" s="12" t="s">
        <v>9</v>
      </c>
      <c r="E1248" s="11">
        <v>14.317</v>
      </c>
      <c r="F1248" s="14">
        <v>43.73</v>
      </c>
      <c r="G1248" s="15" t="s">
        <v>1</v>
      </c>
      <c r="H1248" s="11">
        <v>1</v>
      </c>
      <c r="I1248" s="14">
        <v>626.08000000000004</v>
      </c>
      <c r="J1248" s="11">
        <v>9.94</v>
      </c>
      <c r="K1248" s="14">
        <v>6223.24</v>
      </c>
    </row>
    <row r="1249" spans="1:11" ht="56" x14ac:dyDescent="0.25">
      <c r="A1249" s="10" t="s">
        <v>1291</v>
      </c>
      <c r="B1249" s="10" t="s">
        <v>1513</v>
      </c>
      <c r="C1249" s="10" t="s">
        <v>1292</v>
      </c>
      <c r="D1249" s="12" t="s">
        <v>52</v>
      </c>
      <c r="E1249" s="11">
        <v>280.77999999999997</v>
      </c>
      <c r="F1249" s="14">
        <v>10.220000000000001</v>
      </c>
      <c r="G1249" s="15" t="s">
        <v>1</v>
      </c>
      <c r="H1249" s="11">
        <v>1</v>
      </c>
      <c r="I1249" s="14">
        <v>2869.57</v>
      </c>
      <c r="J1249" s="11">
        <v>3.05</v>
      </c>
      <c r="K1249" s="14">
        <v>8752.19</v>
      </c>
    </row>
    <row r="1250" spans="1:11" ht="14.5" x14ac:dyDescent="0.25">
      <c r="A1250" s="10"/>
      <c r="B1250" s="10"/>
      <c r="C1250" s="10" t="s">
        <v>260</v>
      </c>
      <c r="D1250" s="12" t="s">
        <v>261</v>
      </c>
      <c r="E1250" s="11">
        <v>101</v>
      </c>
      <c r="F1250" s="14"/>
      <c r="G1250" s="13"/>
      <c r="H1250" s="11"/>
      <c r="I1250" s="14">
        <v>599.04</v>
      </c>
      <c r="J1250" s="11">
        <v>101</v>
      </c>
      <c r="K1250" s="14">
        <v>34175.300000000003</v>
      </c>
    </row>
    <row r="1251" spans="1:11" ht="14.5" x14ac:dyDescent="0.25">
      <c r="A1251" s="10"/>
      <c r="B1251" s="10"/>
      <c r="C1251" s="10" t="s">
        <v>262</v>
      </c>
      <c r="D1251" s="12" t="s">
        <v>261</v>
      </c>
      <c r="E1251" s="11">
        <v>55</v>
      </c>
      <c r="F1251" s="14"/>
      <c r="G1251" s="13"/>
      <c r="H1251" s="11"/>
      <c r="I1251" s="14">
        <v>326.20999999999998</v>
      </c>
      <c r="J1251" s="11">
        <v>55</v>
      </c>
      <c r="K1251" s="14">
        <v>18610.310000000001</v>
      </c>
    </row>
    <row r="1252" spans="1:11" ht="14.5" x14ac:dyDescent="0.25">
      <c r="A1252" s="17"/>
      <c r="B1252" s="17"/>
      <c r="C1252" s="17" t="s">
        <v>263</v>
      </c>
      <c r="D1252" s="18" t="s">
        <v>264</v>
      </c>
      <c r="E1252" s="19">
        <v>8.99</v>
      </c>
      <c r="F1252" s="20"/>
      <c r="G1252" s="37" t="s">
        <v>460</v>
      </c>
      <c r="H1252" s="19">
        <v>1</v>
      </c>
      <c r="I1252" s="20">
        <v>34.49</v>
      </c>
      <c r="J1252" s="19"/>
      <c r="K1252" s="20"/>
    </row>
    <row r="1253" spans="1:11" ht="14" x14ac:dyDescent="0.25">
      <c r="C1253" s="22" t="s">
        <v>265</v>
      </c>
      <c r="H1253" s="143">
        <v>5022.8100000000004</v>
      </c>
      <c r="I1253" s="143"/>
      <c r="J1253" s="143">
        <v>101689.17</v>
      </c>
      <c r="K1253" s="143"/>
    </row>
    <row r="1254" spans="1:11" ht="14" x14ac:dyDescent="0.25">
      <c r="C1254" s="22" t="s">
        <v>267</v>
      </c>
      <c r="H1254" s="141">
        <v>5022.8100000000004</v>
      </c>
      <c r="I1254" s="141"/>
      <c r="J1254" s="141">
        <v>101689.17</v>
      </c>
      <c r="K1254" s="141"/>
    </row>
    <row r="1257" spans="1:11" ht="14" x14ac:dyDescent="0.3">
      <c r="A1257" s="140" t="s">
        <v>1514</v>
      </c>
      <c r="B1257" s="140"/>
      <c r="C1257" s="140"/>
      <c r="D1257" s="140"/>
      <c r="E1257" s="140"/>
      <c r="F1257" s="140"/>
      <c r="G1257" s="140"/>
      <c r="H1257" s="141">
        <v>18333.240000000002</v>
      </c>
      <c r="I1257" s="142"/>
      <c r="J1257" s="141">
        <v>433898.94</v>
      </c>
      <c r="K1257" s="142"/>
    </row>
    <row r="1259" spans="1:11" ht="14" x14ac:dyDescent="0.3">
      <c r="A1259" s="140" t="s">
        <v>435</v>
      </c>
      <c r="B1259" s="140"/>
      <c r="C1259" s="140"/>
      <c r="D1259" s="140"/>
      <c r="E1259" s="140"/>
      <c r="F1259" s="140"/>
      <c r="G1259" s="140"/>
      <c r="H1259" s="141">
        <v>1011482.85</v>
      </c>
      <c r="I1259" s="142"/>
      <c r="J1259" s="141">
        <v>16193971.939999999</v>
      </c>
      <c r="K1259" s="142"/>
    </row>
  </sheetData>
  <mergeCells count="472">
    <mergeCell ref="A23:K23"/>
    <mergeCell ref="E16:H16"/>
    <mergeCell ref="E17:H17"/>
    <mergeCell ref="A20:K20"/>
    <mergeCell ref="E13:H13"/>
    <mergeCell ref="E14:H14"/>
    <mergeCell ref="E15:H15"/>
    <mergeCell ref="J2:K2"/>
    <mergeCell ref="A3:K3"/>
    <mergeCell ref="A4:K4"/>
    <mergeCell ref="A6:K6"/>
    <mergeCell ref="A8:K8"/>
    <mergeCell ref="A9:K9"/>
    <mergeCell ref="H41:I41"/>
    <mergeCell ref="J41:K41"/>
    <mergeCell ref="H42:I42"/>
    <mergeCell ref="J42:K42"/>
    <mergeCell ref="H43:I43"/>
    <mergeCell ref="J43:K43"/>
    <mergeCell ref="H31:I31"/>
    <mergeCell ref="J31:K31"/>
    <mergeCell ref="H32:I32"/>
    <mergeCell ref="J32:K32"/>
    <mergeCell ref="H59:I59"/>
    <mergeCell ref="J59:K59"/>
    <mergeCell ref="H71:I71"/>
    <mergeCell ref="J71:K71"/>
    <mergeCell ref="A46:G46"/>
    <mergeCell ref="H46:I46"/>
    <mergeCell ref="J46:K46"/>
    <mergeCell ref="A48:K48"/>
    <mergeCell ref="H58:I58"/>
    <mergeCell ref="J58:K58"/>
    <mergeCell ref="H94:I94"/>
    <mergeCell ref="J94:K94"/>
    <mergeCell ref="H97:I97"/>
    <mergeCell ref="J97:K97"/>
    <mergeCell ref="H85:I85"/>
    <mergeCell ref="J85:K85"/>
    <mergeCell ref="H93:I93"/>
    <mergeCell ref="J93:K93"/>
    <mergeCell ref="H72:I72"/>
    <mergeCell ref="J72:K72"/>
    <mergeCell ref="H84:I84"/>
    <mergeCell ref="J84:K84"/>
    <mergeCell ref="H113:I113"/>
    <mergeCell ref="J113:K113"/>
    <mergeCell ref="H116:I116"/>
    <mergeCell ref="J116:K116"/>
    <mergeCell ref="A102:K102"/>
    <mergeCell ref="H112:I112"/>
    <mergeCell ref="J112:K112"/>
    <mergeCell ref="A100:G100"/>
    <mergeCell ref="H100:I100"/>
    <mergeCell ref="J100:K100"/>
    <mergeCell ref="H145:I145"/>
    <mergeCell ref="J145:K145"/>
    <mergeCell ref="H155:I155"/>
    <mergeCell ref="J155:K155"/>
    <mergeCell ref="H132:I132"/>
    <mergeCell ref="J132:K132"/>
    <mergeCell ref="H144:I144"/>
    <mergeCell ref="J144:K144"/>
    <mergeCell ref="H119:I119"/>
    <mergeCell ref="J119:K119"/>
    <mergeCell ref="H131:I131"/>
    <mergeCell ref="J131:K131"/>
    <mergeCell ref="A164:K164"/>
    <mergeCell ref="H175:I175"/>
    <mergeCell ref="J175:K175"/>
    <mergeCell ref="H176:I176"/>
    <mergeCell ref="J176:K176"/>
    <mergeCell ref="H156:I156"/>
    <mergeCell ref="J156:K156"/>
    <mergeCell ref="H159:I159"/>
    <mergeCell ref="J159:K159"/>
    <mergeCell ref="A162:G162"/>
    <mergeCell ref="H162:I162"/>
    <mergeCell ref="J162:K162"/>
    <mergeCell ref="H200:I200"/>
    <mergeCell ref="J200:K200"/>
    <mergeCell ref="H201:I201"/>
    <mergeCell ref="J201:K201"/>
    <mergeCell ref="H180:I180"/>
    <mergeCell ref="J180:K180"/>
    <mergeCell ref="H184:I184"/>
    <mergeCell ref="J184:K184"/>
    <mergeCell ref="H188:I188"/>
    <mergeCell ref="J188:K188"/>
    <mergeCell ref="H217:I217"/>
    <mergeCell ref="J217:K217"/>
    <mergeCell ref="H221:I221"/>
    <mergeCell ref="J221:K221"/>
    <mergeCell ref="A204:G204"/>
    <mergeCell ref="H204:I204"/>
    <mergeCell ref="J204:K204"/>
    <mergeCell ref="A206:K206"/>
    <mergeCell ref="H216:I216"/>
    <mergeCell ref="J216:K216"/>
    <mergeCell ref="H256:I256"/>
    <mergeCell ref="J256:K256"/>
    <mergeCell ref="H257:I257"/>
    <mergeCell ref="J257:K257"/>
    <mergeCell ref="H243:I243"/>
    <mergeCell ref="J243:K243"/>
    <mergeCell ref="H244:I244"/>
    <mergeCell ref="J244:K244"/>
    <mergeCell ref="H225:I225"/>
    <mergeCell ref="J225:K225"/>
    <mergeCell ref="H228:I228"/>
    <mergeCell ref="J228:K228"/>
    <mergeCell ref="H231:I231"/>
    <mergeCell ref="J231:K231"/>
    <mergeCell ref="A264:K264"/>
    <mergeCell ref="H273:I273"/>
    <mergeCell ref="J273:K273"/>
    <mergeCell ref="H274:I274"/>
    <mergeCell ref="J274:K274"/>
    <mergeCell ref="A260:G260"/>
    <mergeCell ref="H260:I260"/>
    <mergeCell ref="J260:K260"/>
    <mergeCell ref="A262:G262"/>
    <mergeCell ref="H262:I262"/>
    <mergeCell ref="J262:K262"/>
    <mergeCell ref="H292:I292"/>
    <mergeCell ref="J292:K292"/>
    <mergeCell ref="A295:G295"/>
    <mergeCell ref="H295:I295"/>
    <mergeCell ref="J295:K295"/>
    <mergeCell ref="H278:I278"/>
    <mergeCell ref="J278:K278"/>
    <mergeCell ref="H291:I291"/>
    <mergeCell ref="J291:K291"/>
    <mergeCell ref="H322:I322"/>
    <mergeCell ref="J322:K322"/>
    <mergeCell ref="H333:I333"/>
    <mergeCell ref="J333:K333"/>
    <mergeCell ref="H309:I309"/>
    <mergeCell ref="J309:K309"/>
    <mergeCell ref="H321:I321"/>
    <mergeCell ref="J321:K321"/>
    <mergeCell ref="A297:K297"/>
    <mergeCell ref="H308:I308"/>
    <mergeCell ref="J308:K308"/>
    <mergeCell ref="A339:K339"/>
    <mergeCell ref="H352:I352"/>
    <mergeCell ref="J352:K352"/>
    <mergeCell ref="H353:I353"/>
    <mergeCell ref="J353:K353"/>
    <mergeCell ref="H334:I334"/>
    <mergeCell ref="J334:K334"/>
    <mergeCell ref="A337:G337"/>
    <mergeCell ref="H337:I337"/>
    <mergeCell ref="J337:K337"/>
    <mergeCell ref="H397:I397"/>
    <mergeCell ref="J397:K397"/>
    <mergeCell ref="H398:I398"/>
    <mergeCell ref="J398:K398"/>
    <mergeCell ref="H381:I381"/>
    <mergeCell ref="J381:K381"/>
    <mergeCell ref="H382:I382"/>
    <mergeCell ref="J382:K382"/>
    <mergeCell ref="H366:I366"/>
    <mergeCell ref="J366:K366"/>
    <mergeCell ref="H367:I367"/>
    <mergeCell ref="J367:K367"/>
    <mergeCell ref="H442:I442"/>
    <mergeCell ref="J442:K442"/>
    <mergeCell ref="H443:I443"/>
    <mergeCell ref="J443:K443"/>
    <mergeCell ref="H427:I427"/>
    <mergeCell ref="J427:K427"/>
    <mergeCell ref="H428:I428"/>
    <mergeCell ref="J428:K428"/>
    <mergeCell ref="H412:I412"/>
    <mergeCell ref="J412:K412"/>
    <mergeCell ref="H413:I413"/>
    <mergeCell ref="J413:K413"/>
    <mergeCell ref="H487:I487"/>
    <mergeCell ref="J487:K487"/>
    <mergeCell ref="H488:I488"/>
    <mergeCell ref="J488:K488"/>
    <mergeCell ref="H472:I472"/>
    <mergeCell ref="J472:K472"/>
    <mergeCell ref="H473:I473"/>
    <mergeCell ref="J473:K473"/>
    <mergeCell ref="H457:I457"/>
    <mergeCell ref="J457:K457"/>
    <mergeCell ref="H458:I458"/>
    <mergeCell ref="J458:K458"/>
    <mergeCell ref="H504:I504"/>
    <mergeCell ref="J504:K504"/>
    <mergeCell ref="A507:G507"/>
    <mergeCell ref="H507:I507"/>
    <mergeCell ref="J507:K507"/>
    <mergeCell ref="A509:K509"/>
    <mergeCell ref="H499:I499"/>
    <mergeCell ref="J499:K499"/>
    <mergeCell ref="H500:I500"/>
    <mergeCell ref="J500:K500"/>
    <mergeCell ref="H532:I532"/>
    <mergeCell ref="J532:K532"/>
    <mergeCell ref="H545:I545"/>
    <mergeCell ref="J545:K545"/>
    <mergeCell ref="H524:I524"/>
    <mergeCell ref="J524:K524"/>
    <mergeCell ref="H531:I531"/>
    <mergeCell ref="J531:K531"/>
    <mergeCell ref="H519:I519"/>
    <mergeCell ref="J519:K519"/>
    <mergeCell ref="H520:I520"/>
    <mergeCell ref="J520:K520"/>
    <mergeCell ref="H560:I560"/>
    <mergeCell ref="J560:K560"/>
    <mergeCell ref="A563:G563"/>
    <mergeCell ref="H563:I563"/>
    <mergeCell ref="J563:K563"/>
    <mergeCell ref="A565:K565"/>
    <mergeCell ref="H546:I546"/>
    <mergeCell ref="J546:K546"/>
    <mergeCell ref="H559:I559"/>
    <mergeCell ref="J559:K559"/>
    <mergeCell ref="H591:I591"/>
    <mergeCell ref="J591:K591"/>
    <mergeCell ref="H592:I592"/>
    <mergeCell ref="J592:K592"/>
    <mergeCell ref="A567:K567"/>
    <mergeCell ref="H577:I577"/>
    <mergeCell ref="J577:K577"/>
    <mergeCell ref="H578:I578"/>
    <mergeCell ref="J578:K578"/>
    <mergeCell ref="H625:I625"/>
    <mergeCell ref="J625:K625"/>
    <mergeCell ref="H637:I637"/>
    <mergeCell ref="J637:K637"/>
    <mergeCell ref="H608:I608"/>
    <mergeCell ref="J608:K608"/>
    <mergeCell ref="H624:I624"/>
    <mergeCell ref="J624:K624"/>
    <mergeCell ref="A595:G595"/>
    <mergeCell ref="H595:I595"/>
    <mergeCell ref="J595:K595"/>
    <mergeCell ref="A597:K597"/>
    <mergeCell ref="H607:I607"/>
    <mergeCell ref="J607:K607"/>
    <mergeCell ref="A643:K643"/>
    <mergeCell ref="H653:I653"/>
    <mergeCell ref="J653:K653"/>
    <mergeCell ref="H654:I654"/>
    <mergeCell ref="J654:K654"/>
    <mergeCell ref="H638:I638"/>
    <mergeCell ref="J638:K638"/>
    <mergeCell ref="A641:G641"/>
    <mergeCell ref="H641:I641"/>
    <mergeCell ref="J641:K641"/>
    <mergeCell ref="H694:I694"/>
    <mergeCell ref="J694:K694"/>
    <mergeCell ref="H695:I695"/>
    <mergeCell ref="J695:K695"/>
    <mergeCell ref="H681:I681"/>
    <mergeCell ref="J681:K681"/>
    <mergeCell ref="H682:I682"/>
    <mergeCell ref="J682:K682"/>
    <mergeCell ref="H664:I664"/>
    <mergeCell ref="J664:K664"/>
    <mergeCell ref="H665:I665"/>
    <mergeCell ref="J665:K665"/>
    <mergeCell ref="H711:I711"/>
    <mergeCell ref="J711:K711"/>
    <mergeCell ref="H727:I727"/>
    <mergeCell ref="J727:K727"/>
    <mergeCell ref="A698:G698"/>
    <mergeCell ref="H698:I698"/>
    <mergeCell ref="J698:K698"/>
    <mergeCell ref="A700:K700"/>
    <mergeCell ref="H710:I710"/>
    <mergeCell ref="J710:K710"/>
    <mergeCell ref="H741:I741"/>
    <mergeCell ref="J741:K741"/>
    <mergeCell ref="A744:G744"/>
    <mergeCell ref="H744:I744"/>
    <mergeCell ref="J744:K744"/>
    <mergeCell ref="H728:I728"/>
    <mergeCell ref="J728:K728"/>
    <mergeCell ref="H740:I740"/>
    <mergeCell ref="J740:K740"/>
    <mergeCell ref="H773:I773"/>
    <mergeCell ref="J773:K773"/>
    <mergeCell ref="H784:I784"/>
    <mergeCell ref="J784:K784"/>
    <mergeCell ref="H761:I761"/>
    <mergeCell ref="J761:K761"/>
    <mergeCell ref="H772:I772"/>
    <mergeCell ref="J772:K772"/>
    <mergeCell ref="A746:G746"/>
    <mergeCell ref="H746:I746"/>
    <mergeCell ref="J746:K746"/>
    <mergeCell ref="A748:K748"/>
    <mergeCell ref="A750:K750"/>
    <mergeCell ref="H760:I760"/>
    <mergeCell ref="J760:K760"/>
    <mergeCell ref="H812:I812"/>
    <mergeCell ref="J812:K812"/>
    <mergeCell ref="H825:I825"/>
    <mergeCell ref="J825:K825"/>
    <mergeCell ref="H797:I797"/>
    <mergeCell ref="J797:K797"/>
    <mergeCell ref="H811:I811"/>
    <mergeCell ref="J811:K811"/>
    <mergeCell ref="H785:I785"/>
    <mergeCell ref="J785:K785"/>
    <mergeCell ref="H796:I796"/>
    <mergeCell ref="J796:K796"/>
    <mergeCell ref="H840:I840"/>
    <mergeCell ref="J840:K840"/>
    <mergeCell ref="A843:G843"/>
    <mergeCell ref="H843:I843"/>
    <mergeCell ref="J843:K843"/>
    <mergeCell ref="H826:I826"/>
    <mergeCell ref="J826:K826"/>
    <mergeCell ref="H839:I839"/>
    <mergeCell ref="J839:K839"/>
    <mergeCell ref="H867:I867"/>
    <mergeCell ref="J867:K867"/>
    <mergeCell ref="H868:I868"/>
    <mergeCell ref="J868:K868"/>
    <mergeCell ref="A845:K845"/>
    <mergeCell ref="H855:I855"/>
    <mergeCell ref="J855:K855"/>
    <mergeCell ref="H856:I856"/>
    <mergeCell ref="J856:K856"/>
    <mergeCell ref="H906:I906"/>
    <mergeCell ref="J906:K906"/>
    <mergeCell ref="H907:I907"/>
    <mergeCell ref="J907:K907"/>
    <mergeCell ref="H891:I891"/>
    <mergeCell ref="J891:K891"/>
    <mergeCell ref="H892:I892"/>
    <mergeCell ref="J892:K892"/>
    <mergeCell ref="H879:I879"/>
    <mergeCell ref="J879:K879"/>
    <mergeCell ref="H880:I880"/>
    <mergeCell ref="J880:K880"/>
    <mergeCell ref="H949:I949"/>
    <mergeCell ref="J949:K949"/>
    <mergeCell ref="H950:I950"/>
    <mergeCell ref="J950:K950"/>
    <mergeCell ref="H932:I932"/>
    <mergeCell ref="J932:K932"/>
    <mergeCell ref="H933:I933"/>
    <mergeCell ref="J933:K933"/>
    <mergeCell ref="H920:I920"/>
    <mergeCell ref="J920:K920"/>
    <mergeCell ref="H921:I921"/>
    <mergeCell ref="J921:K921"/>
    <mergeCell ref="A966:G966"/>
    <mergeCell ref="H966:I966"/>
    <mergeCell ref="J966:K966"/>
    <mergeCell ref="A968:K968"/>
    <mergeCell ref="H978:I978"/>
    <mergeCell ref="J978:K978"/>
    <mergeCell ref="H962:I962"/>
    <mergeCell ref="J962:K962"/>
    <mergeCell ref="H963:I963"/>
    <mergeCell ref="J963:K963"/>
    <mergeCell ref="H1007:I1007"/>
    <mergeCell ref="J1007:K1007"/>
    <mergeCell ref="H1019:I1019"/>
    <mergeCell ref="J1019:K1019"/>
    <mergeCell ref="H990:I990"/>
    <mergeCell ref="J990:K990"/>
    <mergeCell ref="H1006:I1006"/>
    <mergeCell ref="J1006:K1006"/>
    <mergeCell ref="H979:I979"/>
    <mergeCell ref="J979:K979"/>
    <mergeCell ref="H989:I989"/>
    <mergeCell ref="J989:K989"/>
    <mergeCell ref="A1025:G1025"/>
    <mergeCell ref="H1025:I1025"/>
    <mergeCell ref="J1025:K1025"/>
    <mergeCell ref="A1027:K1027"/>
    <mergeCell ref="H1037:I1037"/>
    <mergeCell ref="J1037:K1037"/>
    <mergeCell ref="H1020:I1020"/>
    <mergeCell ref="J1020:K1020"/>
    <mergeCell ref="A1023:G1023"/>
    <mergeCell ref="H1023:I1023"/>
    <mergeCell ref="J1023:K1023"/>
    <mergeCell ref="H1062:I1062"/>
    <mergeCell ref="J1062:K1062"/>
    <mergeCell ref="H1076:I1076"/>
    <mergeCell ref="J1076:K1076"/>
    <mergeCell ref="H1050:I1050"/>
    <mergeCell ref="J1050:K1050"/>
    <mergeCell ref="H1061:I1061"/>
    <mergeCell ref="J1061:K1061"/>
    <mergeCell ref="H1038:I1038"/>
    <mergeCell ref="J1038:K1038"/>
    <mergeCell ref="H1049:I1049"/>
    <mergeCell ref="J1049:K1049"/>
    <mergeCell ref="H1090:I1090"/>
    <mergeCell ref="J1090:K1090"/>
    <mergeCell ref="A1093:G1093"/>
    <mergeCell ref="H1093:I1093"/>
    <mergeCell ref="J1093:K1093"/>
    <mergeCell ref="H1077:I1077"/>
    <mergeCell ref="J1077:K1077"/>
    <mergeCell ref="H1089:I1089"/>
    <mergeCell ref="J1089:K1089"/>
    <mergeCell ref="H1132:I1132"/>
    <mergeCell ref="J1132:K1132"/>
    <mergeCell ref="H1133:I1133"/>
    <mergeCell ref="J1133:K1133"/>
    <mergeCell ref="H1115:I1115"/>
    <mergeCell ref="J1115:K1115"/>
    <mergeCell ref="H1116:I1116"/>
    <mergeCell ref="J1116:K1116"/>
    <mergeCell ref="A1095:K1095"/>
    <mergeCell ref="H1104:I1104"/>
    <mergeCell ref="J1104:K1104"/>
    <mergeCell ref="H1105:I1105"/>
    <mergeCell ref="J1105:K1105"/>
    <mergeCell ref="A1149:G1149"/>
    <mergeCell ref="H1149:I1149"/>
    <mergeCell ref="J1149:K1149"/>
    <mergeCell ref="A1151:K1151"/>
    <mergeCell ref="H1164:I1164"/>
    <mergeCell ref="J1164:K1164"/>
    <mergeCell ref="H1145:I1145"/>
    <mergeCell ref="J1145:K1145"/>
    <mergeCell ref="H1146:I1146"/>
    <mergeCell ref="J1146:K1146"/>
    <mergeCell ref="H1177:I1177"/>
    <mergeCell ref="J1177:K1177"/>
    <mergeCell ref="A1180:G1180"/>
    <mergeCell ref="H1180:I1180"/>
    <mergeCell ref="J1180:K1180"/>
    <mergeCell ref="H1165:I1165"/>
    <mergeCell ref="J1165:K1165"/>
    <mergeCell ref="H1176:I1176"/>
    <mergeCell ref="J1176:K1176"/>
    <mergeCell ref="H1208:I1208"/>
    <mergeCell ref="J1208:K1208"/>
    <mergeCell ref="H1209:I1209"/>
    <mergeCell ref="J1209:K1209"/>
    <mergeCell ref="A1182:K1182"/>
    <mergeCell ref="H1195:I1195"/>
    <mergeCell ref="J1195:K1195"/>
    <mergeCell ref="H1196:I1196"/>
    <mergeCell ref="J1196:K1196"/>
    <mergeCell ref="A1227:G1227"/>
    <mergeCell ref="H1227:I1227"/>
    <mergeCell ref="J1227:K1227"/>
    <mergeCell ref="A1229:K1229"/>
    <mergeCell ref="H1240:I1240"/>
    <mergeCell ref="J1240:K1240"/>
    <mergeCell ref="H1223:I1223"/>
    <mergeCell ref="J1223:K1223"/>
    <mergeCell ref="H1224:I1224"/>
    <mergeCell ref="J1224:K1224"/>
    <mergeCell ref="A1259:G1259"/>
    <mergeCell ref="H1259:I1259"/>
    <mergeCell ref="J1259:K1259"/>
    <mergeCell ref="H1254:I1254"/>
    <mergeCell ref="J1254:K1254"/>
    <mergeCell ref="A1257:G1257"/>
    <mergeCell ref="H1257:I1257"/>
    <mergeCell ref="J1257:K1257"/>
    <mergeCell ref="H1241:I1241"/>
    <mergeCell ref="J1241:K1241"/>
    <mergeCell ref="H1253:I1253"/>
    <mergeCell ref="J1253:K12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171C-009D-42A5-BAEB-A62F7FBF60F9}">
  <dimension ref="A1:K80"/>
  <sheetViews>
    <sheetView topLeftCell="A59" zoomScale="70" workbookViewId="0">
      <selection activeCell="A4" sqref="A4:K4"/>
    </sheetView>
  </sheetViews>
  <sheetFormatPr defaultRowHeight="12.5" x14ac:dyDescent="0.25"/>
  <cols>
    <col min="1" max="1" width="5.54296875" customWidth="1"/>
    <col min="2" max="2" width="11.54296875" customWidth="1"/>
    <col min="3" max="3" width="40.54296875" customWidth="1"/>
    <col min="4" max="4" width="11.54296875" customWidth="1"/>
    <col min="5" max="5" width="7.453125" bestFit="1" customWidth="1"/>
    <col min="6" max="6" width="13.1796875" customWidth="1"/>
    <col min="7" max="7" width="8.453125" bestFit="1" customWidth="1"/>
    <col min="11" max="11" width="12.453125" customWidth="1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1947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1538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3.15</v>
      </c>
      <c r="J13" s="5">
        <v>177.94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2.4300000000000002</v>
      </c>
      <c r="J14" s="7">
        <v>137.41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0.72</v>
      </c>
      <c r="J15" s="7">
        <v>40.53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239</v>
      </c>
      <c r="F16" s="145"/>
      <c r="G16" s="145"/>
      <c r="H16" s="145"/>
      <c r="I16" s="7">
        <v>1.32</v>
      </c>
      <c r="J16" s="7">
        <v>75.45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240</v>
      </c>
      <c r="F17" s="145"/>
      <c r="G17" s="145"/>
      <c r="H17" s="145"/>
      <c r="I17" s="7">
        <v>114.48</v>
      </c>
      <c r="J17" s="7"/>
      <c r="K17" s="2" t="s">
        <v>224</v>
      </c>
    </row>
    <row r="18" spans="1:11" ht="14" x14ac:dyDescent="0.3">
      <c r="A18" s="2"/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14" x14ac:dyDescent="0.3">
      <c r="A19" s="2" t="s">
        <v>252</v>
      </c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39.75" customHeight="1" x14ac:dyDescent="0.3">
      <c r="A20" s="146" t="s">
        <v>457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 spans="1:11" ht="112" x14ac:dyDescent="0.25">
      <c r="A21" s="8" t="s">
        <v>241</v>
      </c>
      <c r="B21" s="8" t="s">
        <v>242</v>
      </c>
      <c r="C21" s="8" t="s">
        <v>243</v>
      </c>
      <c r="D21" s="8" t="s">
        <v>244</v>
      </c>
      <c r="E21" s="8" t="s">
        <v>245</v>
      </c>
      <c r="F21" s="8" t="s">
        <v>246</v>
      </c>
      <c r="G21" s="9" t="s">
        <v>247</v>
      </c>
      <c r="H21" s="9" t="s">
        <v>248</v>
      </c>
      <c r="I21" s="8" t="s">
        <v>254</v>
      </c>
      <c r="J21" s="8" t="s">
        <v>249</v>
      </c>
      <c r="K21" s="8" t="s">
        <v>250</v>
      </c>
    </row>
    <row r="22" spans="1:11" ht="14" x14ac:dyDescent="0.25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  <c r="G22" s="8">
        <v>7</v>
      </c>
      <c r="H22" s="8">
        <v>8</v>
      </c>
      <c r="I22" s="8">
        <v>9</v>
      </c>
      <c r="J22" s="8">
        <v>10</v>
      </c>
      <c r="K22" s="8">
        <v>11</v>
      </c>
    </row>
    <row r="24" spans="1:11" ht="16.5" x14ac:dyDescent="0.25">
      <c r="A24" s="144" t="s">
        <v>1542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56" x14ac:dyDescent="0.25">
      <c r="A25" s="10">
        <v>1</v>
      </c>
      <c r="B25" s="10" t="s">
        <v>29</v>
      </c>
      <c r="C25" s="10" t="s">
        <v>1659</v>
      </c>
      <c r="D25" s="12" t="s">
        <v>24</v>
      </c>
      <c r="E25" s="11">
        <v>21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37.67</v>
      </c>
      <c r="G26" s="13" t="s">
        <v>1527</v>
      </c>
      <c r="H26" s="11">
        <v>1</v>
      </c>
      <c r="I26" s="14">
        <v>284.79000000000002</v>
      </c>
      <c r="J26" s="11">
        <v>57.05</v>
      </c>
      <c r="K26" s="14">
        <v>16247.27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1.32</v>
      </c>
      <c r="G27" s="13" t="s">
        <v>1527</v>
      </c>
      <c r="H27" s="11">
        <v>1</v>
      </c>
      <c r="I27" s="14">
        <v>9.98</v>
      </c>
      <c r="J27" s="11">
        <v>14.96</v>
      </c>
      <c r="K27" s="14">
        <v>149.30000000000001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0.13</v>
      </c>
      <c r="G28" s="13" t="s">
        <v>1527</v>
      </c>
      <c r="H28" s="11">
        <v>1</v>
      </c>
      <c r="I28" s="16">
        <v>0.98</v>
      </c>
      <c r="J28" s="11">
        <v>57.05</v>
      </c>
      <c r="K28" s="16">
        <v>55.91</v>
      </c>
    </row>
    <row r="29" spans="1:11" ht="14.5" x14ac:dyDescent="0.25">
      <c r="A29" s="10"/>
      <c r="B29" s="10"/>
      <c r="C29" s="10" t="s">
        <v>260</v>
      </c>
      <c r="D29" s="12" t="s">
        <v>261</v>
      </c>
      <c r="E29" s="11">
        <v>97</v>
      </c>
      <c r="F29" s="14"/>
      <c r="G29" s="13"/>
      <c r="H29" s="11"/>
      <c r="I29" s="14">
        <v>277.2</v>
      </c>
      <c r="J29" s="11">
        <v>97</v>
      </c>
      <c r="K29" s="14">
        <v>15814.08</v>
      </c>
    </row>
    <row r="30" spans="1:11" ht="14.5" x14ac:dyDescent="0.25">
      <c r="A30" s="10"/>
      <c r="B30" s="10"/>
      <c r="C30" s="10" t="s">
        <v>262</v>
      </c>
      <c r="D30" s="12" t="s">
        <v>261</v>
      </c>
      <c r="E30" s="11">
        <v>51</v>
      </c>
      <c r="F30" s="14"/>
      <c r="G30" s="13"/>
      <c r="H30" s="11"/>
      <c r="I30" s="14">
        <v>145.74</v>
      </c>
      <c r="J30" s="11">
        <v>51</v>
      </c>
      <c r="K30" s="14">
        <v>8314.6200000000008</v>
      </c>
    </row>
    <row r="31" spans="1:11" ht="14.5" x14ac:dyDescent="0.25">
      <c r="A31" s="17"/>
      <c r="B31" s="17"/>
      <c r="C31" s="17" t="s">
        <v>263</v>
      </c>
      <c r="D31" s="18" t="s">
        <v>264</v>
      </c>
      <c r="E31" s="19">
        <v>2.9</v>
      </c>
      <c r="F31" s="20"/>
      <c r="G31" s="37" t="s">
        <v>1527</v>
      </c>
      <c r="H31" s="19">
        <v>1</v>
      </c>
      <c r="I31" s="20">
        <v>21.92</v>
      </c>
      <c r="J31" s="19"/>
      <c r="K31" s="20"/>
    </row>
    <row r="32" spans="1:11" ht="14" x14ac:dyDescent="0.25">
      <c r="C32" s="22" t="s">
        <v>265</v>
      </c>
      <c r="H32" s="143">
        <v>717.71</v>
      </c>
      <c r="I32" s="143"/>
      <c r="J32" s="143">
        <v>40525.269999999997</v>
      </c>
      <c r="K32" s="143"/>
    </row>
    <row r="33" spans="1:11" ht="14" x14ac:dyDescent="0.25">
      <c r="C33" s="22" t="s">
        <v>267</v>
      </c>
      <c r="H33" s="141">
        <v>717.71</v>
      </c>
      <c r="I33" s="141"/>
      <c r="J33" s="141">
        <v>40525.269999999997</v>
      </c>
      <c r="K33" s="141"/>
    </row>
    <row r="35" spans="1:11" ht="14.5" x14ac:dyDescent="0.25">
      <c r="A35" s="10">
        <v>2</v>
      </c>
      <c r="B35" s="10" t="s">
        <v>1532</v>
      </c>
      <c r="C35" s="10" t="s">
        <v>1528</v>
      </c>
      <c r="D35" s="12" t="s">
        <v>50</v>
      </c>
      <c r="E35" s="11">
        <v>3.92</v>
      </c>
      <c r="F35" s="14"/>
      <c r="G35" s="13"/>
      <c r="H35" s="11"/>
      <c r="I35" s="14"/>
      <c r="J35" s="11"/>
      <c r="K35" s="14"/>
    </row>
    <row r="36" spans="1:11" x14ac:dyDescent="0.25">
      <c r="C36" s="23" t="s">
        <v>1533</v>
      </c>
    </row>
    <row r="37" spans="1:11" ht="14.5" x14ac:dyDescent="0.25">
      <c r="A37" s="10"/>
      <c r="B37" s="10"/>
      <c r="C37" s="10" t="s">
        <v>256</v>
      </c>
      <c r="D37" s="12"/>
      <c r="E37" s="11"/>
      <c r="F37" s="14">
        <v>26.44</v>
      </c>
      <c r="G37" s="13"/>
      <c r="H37" s="11">
        <v>1</v>
      </c>
      <c r="I37" s="14">
        <v>103.64</v>
      </c>
      <c r="J37" s="11">
        <v>57.05</v>
      </c>
      <c r="K37" s="14">
        <v>5912.66</v>
      </c>
    </row>
    <row r="38" spans="1:11" ht="14.5" x14ac:dyDescent="0.25">
      <c r="A38" s="10"/>
      <c r="B38" s="10"/>
      <c r="C38" s="10" t="s">
        <v>260</v>
      </c>
      <c r="D38" s="12" t="s">
        <v>261</v>
      </c>
      <c r="E38" s="11">
        <v>91</v>
      </c>
      <c r="F38" s="14"/>
      <c r="G38" s="13"/>
      <c r="H38" s="11"/>
      <c r="I38" s="14">
        <v>94.31</v>
      </c>
      <c r="J38" s="11">
        <v>91</v>
      </c>
      <c r="K38" s="14">
        <v>5380.52</v>
      </c>
    </row>
    <row r="39" spans="1:11" ht="14.5" x14ac:dyDescent="0.25">
      <c r="A39" s="10"/>
      <c r="B39" s="10"/>
      <c r="C39" s="10" t="s">
        <v>262</v>
      </c>
      <c r="D39" s="12" t="s">
        <v>261</v>
      </c>
      <c r="E39" s="11">
        <v>48</v>
      </c>
      <c r="F39" s="14"/>
      <c r="G39" s="13"/>
      <c r="H39" s="11"/>
      <c r="I39" s="14">
        <v>49.75</v>
      </c>
      <c r="J39" s="11">
        <v>48</v>
      </c>
      <c r="K39" s="14">
        <v>2838.08</v>
      </c>
    </row>
    <row r="40" spans="1:11" ht="14.5" x14ac:dyDescent="0.25">
      <c r="A40" s="17"/>
      <c r="B40" s="17"/>
      <c r="C40" s="17" t="s">
        <v>263</v>
      </c>
      <c r="D40" s="18" t="s">
        <v>264</v>
      </c>
      <c r="E40" s="19">
        <v>2.54</v>
      </c>
      <c r="F40" s="20"/>
      <c r="G40" s="37"/>
      <c r="H40" s="19">
        <v>1</v>
      </c>
      <c r="I40" s="20">
        <v>9.9600000000000009</v>
      </c>
      <c r="J40" s="19"/>
      <c r="K40" s="20"/>
    </row>
    <row r="41" spans="1:11" ht="14" x14ac:dyDescent="0.25">
      <c r="C41" s="22" t="s">
        <v>265</v>
      </c>
      <c r="H41" s="143">
        <v>247.7</v>
      </c>
      <c r="I41" s="143"/>
      <c r="J41" s="143">
        <v>14131.26</v>
      </c>
      <c r="K41" s="143"/>
    </row>
    <row r="42" spans="1:11" ht="14" x14ac:dyDescent="0.25">
      <c r="C42" s="22" t="s">
        <v>267</v>
      </c>
      <c r="H42" s="141">
        <v>247.7</v>
      </c>
      <c r="I42" s="141"/>
      <c r="J42" s="141">
        <v>14131.26</v>
      </c>
      <c r="K42" s="141"/>
    </row>
    <row r="45" spans="1:11" ht="14" x14ac:dyDescent="0.3">
      <c r="A45" s="140" t="s">
        <v>1541</v>
      </c>
      <c r="B45" s="140"/>
      <c r="C45" s="140"/>
      <c r="D45" s="140"/>
      <c r="E45" s="140"/>
      <c r="F45" s="140"/>
      <c r="G45" s="140"/>
      <c r="H45" s="141">
        <v>965.41</v>
      </c>
      <c r="I45" s="142"/>
      <c r="J45" s="141">
        <v>54656.53</v>
      </c>
      <c r="K45" s="142"/>
    </row>
    <row r="47" spans="1:11" ht="16.5" x14ac:dyDescent="0.25">
      <c r="A47" s="144" t="s">
        <v>1539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</row>
    <row r="48" spans="1:11" ht="42" x14ac:dyDescent="0.25">
      <c r="A48" s="10">
        <v>8</v>
      </c>
      <c r="B48" s="10" t="s">
        <v>1534</v>
      </c>
      <c r="C48" s="10" t="s">
        <v>1529</v>
      </c>
      <c r="D48" s="12" t="s">
        <v>50</v>
      </c>
      <c r="E48" s="11">
        <v>0.66</v>
      </c>
      <c r="F48" s="14"/>
      <c r="G48" s="13"/>
      <c r="H48" s="11"/>
      <c r="I48" s="14"/>
      <c r="J48" s="11"/>
      <c r="K48" s="14"/>
    </row>
    <row r="49" spans="1:11" x14ac:dyDescent="0.25">
      <c r="C49" s="23" t="s">
        <v>544</v>
      </c>
    </row>
    <row r="50" spans="1:11" ht="14.5" x14ac:dyDescent="0.25">
      <c r="A50" s="10"/>
      <c r="B50" s="10"/>
      <c r="C50" s="10" t="s">
        <v>256</v>
      </c>
      <c r="D50" s="12"/>
      <c r="E50" s="11"/>
      <c r="F50" s="14">
        <v>284.19</v>
      </c>
      <c r="G50" s="13" t="s">
        <v>13</v>
      </c>
      <c r="H50" s="11">
        <v>1</v>
      </c>
      <c r="I50" s="14">
        <v>225.08</v>
      </c>
      <c r="J50" s="11">
        <v>57.05</v>
      </c>
      <c r="K50" s="14">
        <v>12840.81</v>
      </c>
    </row>
    <row r="51" spans="1:11" ht="14.5" x14ac:dyDescent="0.25">
      <c r="A51" s="10"/>
      <c r="B51" s="10"/>
      <c r="C51" s="10" t="s">
        <v>257</v>
      </c>
      <c r="D51" s="12"/>
      <c r="E51" s="11"/>
      <c r="F51" s="14">
        <v>0.7</v>
      </c>
      <c r="G51" s="13" t="s">
        <v>13</v>
      </c>
      <c r="H51" s="11">
        <v>1</v>
      </c>
      <c r="I51" s="14">
        <v>0.55000000000000004</v>
      </c>
      <c r="J51" s="11">
        <v>9.7100000000000009</v>
      </c>
      <c r="K51" s="14">
        <v>5.34</v>
      </c>
    </row>
    <row r="52" spans="1:11" ht="14.5" x14ac:dyDescent="0.25">
      <c r="A52" s="10"/>
      <c r="B52" s="10"/>
      <c r="C52" s="10" t="s">
        <v>259</v>
      </c>
      <c r="D52" s="12"/>
      <c r="E52" s="11"/>
      <c r="F52" s="14">
        <v>32.56</v>
      </c>
      <c r="G52" s="13"/>
      <c r="H52" s="11">
        <v>1</v>
      </c>
      <c r="I52" s="14">
        <v>21.49</v>
      </c>
      <c r="J52" s="11">
        <v>14.63</v>
      </c>
      <c r="K52" s="14">
        <v>314.39999999999998</v>
      </c>
    </row>
    <row r="53" spans="1:11" ht="14.5" x14ac:dyDescent="0.25">
      <c r="A53" s="10"/>
      <c r="B53" s="10"/>
      <c r="C53" s="10" t="s">
        <v>260</v>
      </c>
      <c r="D53" s="12" t="s">
        <v>261</v>
      </c>
      <c r="E53" s="11">
        <v>87</v>
      </c>
      <c r="F53" s="14"/>
      <c r="G53" s="13"/>
      <c r="H53" s="11"/>
      <c r="I53" s="14">
        <v>195.82</v>
      </c>
      <c r="J53" s="11">
        <v>87</v>
      </c>
      <c r="K53" s="14">
        <v>11171.5</v>
      </c>
    </row>
    <row r="54" spans="1:11" ht="14.5" x14ac:dyDescent="0.25">
      <c r="A54" s="10"/>
      <c r="B54" s="10"/>
      <c r="C54" s="10" t="s">
        <v>262</v>
      </c>
      <c r="D54" s="12" t="s">
        <v>261</v>
      </c>
      <c r="E54" s="11">
        <v>44</v>
      </c>
      <c r="F54" s="14"/>
      <c r="G54" s="13"/>
      <c r="H54" s="11"/>
      <c r="I54" s="14">
        <v>99.04</v>
      </c>
      <c r="J54" s="11">
        <v>44</v>
      </c>
      <c r="K54" s="14">
        <v>5649.96</v>
      </c>
    </row>
    <row r="55" spans="1:11" ht="14.5" x14ac:dyDescent="0.25">
      <c r="A55" s="17"/>
      <c r="B55" s="17"/>
      <c r="C55" s="17" t="s">
        <v>263</v>
      </c>
      <c r="D55" s="18" t="s">
        <v>264</v>
      </c>
      <c r="E55" s="19">
        <v>26.56</v>
      </c>
      <c r="F55" s="20"/>
      <c r="G55" s="37" t="s">
        <v>13</v>
      </c>
      <c r="H55" s="19">
        <v>1</v>
      </c>
      <c r="I55" s="20">
        <v>21.04</v>
      </c>
      <c r="J55" s="19"/>
      <c r="K55" s="20"/>
    </row>
    <row r="56" spans="1:11" ht="14" x14ac:dyDescent="0.25">
      <c r="C56" s="22" t="s">
        <v>265</v>
      </c>
      <c r="H56" s="143">
        <v>541.98</v>
      </c>
      <c r="I56" s="143"/>
      <c r="J56" s="143">
        <v>29982.01</v>
      </c>
      <c r="K56" s="143"/>
    </row>
    <row r="57" spans="1:11" ht="14" x14ac:dyDescent="0.25">
      <c r="C57" s="22" t="s">
        <v>267</v>
      </c>
      <c r="H57" s="141">
        <v>541.98</v>
      </c>
      <c r="I57" s="141"/>
      <c r="J57" s="141">
        <v>29982.01</v>
      </c>
      <c r="K57" s="141"/>
    </row>
    <row r="59" spans="1:11" ht="42" x14ac:dyDescent="0.25">
      <c r="A59" s="10">
        <v>9</v>
      </c>
      <c r="B59" s="10" t="s">
        <v>1535</v>
      </c>
      <c r="C59" s="10" t="s">
        <v>1530</v>
      </c>
      <c r="D59" s="12" t="s">
        <v>50</v>
      </c>
      <c r="E59" s="11">
        <v>0.3327</v>
      </c>
      <c r="F59" s="14"/>
      <c r="G59" s="13"/>
      <c r="H59" s="11"/>
      <c r="I59" s="14"/>
      <c r="J59" s="11"/>
      <c r="K59" s="14"/>
    </row>
    <row r="60" spans="1:11" x14ac:dyDescent="0.25">
      <c r="C60" s="23" t="s">
        <v>1536</v>
      </c>
    </row>
    <row r="61" spans="1:11" ht="14.5" x14ac:dyDescent="0.25">
      <c r="A61" s="10"/>
      <c r="B61" s="10"/>
      <c r="C61" s="10" t="s">
        <v>256</v>
      </c>
      <c r="D61" s="12"/>
      <c r="E61" s="11"/>
      <c r="F61" s="14">
        <v>1003.13</v>
      </c>
      <c r="G61" s="13" t="s">
        <v>13</v>
      </c>
      <c r="H61" s="11">
        <v>1</v>
      </c>
      <c r="I61" s="14">
        <v>400.49</v>
      </c>
      <c r="J61" s="11">
        <v>57.05</v>
      </c>
      <c r="K61" s="14">
        <v>22847.95</v>
      </c>
    </row>
    <row r="62" spans="1:11" ht="14.5" x14ac:dyDescent="0.25">
      <c r="A62" s="10"/>
      <c r="B62" s="10"/>
      <c r="C62" s="10" t="s">
        <v>260</v>
      </c>
      <c r="D62" s="12" t="s">
        <v>261</v>
      </c>
      <c r="E62" s="11">
        <v>87</v>
      </c>
      <c r="F62" s="14"/>
      <c r="G62" s="13"/>
      <c r="H62" s="11"/>
      <c r="I62" s="14">
        <v>348.43</v>
      </c>
      <c r="J62" s="11">
        <v>87</v>
      </c>
      <c r="K62" s="14">
        <v>19877.72</v>
      </c>
    </row>
    <row r="63" spans="1:11" ht="14.5" x14ac:dyDescent="0.25">
      <c r="A63" s="10"/>
      <c r="B63" s="10"/>
      <c r="C63" s="10" t="s">
        <v>262</v>
      </c>
      <c r="D63" s="12" t="s">
        <v>261</v>
      </c>
      <c r="E63" s="11">
        <v>44</v>
      </c>
      <c r="F63" s="14"/>
      <c r="G63" s="13"/>
      <c r="H63" s="11"/>
      <c r="I63" s="14">
        <v>176.22</v>
      </c>
      <c r="J63" s="11">
        <v>44</v>
      </c>
      <c r="K63" s="14">
        <v>10053.1</v>
      </c>
    </row>
    <row r="64" spans="1:11" ht="14.5" x14ac:dyDescent="0.25">
      <c r="A64" s="17"/>
      <c r="B64" s="17"/>
      <c r="C64" s="17" t="s">
        <v>263</v>
      </c>
      <c r="D64" s="18" t="s">
        <v>264</v>
      </c>
      <c r="E64" s="19">
        <v>85.3</v>
      </c>
      <c r="F64" s="20"/>
      <c r="G64" s="37" t="s">
        <v>13</v>
      </c>
      <c r="H64" s="19">
        <v>1</v>
      </c>
      <c r="I64" s="20">
        <v>34.06</v>
      </c>
      <c r="J64" s="19"/>
      <c r="K64" s="20"/>
    </row>
    <row r="65" spans="1:11" ht="14" x14ac:dyDescent="0.25">
      <c r="C65" s="22" t="s">
        <v>265</v>
      </c>
      <c r="H65" s="143">
        <v>925.14</v>
      </c>
      <c r="I65" s="143"/>
      <c r="J65" s="143">
        <v>52778.77</v>
      </c>
      <c r="K65" s="143"/>
    </row>
    <row r="66" spans="1:11" ht="14" x14ac:dyDescent="0.25">
      <c r="C66" s="22" t="s">
        <v>267</v>
      </c>
      <c r="H66" s="141">
        <v>925.14</v>
      </c>
      <c r="I66" s="141"/>
      <c r="J66" s="141">
        <v>52778.77</v>
      </c>
      <c r="K66" s="141"/>
    </row>
    <row r="68" spans="1:11" ht="28" x14ac:dyDescent="0.25">
      <c r="A68" s="10">
        <v>10</v>
      </c>
      <c r="B68" s="10" t="s">
        <v>1537</v>
      </c>
      <c r="C68" s="10" t="s">
        <v>1531</v>
      </c>
      <c r="D68" s="12" t="s">
        <v>34</v>
      </c>
      <c r="E68" s="11">
        <v>0.12</v>
      </c>
      <c r="F68" s="14"/>
      <c r="G68" s="13"/>
      <c r="H68" s="11"/>
      <c r="I68" s="14"/>
      <c r="J68" s="11"/>
      <c r="K68" s="14"/>
    </row>
    <row r="69" spans="1:11" x14ac:dyDescent="0.25">
      <c r="C69" s="23" t="s">
        <v>1400</v>
      </c>
    </row>
    <row r="70" spans="1:11" ht="14.5" x14ac:dyDescent="0.25">
      <c r="A70" s="10"/>
      <c r="B70" s="10"/>
      <c r="C70" s="10" t="s">
        <v>256</v>
      </c>
      <c r="D70" s="12"/>
      <c r="E70" s="11"/>
      <c r="F70" s="14">
        <v>2135.38</v>
      </c>
      <c r="G70" s="13" t="s">
        <v>13</v>
      </c>
      <c r="H70" s="11">
        <v>1</v>
      </c>
      <c r="I70" s="14">
        <v>307.49</v>
      </c>
      <c r="J70" s="11">
        <v>57.05</v>
      </c>
      <c r="K70" s="14">
        <v>17542.3</v>
      </c>
    </row>
    <row r="71" spans="1:11" ht="14.5" x14ac:dyDescent="0.25">
      <c r="A71" s="10"/>
      <c r="B71" s="10"/>
      <c r="C71" s="10" t="s">
        <v>260</v>
      </c>
      <c r="D71" s="12" t="s">
        <v>261</v>
      </c>
      <c r="E71" s="11">
        <v>87</v>
      </c>
      <c r="F71" s="14"/>
      <c r="G71" s="13"/>
      <c r="H71" s="11"/>
      <c r="I71" s="14">
        <v>267.52</v>
      </c>
      <c r="J71" s="11">
        <v>87</v>
      </c>
      <c r="K71" s="14">
        <v>15261.8</v>
      </c>
    </row>
    <row r="72" spans="1:11" ht="14.5" x14ac:dyDescent="0.25">
      <c r="A72" s="10"/>
      <c r="B72" s="10"/>
      <c r="C72" s="10" t="s">
        <v>262</v>
      </c>
      <c r="D72" s="12" t="s">
        <v>261</v>
      </c>
      <c r="E72" s="11">
        <v>44</v>
      </c>
      <c r="F72" s="14"/>
      <c r="G72" s="13"/>
      <c r="H72" s="11"/>
      <c r="I72" s="14">
        <v>135.30000000000001</v>
      </c>
      <c r="J72" s="11">
        <v>44</v>
      </c>
      <c r="K72" s="14">
        <v>7718.61</v>
      </c>
    </row>
    <row r="73" spans="1:11" ht="14.5" x14ac:dyDescent="0.25">
      <c r="A73" s="17"/>
      <c r="B73" s="17"/>
      <c r="C73" s="17" t="s">
        <v>263</v>
      </c>
      <c r="D73" s="18" t="s">
        <v>264</v>
      </c>
      <c r="E73" s="19">
        <v>191</v>
      </c>
      <c r="F73" s="20"/>
      <c r="G73" s="37" t="s">
        <v>13</v>
      </c>
      <c r="H73" s="19">
        <v>1</v>
      </c>
      <c r="I73" s="20">
        <v>27.5</v>
      </c>
      <c r="J73" s="19"/>
      <c r="K73" s="20"/>
    </row>
    <row r="74" spans="1:11" ht="14" x14ac:dyDescent="0.25">
      <c r="C74" s="22" t="s">
        <v>265</v>
      </c>
      <c r="H74" s="143">
        <v>710.31</v>
      </c>
      <c r="I74" s="143"/>
      <c r="J74" s="143">
        <v>40522.71</v>
      </c>
      <c r="K74" s="143"/>
    </row>
    <row r="75" spans="1:11" ht="14" x14ac:dyDescent="0.25">
      <c r="C75" s="22" t="s">
        <v>267</v>
      </c>
      <c r="H75" s="141">
        <v>710.31</v>
      </c>
      <c r="I75" s="141"/>
      <c r="J75" s="141">
        <v>40522.71</v>
      </c>
      <c r="K75" s="141"/>
    </row>
    <row r="78" spans="1:11" ht="14" x14ac:dyDescent="0.3">
      <c r="A78" s="140" t="s">
        <v>1540</v>
      </c>
      <c r="B78" s="140"/>
      <c r="C78" s="140"/>
      <c r="D78" s="140"/>
      <c r="E78" s="140"/>
      <c r="F78" s="140"/>
      <c r="G78" s="140"/>
      <c r="H78" s="141">
        <v>2177.4299999999998</v>
      </c>
      <c r="I78" s="142"/>
      <c r="J78" s="141">
        <v>123283.49</v>
      </c>
      <c r="K78" s="142"/>
    </row>
    <row r="80" spans="1:11" ht="14" x14ac:dyDescent="0.3">
      <c r="A80" s="140" t="s">
        <v>970</v>
      </c>
      <c r="B80" s="140"/>
      <c r="C80" s="140"/>
      <c r="D80" s="140"/>
      <c r="E80" s="140"/>
      <c r="F80" s="140"/>
      <c r="G80" s="140"/>
      <c r="H80" s="141">
        <v>3142.84</v>
      </c>
      <c r="I80" s="142"/>
      <c r="J80" s="141">
        <v>177940.02</v>
      </c>
      <c r="K80" s="142"/>
    </row>
  </sheetData>
  <mergeCells count="43">
    <mergeCell ref="A9:K9"/>
    <mergeCell ref="J2:K2"/>
    <mergeCell ref="A3:K3"/>
    <mergeCell ref="A4:K4"/>
    <mergeCell ref="A6:K6"/>
    <mergeCell ref="A8:K8"/>
    <mergeCell ref="E16:H16"/>
    <mergeCell ref="E17:H17"/>
    <mergeCell ref="A20:K20"/>
    <mergeCell ref="E13:H13"/>
    <mergeCell ref="E14:H14"/>
    <mergeCell ref="E15:H15"/>
    <mergeCell ref="H33:I33"/>
    <mergeCell ref="J33:K33"/>
    <mergeCell ref="H41:I41"/>
    <mergeCell ref="J41:K41"/>
    <mergeCell ref="A24:K24"/>
    <mergeCell ref="H32:I32"/>
    <mergeCell ref="J32:K32"/>
    <mergeCell ref="H42:I42"/>
    <mergeCell ref="J42:K42"/>
    <mergeCell ref="A45:G45"/>
    <mergeCell ref="H45:I45"/>
    <mergeCell ref="J45:K45"/>
    <mergeCell ref="A47:K47"/>
    <mergeCell ref="H56:I56"/>
    <mergeCell ref="J56:K56"/>
    <mergeCell ref="H57:I57"/>
    <mergeCell ref="J57:K57"/>
    <mergeCell ref="H74:I74"/>
    <mergeCell ref="J74:K74"/>
    <mergeCell ref="H75:I75"/>
    <mergeCell ref="J75:K75"/>
    <mergeCell ref="H65:I65"/>
    <mergeCell ref="J65:K65"/>
    <mergeCell ref="H66:I66"/>
    <mergeCell ref="J66:K66"/>
    <mergeCell ref="A80:G80"/>
    <mergeCell ref="H80:I80"/>
    <mergeCell ref="J80:K80"/>
    <mergeCell ref="A78:G78"/>
    <mergeCell ref="H78:I78"/>
    <mergeCell ref="J78:K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8"/>
  <sheetViews>
    <sheetView topLeftCell="A998" zoomScale="70" zoomScaleNormal="100" workbookViewId="0">
      <selection activeCell="C912" sqref="C912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9.7265625" style="27" bestFit="1" customWidth="1"/>
    <col min="6" max="6" width="11.26953125" style="27" bestFit="1" customWidth="1"/>
    <col min="7" max="7" width="8.54296875" style="27" bestFit="1" customWidth="1"/>
    <col min="8" max="8" width="9.26953125" style="27" bestFit="1" customWidth="1"/>
    <col min="9" max="9" width="17.1796875" style="27" customWidth="1"/>
    <col min="10" max="10" width="10.1796875" style="27" customWidth="1"/>
    <col min="11" max="11" width="17.453125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327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408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1126.21</v>
      </c>
      <c r="J13" s="5">
        <v>12050.02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36.78</v>
      </c>
      <c r="J14" s="7">
        <v>456.62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679.75</v>
      </c>
      <c r="J15" s="7">
        <v>8504.41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409.68</v>
      </c>
      <c r="J16" s="7">
        <v>3088.99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30.72</v>
      </c>
      <c r="J17" s="7">
        <v>1752.76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2394.12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3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328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112" x14ac:dyDescent="0.25">
      <c r="A25" s="10">
        <v>1</v>
      </c>
      <c r="B25" s="10" t="s">
        <v>255</v>
      </c>
      <c r="C25" s="10" t="s">
        <v>4</v>
      </c>
      <c r="D25" s="12" t="s">
        <v>5</v>
      </c>
      <c r="E25" s="11">
        <v>0.8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267.58999999999997</v>
      </c>
      <c r="G26" s="15" t="s">
        <v>13</v>
      </c>
      <c r="H26" s="11">
        <v>1</v>
      </c>
      <c r="I26" s="14">
        <v>256.89</v>
      </c>
      <c r="J26" s="11">
        <v>57.05</v>
      </c>
      <c r="K26" s="14">
        <v>14655.57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95.26</v>
      </c>
      <c r="G27" s="15" t="s">
        <v>13</v>
      </c>
      <c r="H27" s="11">
        <v>1</v>
      </c>
      <c r="I27" s="14">
        <v>91.45</v>
      </c>
      <c r="J27" s="11">
        <v>16.55</v>
      </c>
      <c r="K27" s="14">
        <v>1513.5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11.61</v>
      </c>
      <c r="G28" s="15" t="s">
        <v>13</v>
      </c>
      <c r="H28" s="11">
        <v>1</v>
      </c>
      <c r="I28" s="16">
        <v>11.15</v>
      </c>
      <c r="J28" s="11">
        <v>57.05</v>
      </c>
      <c r="K28" s="16">
        <v>636.11</v>
      </c>
    </row>
    <row r="29" spans="1:11" ht="14.5" x14ac:dyDescent="0.25">
      <c r="A29" s="10"/>
      <c r="B29" s="10"/>
      <c r="C29" s="10" t="s">
        <v>259</v>
      </c>
      <c r="D29" s="12"/>
      <c r="E29" s="11"/>
      <c r="F29" s="14">
        <v>263.81</v>
      </c>
      <c r="G29" s="15" t="s">
        <v>1</v>
      </c>
      <c r="H29" s="11">
        <v>1</v>
      </c>
      <c r="I29" s="14">
        <v>211.05</v>
      </c>
      <c r="J29" s="11">
        <v>3.7</v>
      </c>
      <c r="K29" s="14">
        <v>780.89</v>
      </c>
    </row>
    <row r="30" spans="1:11" ht="56" x14ac:dyDescent="0.25">
      <c r="A30" s="10" t="s">
        <v>6</v>
      </c>
      <c r="B30" s="10" t="s">
        <v>7</v>
      </c>
      <c r="C30" s="10" t="s">
        <v>8</v>
      </c>
      <c r="D30" s="12" t="s">
        <v>9</v>
      </c>
      <c r="E30" s="11">
        <v>1</v>
      </c>
      <c r="F30" s="14">
        <v>31.08</v>
      </c>
      <c r="G30" s="15" t="s">
        <v>1</v>
      </c>
      <c r="H30" s="11">
        <v>1</v>
      </c>
      <c r="I30" s="14">
        <v>31.08</v>
      </c>
      <c r="J30" s="11">
        <v>3.59</v>
      </c>
      <c r="K30" s="14">
        <v>111.58</v>
      </c>
    </row>
    <row r="31" spans="1:11" ht="14.5" x14ac:dyDescent="0.25">
      <c r="A31" s="10"/>
      <c r="B31" s="10"/>
      <c r="C31" s="10" t="s">
        <v>260</v>
      </c>
      <c r="D31" s="12" t="s">
        <v>261</v>
      </c>
      <c r="E31" s="11">
        <v>97</v>
      </c>
      <c r="F31" s="14"/>
      <c r="G31" s="13"/>
      <c r="H31" s="11"/>
      <c r="I31" s="14">
        <v>260</v>
      </c>
      <c r="J31" s="11">
        <v>97</v>
      </c>
      <c r="K31" s="14">
        <v>14832.93</v>
      </c>
    </row>
    <row r="32" spans="1:11" ht="14.5" x14ac:dyDescent="0.25">
      <c r="A32" s="10"/>
      <c r="B32" s="10"/>
      <c r="C32" s="10" t="s">
        <v>262</v>
      </c>
      <c r="D32" s="12" t="s">
        <v>261</v>
      </c>
      <c r="E32" s="11">
        <v>51</v>
      </c>
      <c r="F32" s="14"/>
      <c r="G32" s="13"/>
      <c r="H32" s="11"/>
      <c r="I32" s="14">
        <v>136.69999999999999</v>
      </c>
      <c r="J32" s="11">
        <v>51</v>
      </c>
      <c r="K32" s="14">
        <v>7798.76</v>
      </c>
    </row>
    <row r="33" spans="1:11" ht="14.5" x14ac:dyDescent="0.25">
      <c r="A33" s="17"/>
      <c r="B33" s="17"/>
      <c r="C33" s="17" t="s">
        <v>263</v>
      </c>
      <c r="D33" s="18" t="s">
        <v>264</v>
      </c>
      <c r="E33" s="19">
        <v>20.6</v>
      </c>
      <c r="F33" s="20"/>
      <c r="G33" s="21" t="s">
        <v>13</v>
      </c>
      <c r="H33" s="19">
        <v>1</v>
      </c>
      <c r="I33" s="20">
        <v>19.78</v>
      </c>
      <c r="J33" s="19"/>
      <c r="K33" s="20"/>
    </row>
    <row r="34" spans="1:11" ht="14" x14ac:dyDescent="0.25">
      <c r="C34" s="22" t="s">
        <v>265</v>
      </c>
      <c r="H34" s="143">
        <v>987.17</v>
      </c>
      <c r="I34" s="143"/>
      <c r="J34" s="143">
        <v>39693.230000000003</v>
      </c>
      <c r="K34" s="143"/>
    </row>
    <row r="35" spans="1:11" ht="14" x14ac:dyDescent="0.25">
      <c r="C35" s="22" t="s">
        <v>267</v>
      </c>
      <c r="H35" s="141">
        <v>987.17</v>
      </c>
      <c r="I35" s="141"/>
      <c r="J35" s="141">
        <v>39693.230000000003</v>
      </c>
      <c r="K35" s="141"/>
    </row>
    <row r="37" spans="1:11" ht="54" x14ac:dyDescent="0.25">
      <c r="A37" s="17">
        <v>2</v>
      </c>
      <c r="B37" s="17" t="s">
        <v>409</v>
      </c>
      <c r="C37" s="17" t="s">
        <v>410</v>
      </c>
      <c r="D37" s="18" t="s">
        <v>11</v>
      </c>
      <c r="E37" s="19">
        <v>1</v>
      </c>
      <c r="F37" s="20">
        <v>37841.08</v>
      </c>
      <c r="G37" s="21" t="s">
        <v>1</v>
      </c>
      <c r="H37" s="19">
        <v>1</v>
      </c>
      <c r="I37" s="20">
        <v>37841.08</v>
      </c>
      <c r="J37" s="19">
        <v>7.54</v>
      </c>
      <c r="K37" s="20">
        <v>285321.74</v>
      </c>
    </row>
    <row r="38" spans="1:11" ht="14" x14ac:dyDescent="0.25">
      <c r="C38" s="22" t="s">
        <v>267</v>
      </c>
      <c r="H38" s="143">
        <v>37841.08</v>
      </c>
      <c r="I38" s="143"/>
      <c r="J38" s="143">
        <v>285321.74</v>
      </c>
      <c r="K38" s="143"/>
    </row>
    <row r="40" spans="1:11" ht="112" x14ac:dyDescent="0.25">
      <c r="A40" s="10">
        <v>3</v>
      </c>
      <c r="B40" s="10" t="s">
        <v>255</v>
      </c>
      <c r="C40" s="10" t="s">
        <v>4</v>
      </c>
      <c r="D40" s="12" t="s">
        <v>5</v>
      </c>
      <c r="E40" s="11">
        <v>0.45</v>
      </c>
      <c r="F40" s="14"/>
      <c r="G40" s="13"/>
      <c r="H40" s="11"/>
      <c r="I40" s="14"/>
      <c r="J40" s="11"/>
      <c r="K40" s="14"/>
    </row>
    <row r="41" spans="1:11" ht="14.5" x14ac:dyDescent="0.25">
      <c r="A41" s="10"/>
      <c r="B41" s="10"/>
      <c r="C41" s="10" t="s">
        <v>256</v>
      </c>
      <c r="D41" s="12"/>
      <c r="E41" s="11"/>
      <c r="F41" s="14">
        <v>267.58999999999997</v>
      </c>
      <c r="G41" s="15" t="s">
        <v>13</v>
      </c>
      <c r="H41" s="11">
        <v>1</v>
      </c>
      <c r="I41" s="14">
        <v>144.5</v>
      </c>
      <c r="J41" s="11">
        <v>57.05</v>
      </c>
      <c r="K41" s="14">
        <v>8243.73</v>
      </c>
    </row>
    <row r="42" spans="1:11" ht="14.5" x14ac:dyDescent="0.25">
      <c r="A42" s="10"/>
      <c r="B42" s="10"/>
      <c r="C42" s="10" t="s">
        <v>257</v>
      </c>
      <c r="D42" s="12"/>
      <c r="E42" s="11"/>
      <c r="F42" s="14">
        <v>95.26</v>
      </c>
      <c r="G42" s="15" t="s">
        <v>13</v>
      </c>
      <c r="H42" s="11">
        <v>1</v>
      </c>
      <c r="I42" s="14">
        <v>51.44</v>
      </c>
      <c r="J42" s="11">
        <v>16.55</v>
      </c>
      <c r="K42" s="14">
        <v>851.33</v>
      </c>
    </row>
    <row r="43" spans="1:11" ht="14.5" x14ac:dyDescent="0.25">
      <c r="A43" s="10"/>
      <c r="B43" s="10"/>
      <c r="C43" s="10" t="s">
        <v>258</v>
      </c>
      <c r="D43" s="12"/>
      <c r="E43" s="11"/>
      <c r="F43" s="14">
        <v>11.61</v>
      </c>
      <c r="G43" s="15" t="s">
        <v>13</v>
      </c>
      <c r="H43" s="11">
        <v>1</v>
      </c>
      <c r="I43" s="16">
        <v>6.27</v>
      </c>
      <c r="J43" s="11">
        <v>57.05</v>
      </c>
      <c r="K43" s="16">
        <v>357.7</v>
      </c>
    </row>
    <row r="44" spans="1:11" ht="14.5" x14ac:dyDescent="0.25">
      <c r="A44" s="10"/>
      <c r="B44" s="10"/>
      <c r="C44" s="10" t="s">
        <v>259</v>
      </c>
      <c r="D44" s="12"/>
      <c r="E44" s="11"/>
      <c r="F44" s="14">
        <v>263.81</v>
      </c>
      <c r="G44" s="15" t="s">
        <v>1</v>
      </c>
      <c r="H44" s="11">
        <v>1</v>
      </c>
      <c r="I44" s="14">
        <v>118.71</v>
      </c>
      <c r="J44" s="11">
        <v>3.7</v>
      </c>
      <c r="K44" s="14">
        <v>439.23</v>
      </c>
    </row>
    <row r="45" spans="1:11" ht="79" x14ac:dyDescent="0.25">
      <c r="A45" s="10" t="s">
        <v>14</v>
      </c>
      <c r="B45" s="10" t="s">
        <v>268</v>
      </c>
      <c r="C45" s="10" t="s">
        <v>8</v>
      </c>
      <c r="D45" s="12" t="s">
        <v>9</v>
      </c>
      <c r="E45" s="11">
        <v>0.5625</v>
      </c>
      <c r="F45" s="14">
        <v>31.08</v>
      </c>
      <c r="G45" s="15" t="s">
        <v>1</v>
      </c>
      <c r="H45" s="11">
        <v>1</v>
      </c>
      <c r="I45" s="14">
        <v>17.48</v>
      </c>
      <c r="J45" s="11">
        <v>3.59</v>
      </c>
      <c r="K45" s="14">
        <v>62.75</v>
      </c>
    </row>
    <row r="46" spans="1:11" ht="14.5" x14ac:dyDescent="0.25">
      <c r="A46" s="10"/>
      <c r="B46" s="10"/>
      <c r="C46" s="10" t="s">
        <v>260</v>
      </c>
      <c r="D46" s="12" t="s">
        <v>261</v>
      </c>
      <c r="E46" s="11">
        <v>97</v>
      </c>
      <c r="F46" s="14"/>
      <c r="G46" s="13"/>
      <c r="H46" s="11"/>
      <c r="I46" s="14">
        <v>146.25</v>
      </c>
      <c r="J46" s="11">
        <v>97</v>
      </c>
      <c r="K46" s="14">
        <v>8343.39</v>
      </c>
    </row>
    <row r="47" spans="1:11" ht="14.5" x14ac:dyDescent="0.25">
      <c r="A47" s="10"/>
      <c r="B47" s="10"/>
      <c r="C47" s="10" t="s">
        <v>262</v>
      </c>
      <c r="D47" s="12" t="s">
        <v>261</v>
      </c>
      <c r="E47" s="11">
        <v>51</v>
      </c>
      <c r="F47" s="14"/>
      <c r="G47" s="13"/>
      <c r="H47" s="11"/>
      <c r="I47" s="14">
        <v>76.89</v>
      </c>
      <c r="J47" s="11">
        <v>51</v>
      </c>
      <c r="K47" s="14">
        <v>4386.7299999999996</v>
      </c>
    </row>
    <row r="48" spans="1:11" ht="14.5" x14ac:dyDescent="0.25">
      <c r="A48" s="17"/>
      <c r="B48" s="17"/>
      <c r="C48" s="17" t="s">
        <v>263</v>
      </c>
      <c r="D48" s="18" t="s">
        <v>264</v>
      </c>
      <c r="E48" s="19">
        <v>20.6</v>
      </c>
      <c r="F48" s="20"/>
      <c r="G48" s="21" t="s">
        <v>13</v>
      </c>
      <c r="H48" s="19">
        <v>1</v>
      </c>
      <c r="I48" s="20">
        <v>11.12</v>
      </c>
      <c r="J48" s="19"/>
      <c r="K48" s="20"/>
    </row>
    <row r="49" spans="1:11" ht="14" x14ac:dyDescent="0.25">
      <c r="C49" s="22" t="s">
        <v>265</v>
      </c>
      <c r="H49" s="143">
        <v>555.27</v>
      </c>
      <c r="I49" s="143"/>
      <c r="J49" s="143">
        <v>22327.16</v>
      </c>
      <c r="K49" s="143"/>
    </row>
    <row r="50" spans="1:11" ht="14" x14ac:dyDescent="0.25">
      <c r="C50" s="22" t="s">
        <v>267</v>
      </c>
      <c r="H50" s="141">
        <v>555.27</v>
      </c>
      <c r="I50" s="141"/>
      <c r="J50" s="141">
        <v>22327.16</v>
      </c>
      <c r="K50" s="141"/>
    </row>
    <row r="52" spans="1:11" ht="68" x14ac:dyDescent="0.25">
      <c r="A52" s="17">
        <v>4</v>
      </c>
      <c r="B52" s="17" t="s">
        <v>409</v>
      </c>
      <c r="C52" s="17" t="s">
        <v>411</v>
      </c>
      <c r="D52" s="18" t="s">
        <v>11</v>
      </c>
      <c r="E52" s="19">
        <v>1</v>
      </c>
      <c r="F52" s="20">
        <v>14665.86</v>
      </c>
      <c r="G52" s="21" t="s">
        <v>1</v>
      </c>
      <c r="H52" s="19">
        <v>1</v>
      </c>
      <c r="I52" s="20">
        <v>14665.86</v>
      </c>
      <c r="J52" s="19">
        <v>7.54</v>
      </c>
      <c r="K52" s="20">
        <v>110580.58</v>
      </c>
    </row>
    <row r="53" spans="1:11" ht="14" x14ac:dyDescent="0.25">
      <c r="C53" s="22" t="s">
        <v>267</v>
      </c>
      <c r="H53" s="143">
        <v>14665.86</v>
      </c>
      <c r="I53" s="143"/>
      <c r="J53" s="143">
        <v>110580.58</v>
      </c>
      <c r="K53" s="143"/>
    </row>
    <row r="56" spans="1:11" ht="14" x14ac:dyDescent="0.3">
      <c r="A56" s="140" t="s">
        <v>329</v>
      </c>
      <c r="B56" s="140"/>
      <c r="C56" s="140"/>
      <c r="D56" s="140"/>
      <c r="E56" s="140"/>
      <c r="F56" s="140"/>
      <c r="G56" s="140"/>
      <c r="H56" s="141">
        <v>54049.38</v>
      </c>
      <c r="I56" s="142"/>
      <c r="J56" s="141">
        <v>457922.71</v>
      </c>
      <c r="K56" s="142"/>
    </row>
    <row r="58" spans="1:11" ht="29.25" customHeight="1" x14ac:dyDescent="0.25">
      <c r="A58" s="144" t="s">
        <v>330</v>
      </c>
      <c r="B58" s="144"/>
      <c r="C58" s="144"/>
      <c r="D58" s="144"/>
      <c r="E58" s="144"/>
      <c r="F58" s="144"/>
      <c r="G58" s="144"/>
      <c r="H58" s="144"/>
      <c r="I58" s="144"/>
      <c r="J58" s="144"/>
      <c r="K58" s="144"/>
    </row>
    <row r="59" spans="1:11" ht="112" x14ac:dyDescent="0.25">
      <c r="A59" s="10">
        <v>5</v>
      </c>
      <c r="B59" s="10" t="s">
        <v>255</v>
      </c>
      <c r="C59" s="10" t="s">
        <v>4</v>
      </c>
      <c r="D59" s="12" t="s">
        <v>5</v>
      </c>
      <c r="E59" s="11">
        <v>0.45</v>
      </c>
      <c r="F59" s="14"/>
      <c r="G59" s="13"/>
      <c r="H59" s="11"/>
      <c r="I59" s="14"/>
      <c r="J59" s="11"/>
      <c r="K59" s="14"/>
    </row>
    <row r="60" spans="1:11" ht="14.5" x14ac:dyDescent="0.25">
      <c r="A60" s="10"/>
      <c r="B60" s="10"/>
      <c r="C60" s="10" t="s">
        <v>256</v>
      </c>
      <c r="D60" s="12"/>
      <c r="E60" s="11"/>
      <c r="F60" s="14">
        <v>267.58999999999997</v>
      </c>
      <c r="G60" s="15" t="s">
        <v>13</v>
      </c>
      <c r="H60" s="11">
        <v>1</v>
      </c>
      <c r="I60" s="14">
        <v>144.5</v>
      </c>
      <c r="J60" s="11">
        <v>57.05</v>
      </c>
      <c r="K60" s="14">
        <v>8243.73</v>
      </c>
    </row>
    <row r="61" spans="1:11" ht="14.5" x14ac:dyDescent="0.25">
      <c r="A61" s="10"/>
      <c r="B61" s="10"/>
      <c r="C61" s="10" t="s">
        <v>257</v>
      </c>
      <c r="D61" s="12"/>
      <c r="E61" s="11"/>
      <c r="F61" s="14">
        <v>95.26</v>
      </c>
      <c r="G61" s="15" t="s">
        <v>13</v>
      </c>
      <c r="H61" s="11">
        <v>1</v>
      </c>
      <c r="I61" s="14">
        <v>51.44</v>
      </c>
      <c r="J61" s="11">
        <v>16.55</v>
      </c>
      <c r="K61" s="14">
        <v>851.33</v>
      </c>
    </row>
    <row r="62" spans="1:11" ht="14.5" x14ac:dyDescent="0.25">
      <c r="A62" s="10"/>
      <c r="B62" s="10"/>
      <c r="C62" s="10" t="s">
        <v>258</v>
      </c>
      <c r="D62" s="12"/>
      <c r="E62" s="11"/>
      <c r="F62" s="14">
        <v>11.61</v>
      </c>
      <c r="G62" s="15" t="s">
        <v>13</v>
      </c>
      <c r="H62" s="11">
        <v>1</v>
      </c>
      <c r="I62" s="16">
        <v>6.27</v>
      </c>
      <c r="J62" s="11">
        <v>57.05</v>
      </c>
      <c r="K62" s="16">
        <v>357.7</v>
      </c>
    </row>
    <row r="63" spans="1:11" ht="14.5" x14ac:dyDescent="0.25">
      <c r="A63" s="10"/>
      <c r="B63" s="10"/>
      <c r="C63" s="10" t="s">
        <v>259</v>
      </c>
      <c r="D63" s="12"/>
      <c r="E63" s="11"/>
      <c r="F63" s="14">
        <v>263.81</v>
      </c>
      <c r="G63" s="15" t="s">
        <v>1</v>
      </c>
      <c r="H63" s="11">
        <v>1</v>
      </c>
      <c r="I63" s="14">
        <v>118.71</v>
      </c>
      <c r="J63" s="11">
        <v>3.7</v>
      </c>
      <c r="K63" s="14">
        <v>439.23</v>
      </c>
    </row>
    <row r="64" spans="1:11" ht="79" x14ac:dyDescent="0.25">
      <c r="A64" s="10" t="s">
        <v>19</v>
      </c>
      <c r="B64" s="10" t="s">
        <v>268</v>
      </c>
      <c r="C64" s="10" t="s">
        <v>8</v>
      </c>
      <c r="D64" s="12" t="s">
        <v>9</v>
      </c>
      <c r="E64" s="11">
        <v>0.5625</v>
      </c>
      <c r="F64" s="14">
        <v>31.08</v>
      </c>
      <c r="G64" s="15" t="s">
        <v>1</v>
      </c>
      <c r="H64" s="11">
        <v>1</v>
      </c>
      <c r="I64" s="14">
        <v>17.48</v>
      </c>
      <c r="J64" s="11">
        <v>3.59</v>
      </c>
      <c r="K64" s="14">
        <v>62.75</v>
      </c>
    </row>
    <row r="65" spans="1:11" ht="14.5" x14ac:dyDescent="0.25">
      <c r="A65" s="10"/>
      <c r="B65" s="10"/>
      <c r="C65" s="10" t="s">
        <v>260</v>
      </c>
      <c r="D65" s="12" t="s">
        <v>261</v>
      </c>
      <c r="E65" s="11">
        <v>97</v>
      </c>
      <c r="F65" s="14"/>
      <c r="G65" s="13"/>
      <c r="H65" s="11"/>
      <c r="I65" s="14">
        <v>146.25</v>
      </c>
      <c r="J65" s="11">
        <v>97</v>
      </c>
      <c r="K65" s="14">
        <v>8343.39</v>
      </c>
    </row>
    <row r="66" spans="1:11" ht="14.5" x14ac:dyDescent="0.25">
      <c r="A66" s="10"/>
      <c r="B66" s="10"/>
      <c r="C66" s="10" t="s">
        <v>262</v>
      </c>
      <c r="D66" s="12" t="s">
        <v>261</v>
      </c>
      <c r="E66" s="11">
        <v>51</v>
      </c>
      <c r="F66" s="14"/>
      <c r="G66" s="13"/>
      <c r="H66" s="11"/>
      <c r="I66" s="14">
        <v>76.89</v>
      </c>
      <c r="J66" s="11">
        <v>51</v>
      </c>
      <c r="K66" s="14">
        <v>4386.7299999999996</v>
      </c>
    </row>
    <row r="67" spans="1:11" ht="14.5" x14ac:dyDescent="0.25">
      <c r="A67" s="17"/>
      <c r="B67" s="17"/>
      <c r="C67" s="17" t="s">
        <v>263</v>
      </c>
      <c r="D67" s="18" t="s">
        <v>264</v>
      </c>
      <c r="E67" s="19">
        <v>20.6</v>
      </c>
      <c r="F67" s="20"/>
      <c r="G67" s="21" t="s">
        <v>13</v>
      </c>
      <c r="H67" s="19">
        <v>1</v>
      </c>
      <c r="I67" s="20">
        <v>11.12</v>
      </c>
      <c r="J67" s="19"/>
      <c r="K67" s="20"/>
    </row>
    <row r="68" spans="1:11" ht="14" x14ac:dyDescent="0.25">
      <c r="C68" s="22" t="s">
        <v>265</v>
      </c>
      <c r="H68" s="143">
        <v>555.27</v>
      </c>
      <c r="I68" s="143"/>
      <c r="J68" s="143">
        <v>22327.16</v>
      </c>
      <c r="K68" s="143"/>
    </row>
    <row r="69" spans="1:11" ht="14" x14ac:dyDescent="0.25">
      <c r="C69" s="22" t="s">
        <v>267</v>
      </c>
      <c r="H69" s="141">
        <v>555.27</v>
      </c>
      <c r="I69" s="141"/>
      <c r="J69" s="141">
        <v>22327.16</v>
      </c>
      <c r="K69" s="141"/>
    </row>
    <row r="71" spans="1:11" ht="68" x14ac:dyDescent="0.25">
      <c r="A71" s="17">
        <v>6</v>
      </c>
      <c r="B71" s="17" t="s">
        <v>409</v>
      </c>
      <c r="C71" s="17" t="s">
        <v>412</v>
      </c>
      <c r="D71" s="18" t="s">
        <v>11</v>
      </c>
      <c r="E71" s="19">
        <v>1</v>
      </c>
      <c r="F71" s="20">
        <v>11421.94</v>
      </c>
      <c r="G71" s="21" t="s">
        <v>1</v>
      </c>
      <c r="H71" s="19">
        <v>1</v>
      </c>
      <c r="I71" s="20">
        <v>11421.94</v>
      </c>
      <c r="J71" s="19">
        <v>7.54</v>
      </c>
      <c r="K71" s="20">
        <v>86121.43</v>
      </c>
    </row>
    <row r="72" spans="1:11" ht="14" x14ac:dyDescent="0.25">
      <c r="C72" s="22" t="s">
        <v>267</v>
      </c>
      <c r="H72" s="143">
        <v>11421.94</v>
      </c>
      <c r="I72" s="143"/>
      <c r="J72" s="143">
        <v>86121.43</v>
      </c>
      <c r="K72" s="143"/>
    </row>
    <row r="75" spans="1:11" ht="14" x14ac:dyDescent="0.3">
      <c r="A75" s="140" t="s">
        <v>331</v>
      </c>
      <c r="B75" s="140"/>
      <c r="C75" s="140"/>
      <c r="D75" s="140"/>
      <c r="E75" s="140"/>
      <c r="F75" s="140"/>
      <c r="G75" s="140"/>
      <c r="H75" s="141">
        <v>11977.21</v>
      </c>
      <c r="I75" s="142"/>
      <c r="J75" s="141">
        <v>108448.59</v>
      </c>
      <c r="K75" s="142"/>
    </row>
    <row r="77" spans="1:11" ht="16.5" x14ac:dyDescent="0.25">
      <c r="A77" s="144" t="s">
        <v>332</v>
      </c>
      <c r="B77" s="144"/>
      <c r="C77" s="144"/>
      <c r="D77" s="144"/>
      <c r="E77" s="144"/>
      <c r="F77" s="144"/>
      <c r="G77" s="144"/>
      <c r="H77" s="144"/>
      <c r="I77" s="144"/>
      <c r="J77" s="144"/>
      <c r="K77" s="144"/>
    </row>
    <row r="78" spans="1:11" ht="112" x14ac:dyDescent="0.25">
      <c r="A78" s="10">
        <v>7</v>
      </c>
      <c r="B78" s="10" t="s">
        <v>255</v>
      </c>
      <c r="C78" s="10" t="s">
        <v>4</v>
      </c>
      <c r="D78" s="12" t="s">
        <v>5</v>
      </c>
      <c r="E78" s="11">
        <v>3.6</v>
      </c>
      <c r="F78" s="14"/>
      <c r="G78" s="13"/>
      <c r="H78" s="11"/>
      <c r="I78" s="14"/>
      <c r="J78" s="11"/>
      <c r="K78" s="14"/>
    </row>
    <row r="79" spans="1:11" x14ac:dyDescent="0.25">
      <c r="C79" s="23" t="s">
        <v>333</v>
      </c>
    </row>
    <row r="80" spans="1:11" ht="14.5" x14ac:dyDescent="0.25">
      <c r="A80" s="10"/>
      <c r="B80" s="10"/>
      <c r="C80" s="10" t="s">
        <v>256</v>
      </c>
      <c r="D80" s="12"/>
      <c r="E80" s="11"/>
      <c r="F80" s="14">
        <v>267.58999999999997</v>
      </c>
      <c r="G80" s="15" t="s">
        <v>13</v>
      </c>
      <c r="H80" s="11">
        <v>1</v>
      </c>
      <c r="I80" s="14">
        <v>1155.99</v>
      </c>
      <c r="J80" s="11">
        <v>57.05</v>
      </c>
      <c r="K80" s="14">
        <v>65949.23</v>
      </c>
    </row>
    <row r="81" spans="1:11" ht="14.5" x14ac:dyDescent="0.25">
      <c r="A81" s="10"/>
      <c r="B81" s="10"/>
      <c r="C81" s="10" t="s">
        <v>257</v>
      </c>
      <c r="D81" s="12"/>
      <c r="E81" s="11"/>
      <c r="F81" s="14">
        <v>95.26</v>
      </c>
      <c r="G81" s="15" t="s">
        <v>13</v>
      </c>
      <c r="H81" s="11">
        <v>1</v>
      </c>
      <c r="I81" s="14">
        <v>411.52</v>
      </c>
      <c r="J81" s="11">
        <v>16.55</v>
      </c>
      <c r="K81" s="14">
        <v>6810.66</v>
      </c>
    </row>
    <row r="82" spans="1:11" ht="14.5" x14ac:dyDescent="0.25">
      <c r="A82" s="10"/>
      <c r="B82" s="10"/>
      <c r="C82" s="10" t="s">
        <v>258</v>
      </c>
      <c r="D82" s="12"/>
      <c r="E82" s="11"/>
      <c r="F82" s="14">
        <v>11.61</v>
      </c>
      <c r="G82" s="15" t="s">
        <v>13</v>
      </c>
      <c r="H82" s="11">
        <v>1</v>
      </c>
      <c r="I82" s="16">
        <v>50.16</v>
      </c>
      <c r="J82" s="11">
        <v>57.05</v>
      </c>
      <c r="K82" s="16">
        <v>2861.63</v>
      </c>
    </row>
    <row r="83" spans="1:11" ht="14.5" x14ac:dyDescent="0.25">
      <c r="A83" s="10"/>
      <c r="B83" s="10"/>
      <c r="C83" s="10" t="s">
        <v>259</v>
      </c>
      <c r="D83" s="12"/>
      <c r="E83" s="11"/>
      <c r="F83" s="14">
        <v>263.81</v>
      </c>
      <c r="G83" s="15" t="s">
        <v>1</v>
      </c>
      <c r="H83" s="11">
        <v>1</v>
      </c>
      <c r="I83" s="14">
        <v>949.72</v>
      </c>
      <c r="J83" s="11">
        <v>3.7</v>
      </c>
      <c r="K83" s="14">
        <v>3513.96</v>
      </c>
    </row>
    <row r="84" spans="1:11" ht="79" x14ac:dyDescent="0.25">
      <c r="A84" s="10" t="s">
        <v>21</v>
      </c>
      <c r="B84" s="10" t="s">
        <v>268</v>
      </c>
      <c r="C84" s="10" t="s">
        <v>8</v>
      </c>
      <c r="D84" s="12" t="s">
        <v>9</v>
      </c>
      <c r="E84" s="11">
        <v>4.5</v>
      </c>
      <c r="F84" s="14">
        <v>31.08</v>
      </c>
      <c r="G84" s="15" t="s">
        <v>1</v>
      </c>
      <c r="H84" s="11">
        <v>1</v>
      </c>
      <c r="I84" s="14">
        <v>139.86000000000001</v>
      </c>
      <c r="J84" s="11">
        <v>3.59</v>
      </c>
      <c r="K84" s="14">
        <v>502.1</v>
      </c>
    </row>
    <row r="85" spans="1:11" ht="14.5" x14ac:dyDescent="0.25">
      <c r="A85" s="10"/>
      <c r="B85" s="10"/>
      <c r="C85" s="10" t="s">
        <v>260</v>
      </c>
      <c r="D85" s="12" t="s">
        <v>261</v>
      </c>
      <c r="E85" s="11">
        <v>97</v>
      </c>
      <c r="F85" s="14"/>
      <c r="G85" s="13"/>
      <c r="H85" s="11"/>
      <c r="I85" s="14">
        <v>1169.97</v>
      </c>
      <c r="J85" s="11">
        <v>97</v>
      </c>
      <c r="K85" s="14">
        <v>66746.53</v>
      </c>
    </row>
    <row r="86" spans="1:11" ht="14.5" x14ac:dyDescent="0.25">
      <c r="A86" s="10"/>
      <c r="B86" s="10"/>
      <c r="C86" s="10" t="s">
        <v>262</v>
      </c>
      <c r="D86" s="12" t="s">
        <v>261</v>
      </c>
      <c r="E86" s="11">
        <v>51</v>
      </c>
      <c r="F86" s="14"/>
      <c r="G86" s="13"/>
      <c r="H86" s="11"/>
      <c r="I86" s="14">
        <v>615.14</v>
      </c>
      <c r="J86" s="11">
        <v>51</v>
      </c>
      <c r="K86" s="14">
        <v>35093.54</v>
      </c>
    </row>
    <row r="87" spans="1:11" ht="14.5" x14ac:dyDescent="0.25">
      <c r="A87" s="17"/>
      <c r="B87" s="17"/>
      <c r="C87" s="17" t="s">
        <v>263</v>
      </c>
      <c r="D87" s="18" t="s">
        <v>264</v>
      </c>
      <c r="E87" s="19">
        <v>20.6</v>
      </c>
      <c r="F87" s="20"/>
      <c r="G87" s="21" t="s">
        <v>13</v>
      </c>
      <c r="H87" s="19">
        <v>1</v>
      </c>
      <c r="I87" s="20">
        <v>88.99</v>
      </c>
      <c r="J87" s="19"/>
      <c r="K87" s="20"/>
    </row>
    <row r="88" spans="1:11" ht="14" x14ac:dyDescent="0.25">
      <c r="C88" s="22" t="s">
        <v>265</v>
      </c>
      <c r="H88" s="143">
        <v>4442.2</v>
      </c>
      <c r="I88" s="143"/>
      <c r="J88" s="143">
        <v>178616.02</v>
      </c>
      <c r="K88" s="143"/>
    </row>
    <row r="89" spans="1:11" ht="14" x14ac:dyDescent="0.25">
      <c r="C89" s="22" t="s">
        <v>267</v>
      </c>
      <c r="H89" s="141">
        <v>4442.2</v>
      </c>
      <c r="I89" s="141"/>
      <c r="J89" s="141">
        <v>178616.02</v>
      </c>
      <c r="K89" s="141"/>
    </row>
    <row r="91" spans="1:11" ht="68" x14ac:dyDescent="0.25">
      <c r="A91" s="17">
        <v>8</v>
      </c>
      <c r="B91" s="17" t="s">
        <v>409</v>
      </c>
      <c r="C91" s="17" t="s">
        <v>413</v>
      </c>
      <c r="D91" s="18" t="s">
        <v>11</v>
      </c>
      <c r="E91" s="19">
        <v>8</v>
      </c>
      <c r="F91" s="20">
        <v>10856.46</v>
      </c>
      <c r="G91" s="21" t="s">
        <v>1</v>
      </c>
      <c r="H91" s="19">
        <v>1</v>
      </c>
      <c r="I91" s="20">
        <v>86851.68</v>
      </c>
      <c r="J91" s="19">
        <v>7.54</v>
      </c>
      <c r="K91" s="20">
        <v>654861.67000000004</v>
      </c>
    </row>
    <row r="92" spans="1:11" ht="14" x14ac:dyDescent="0.25">
      <c r="C92" s="22" t="s">
        <v>267</v>
      </c>
      <c r="H92" s="143">
        <v>86851.68</v>
      </c>
      <c r="I92" s="143"/>
      <c r="J92" s="143">
        <v>654861.67000000004</v>
      </c>
      <c r="K92" s="143"/>
    </row>
    <row r="94" spans="1:11" ht="112" x14ac:dyDescent="0.25">
      <c r="A94" s="10">
        <v>9</v>
      </c>
      <c r="B94" s="10" t="s">
        <v>255</v>
      </c>
      <c r="C94" s="10" t="s">
        <v>4</v>
      </c>
      <c r="D94" s="12" t="s">
        <v>5</v>
      </c>
      <c r="E94" s="11">
        <v>3.6</v>
      </c>
      <c r="F94" s="14"/>
      <c r="G94" s="13"/>
      <c r="H94" s="11"/>
      <c r="I94" s="14"/>
      <c r="J94" s="11"/>
      <c r="K94" s="14"/>
    </row>
    <row r="95" spans="1:11" x14ac:dyDescent="0.25">
      <c r="C95" s="23" t="s">
        <v>333</v>
      </c>
    </row>
    <row r="96" spans="1:11" ht="14.5" x14ac:dyDescent="0.25">
      <c r="A96" s="10"/>
      <c r="B96" s="10"/>
      <c r="C96" s="10" t="s">
        <v>256</v>
      </c>
      <c r="D96" s="12"/>
      <c r="E96" s="11"/>
      <c r="F96" s="14">
        <v>267.58999999999997</v>
      </c>
      <c r="G96" s="15" t="s">
        <v>13</v>
      </c>
      <c r="H96" s="11">
        <v>1</v>
      </c>
      <c r="I96" s="14">
        <v>1155.99</v>
      </c>
      <c r="J96" s="11">
        <v>57.05</v>
      </c>
      <c r="K96" s="14">
        <v>65949.23</v>
      </c>
    </row>
    <row r="97" spans="1:11" ht="14.5" x14ac:dyDescent="0.25">
      <c r="A97" s="10"/>
      <c r="B97" s="10"/>
      <c r="C97" s="10" t="s">
        <v>257</v>
      </c>
      <c r="D97" s="12"/>
      <c r="E97" s="11"/>
      <c r="F97" s="14">
        <v>95.26</v>
      </c>
      <c r="G97" s="15" t="s">
        <v>13</v>
      </c>
      <c r="H97" s="11">
        <v>1</v>
      </c>
      <c r="I97" s="14">
        <v>411.52</v>
      </c>
      <c r="J97" s="11">
        <v>16.55</v>
      </c>
      <c r="K97" s="14">
        <v>6810.66</v>
      </c>
    </row>
    <row r="98" spans="1:11" ht="14.5" x14ac:dyDescent="0.25">
      <c r="A98" s="10"/>
      <c r="B98" s="10"/>
      <c r="C98" s="10" t="s">
        <v>258</v>
      </c>
      <c r="D98" s="12"/>
      <c r="E98" s="11"/>
      <c r="F98" s="14">
        <v>11.61</v>
      </c>
      <c r="G98" s="15" t="s">
        <v>13</v>
      </c>
      <c r="H98" s="11">
        <v>1</v>
      </c>
      <c r="I98" s="16">
        <v>50.16</v>
      </c>
      <c r="J98" s="11">
        <v>57.05</v>
      </c>
      <c r="K98" s="16">
        <v>2861.63</v>
      </c>
    </row>
    <row r="99" spans="1:11" ht="14.5" x14ac:dyDescent="0.25">
      <c r="A99" s="10"/>
      <c r="B99" s="10"/>
      <c r="C99" s="10" t="s">
        <v>259</v>
      </c>
      <c r="D99" s="12"/>
      <c r="E99" s="11"/>
      <c r="F99" s="14">
        <v>263.81</v>
      </c>
      <c r="G99" s="15" t="s">
        <v>1</v>
      </c>
      <c r="H99" s="11">
        <v>1</v>
      </c>
      <c r="I99" s="14">
        <v>949.72</v>
      </c>
      <c r="J99" s="11">
        <v>3.7</v>
      </c>
      <c r="K99" s="14">
        <v>3513.96</v>
      </c>
    </row>
    <row r="100" spans="1:11" ht="79" x14ac:dyDescent="0.25">
      <c r="A100" s="10" t="s">
        <v>22</v>
      </c>
      <c r="B100" s="10" t="s">
        <v>268</v>
      </c>
      <c r="C100" s="10" t="s">
        <v>8</v>
      </c>
      <c r="D100" s="12" t="s">
        <v>9</v>
      </c>
      <c r="E100" s="11">
        <v>4.5</v>
      </c>
      <c r="F100" s="14">
        <v>31.08</v>
      </c>
      <c r="G100" s="15" t="s">
        <v>1</v>
      </c>
      <c r="H100" s="11">
        <v>1</v>
      </c>
      <c r="I100" s="14">
        <v>139.86000000000001</v>
      </c>
      <c r="J100" s="11">
        <v>3.59</v>
      </c>
      <c r="K100" s="14">
        <v>502.1</v>
      </c>
    </row>
    <row r="101" spans="1:11" ht="14.5" x14ac:dyDescent="0.25">
      <c r="A101" s="10"/>
      <c r="B101" s="10"/>
      <c r="C101" s="10" t="s">
        <v>260</v>
      </c>
      <c r="D101" s="12" t="s">
        <v>261</v>
      </c>
      <c r="E101" s="11">
        <v>97</v>
      </c>
      <c r="F101" s="14"/>
      <c r="G101" s="13"/>
      <c r="H101" s="11"/>
      <c r="I101" s="14">
        <v>1169.97</v>
      </c>
      <c r="J101" s="11">
        <v>97</v>
      </c>
      <c r="K101" s="14">
        <v>66746.53</v>
      </c>
    </row>
    <row r="102" spans="1:11" ht="14.5" x14ac:dyDescent="0.25">
      <c r="A102" s="10"/>
      <c r="B102" s="10"/>
      <c r="C102" s="10" t="s">
        <v>262</v>
      </c>
      <c r="D102" s="12" t="s">
        <v>261</v>
      </c>
      <c r="E102" s="11">
        <v>51</v>
      </c>
      <c r="F102" s="14"/>
      <c r="G102" s="13"/>
      <c r="H102" s="11"/>
      <c r="I102" s="14">
        <v>615.14</v>
      </c>
      <c r="J102" s="11">
        <v>51</v>
      </c>
      <c r="K102" s="14">
        <v>35093.54</v>
      </c>
    </row>
    <row r="103" spans="1:11" ht="14.5" x14ac:dyDescent="0.25">
      <c r="A103" s="17"/>
      <c r="B103" s="17"/>
      <c r="C103" s="17" t="s">
        <v>263</v>
      </c>
      <c r="D103" s="18" t="s">
        <v>264</v>
      </c>
      <c r="E103" s="19">
        <v>20.6</v>
      </c>
      <c r="F103" s="20"/>
      <c r="G103" s="21" t="s">
        <v>13</v>
      </c>
      <c r="H103" s="19">
        <v>1</v>
      </c>
      <c r="I103" s="20">
        <v>88.99</v>
      </c>
      <c r="J103" s="19"/>
      <c r="K103" s="20"/>
    </row>
    <row r="104" spans="1:11" ht="14" x14ac:dyDescent="0.25">
      <c r="C104" s="22" t="s">
        <v>265</v>
      </c>
      <c r="H104" s="143">
        <v>4442.2</v>
      </c>
      <c r="I104" s="143"/>
      <c r="J104" s="143">
        <v>178616.02</v>
      </c>
      <c r="K104" s="143"/>
    </row>
    <row r="105" spans="1:11" ht="14" x14ac:dyDescent="0.25">
      <c r="C105" s="22" t="s">
        <v>267</v>
      </c>
      <c r="H105" s="141">
        <v>4442.2</v>
      </c>
      <c r="I105" s="141"/>
      <c r="J105" s="141">
        <v>178616.02</v>
      </c>
      <c r="K105" s="141"/>
    </row>
    <row r="107" spans="1:11" ht="54" x14ac:dyDescent="0.25">
      <c r="A107" s="17">
        <v>10</v>
      </c>
      <c r="B107" s="17" t="s">
        <v>409</v>
      </c>
      <c r="C107" s="17" t="s">
        <v>1950</v>
      </c>
      <c r="D107" s="18" t="s">
        <v>11</v>
      </c>
      <c r="E107" s="19">
        <v>8</v>
      </c>
      <c r="F107" s="20">
        <v>18649.18</v>
      </c>
      <c r="G107" s="21" t="s">
        <v>1</v>
      </c>
      <c r="H107" s="19">
        <v>1</v>
      </c>
      <c r="I107" s="20">
        <v>149193.44</v>
      </c>
      <c r="J107" s="19">
        <v>7.54</v>
      </c>
      <c r="K107" s="20">
        <v>1124918.54</v>
      </c>
    </row>
    <row r="108" spans="1:11" ht="14" x14ac:dyDescent="0.25">
      <c r="C108" s="22" t="s">
        <v>267</v>
      </c>
      <c r="H108" s="143">
        <v>149193.44</v>
      </c>
      <c r="I108" s="143"/>
      <c r="J108" s="143">
        <v>1124918.54</v>
      </c>
      <c r="K108" s="143"/>
    </row>
    <row r="111" spans="1:11" ht="14" x14ac:dyDescent="0.3">
      <c r="A111" s="140" t="s">
        <v>334</v>
      </c>
      <c r="B111" s="140"/>
      <c r="C111" s="140"/>
      <c r="D111" s="140"/>
      <c r="E111" s="140"/>
      <c r="F111" s="140"/>
      <c r="G111" s="140"/>
      <c r="H111" s="141">
        <v>244929.52</v>
      </c>
      <c r="I111" s="142"/>
      <c r="J111" s="141">
        <v>2137012.25</v>
      </c>
      <c r="K111" s="142"/>
    </row>
    <row r="113" spans="1:11" ht="16.5" x14ac:dyDescent="0.25">
      <c r="A113" s="144" t="s">
        <v>335</v>
      </c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</row>
    <row r="114" spans="1:11" ht="79" x14ac:dyDescent="0.25">
      <c r="A114" s="10">
        <v>11</v>
      </c>
      <c r="B114" s="10" t="s">
        <v>269</v>
      </c>
      <c r="C114" s="10" t="s">
        <v>23</v>
      </c>
      <c r="D114" s="12" t="s">
        <v>24</v>
      </c>
      <c r="E114" s="11">
        <v>8</v>
      </c>
      <c r="F114" s="14"/>
      <c r="G114" s="13"/>
      <c r="H114" s="11"/>
      <c r="I114" s="14"/>
      <c r="J114" s="11"/>
      <c r="K114" s="14"/>
    </row>
    <row r="115" spans="1:11" ht="14.5" x14ac:dyDescent="0.25">
      <c r="A115" s="10"/>
      <c r="B115" s="10"/>
      <c r="C115" s="10" t="s">
        <v>256</v>
      </c>
      <c r="D115" s="12"/>
      <c r="E115" s="11"/>
      <c r="F115" s="14">
        <v>26.76</v>
      </c>
      <c r="G115" s="15" t="s">
        <v>13</v>
      </c>
      <c r="H115" s="11">
        <v>1</v>
      </c>
      <c r="I115" s="14">
        <v>256.89999999999998</v>
      </c>
      <c r="J115" s="11">
        <v>57.05</v>
      </c>
      <c r="K115" s="14">
        <v>14656.15</v>
      </c>
    </row>
    <row r="116" spans="1:11" ht="14.5" x14ac:dyDescent="0.25">
      <c r="A116" s="10"/>
      <c r="B116" s="10"/>
      <c r="C116" s="10" t="s">
        <v>257</v>
      </c>
      <c r="D116" s="12"/>
      <c r="E116" s="11"/>
      <c r="F116" s="14">
        <v>17.420000000000002</v>
      </c>
      <c r="G116" s="15" t="s">
        <v>13</v>
      </c>
      <c r="H116" s="11">
        <v>1</v>
      </c>
      <c r="I116" s="14">
        <v>167.23</v>
      </c>
      <c r="J116" s="11">
        <v>20.11</v>
      </c>
      <c r="K116" s="14">
        <v>3363</v>
      </c>
    </row>
    <row r="117" spans="1:11" ht="14.5" x14ac:dyDescent="0.25">
      <c r="A117" s="10"/>
      <c r="B117" s="10"/>
      <c r="C117" s="10" t="s">
        <v>258</v>
      </c>
      <c r="D117" s="12"/>
      <c r="E117" s="11"/>
      <c r="F117" s="14">
        <v>3.16</v>
      </c>
      <c r="G117" s="15" t="s">
        <v>13</v>
      </c>
      <c r="H117" s="11">
        <v>1</v>
      </c>
      <c r="I117" s="16">
        <v>30.34</v>
      </c>
      <c r="J117" s="11">
        <v>57.05</v>
      </c>
      <c r="K117" s="16">
        <v>1730.9</v>
      </c>
    </row>
    <row r="118" spans="1:11" ht="14.5" x14ac:dyDescent="0.25">
      <c r="A118" s="10"/>
      <c r="B118" s="10"/>
      <c r="C118" s="10" t="s">
        <v>259</v>
      </c>
      <c r="D118" s="12"/>
      <c r="E118" s="11"/>
      <c r="F118" s="14">
        <v>1.46</v>
      </c>
      <c r="G118" s="15" t="s">
        <v>1</v>
      </c>
      <c r="H118" s="11">
        <v>1</v>
      </c>
      <c r="I118" s="14">
        <v>11.68</v>
      </c>
      <c r="J118" s="11">
        <v>13.13</v>
      </c>
      <c r="K118" s="14">
        <v>153.36000000000001</v>
      </c>
    </row>
    <row r="119" spans="1:11" ht="28" x14ac:dyDescent="0.25">
      <c r="A119" s="10" t="s">
        <v>25</v>
      </c>
      <c r="B119" s="10" t="s">
        <v>26</v>
      </c>
      <c r="C119" s="10" t="s">
        <v>27</v>
      </c>
      <c r="D119" s="12" t="s">
        <v>28</v>
      </c>
      <c r="E119" s="11">
        <v>8.0000000000000004E-4</v>
      </c>
      <c r="F119" s="14">
        <v>22524.65</v>
      </c>
      <c r="G119" s="15" t="s">
        <v>1</v>
      </c>
      <c r="H119" s="11">
        <v>1</v>
      </c>
      <c r="I119" s="14">
        <v>18.02</v>
      </c>
      <c r="J119" s="11">
        <v>5.94</v>
      </c>
      <c r="K119" s="14">
        <v>107.04</v>
      </c>
    </row>
    <row r="120" spans="1:11" ht="14.5" x14ac:dyDescent="0.25">
      <c r="A120" s="10"/>
      <c r="B120" s="10"/>
      <c r="C120" s="10" t="s">
        <v>260</v>
      </c>
      <c r="D120" s="12" t="s">
        <v>261</v>
      </c>
      <c r="E120" s="11">
        <v>97</v>
      </c>
      <c r="F120" s="14"/>
      <c r="G120" s="13"/>
      <c r="H120" s="11"/>
      <c r="I120" s="14">
        <v>278.62</v>
      </c>
      <c r="J120" s="11">
        <v>97</v>
      </c>
      <c r="K120" s="14">
        <v>15895.44</v>
      </c>
    </row>
    <row r="121" spans="1:11" ht="14.5" x14ac:dyDescent="0.25">
      <c r="A121" s="10"/>
      <c r="B121" s="10"/>
      <c r="C121" s="10" t="s">
        <v>262</v>
      </c>
      <c r="D121" s="12" t="s">
        <v>261</v>
      </c>
      <c r="E121" s="11">
        <v>51</v>
      </c>
      <c r="F121" s="14"/>
      <c r="G121" s="13"/>
      <c r="H121" s="11"/>
      <c r="I121" s="14">
        <v>146.49</v>
      </c>
      <c r="J121" s="11">
        <v>51</v>
      </c>
      <c r="K121" s="14">
        <v>8357.4</v>
      </c>
    </row>
    <row r="122" spans="1:11" ht="14.5" x14ac:dyDescent="0.25">
      <c r="A122" s="17"/>
      <c r="B122" s="17"/>
      <c r="C122" s="17" t="s">
        <v>263</v>
      </c>
      <c r="D122" s="18" t="s">
        <v>264</v>
      </c>
      <c r="E122" s="19">
        <v>2.06</v>
      </c>
      <c r="F122" s="20"/>
      <c r="G122" s="21" t="s">
        <v>13</v>
      </c>
      <c r="H122" s="19">
        <v>1</v>
      </c>
      <c r="I122" s="20">
        <v>19.78</v>
      </c>
      <c r="J122" s="19"/>
      <c r="K122" s="20"/>
    </row>
    <row r="123" spans="1:11" ht="14" x14ac:dyDescent="0.25">
      <c r="C123" s="22" t="s">
        <v>265</v>
      </c>
      <c r="H123" s="143">
        <v>878.94</v>
      </c>
      <c r="I123" s="143"/>
      <c r="J123" s="143">
        <v>42532.39</v>
      </c>
      <c r="K123" s="143"/>
    </row>
    <row r="124" spans="1:11" ht="14" x14ac:dyDescent="0.25">
      <c r="C124" s="22" t="s">
        <v>267</v>
      </c>
      <c r="H124" s="141">
        <v>878.94</v>
      </c>
      <c r="I124" s="141"/>
      <c r="J124" s="141">
        <v>42532.39</v>
      </c>
      <c r="K124" s="141"/>
    </row>
    <row r="126" spans="1:11" ht="82" x14ac:dyDescent="0.25">
      <c r="A126" s="17">
        <v>12</v>
      </c>
      <c r="B126" s="17" t="s">
        <v>409</v>
      </c>
      <c r="C126" s="17" t="s">
        <v>414</v>
      </c>
      <c r="D126" s="18" t="s">
        <v>11</v>
      </c>
      <c r="E126" s="19">
        <v>2</v>
      </c>
      <c r="F126" s="20">
        <v>1198.32</v>
      </c>
      <c r="G126" s="21" t="s">
        <v>1</v>
      </c>
      <c r="H126" s="19">
        <v>1</v>
      </c>
      <c r="I126" s="20">
        <v>2396.64</v>
      </c>
      <c r="J126" s="19">
        <v>7.54</v>
      </c>
      <c r="K126" s="20">
        <v>18070.669999999998</v>
      </c>
    </row>
    <row r="127" spans="1:11" ht="14" x14ac:dyDescent="0.25">
      <c r="C127" s="22" t="s">
        <v>267</v>
      </c>
      <c r="H127" s="143">
        <v>2396.64</v>
      </c>
      <c r="I127" s="143"/>
      <c r="J127" s="143">
        <v>18070.669999999998</v>
      </c>
      <c r="K127" s="143"/>
    </row>
    <row r="129" spans="1:11" ht="96" x14ac:dyDescent="0.25">
      <c r="A129" s="17">
        <v>13</v>
      </c>
      <c r="B129" s="17" t="s">
        <v>409</v>
      </c>
      <c r="C129" s="17" t="s">
        <v>421</v>
      </c>
      <c r="D129" s="18" t="s">
        <v>11</v>
      </c>
      <c r="E129" s="19">
        <v>1</v>
      </c>
      <c r="F129" s="20">
        <v>840.28</v>
      </c>
      <c r="G129" s="21" t="s">
        <v>1</v>
      </c>
      <c r="H129" s="19">
        <v>1</v>
      </c>
      <c r="I129" s="20">
        <v>840.28</v>
      </c>
      <c r="J129" s="19">
        <v>7.54</v>
      </c>
      <c r="K129" s="20">
        <v>6335.71</v>
      </c>
    </row>
    <row r="130" spans="1:11" ht="14" x14ac:dyDescent="0.25">
      <c r="C130" s="22" t="s">
        <v>267</v>
      </c>
      <c r="H130" s="143">
        <v>840.28</v>
      </c>
      <c r="I130" s="143"/>
      <c r="J130" s="143">
        <v>6335.71</v>
      </c>
      <c r="K130" s="143"/>
    </row>
    <row r="132" spans="1:11" ht="82" x14ac:dyDescent="0.25">
      <c r="A132" s="17">
        <v>14</v>
      </c>
      <c r="B132" s="17" t="s">
        <v>409</v>
      </c>
      <c r="C132" s="17" t="s">
        <v>422</v>
      </c>
      <c r="D132" s="18" t="s">
        <v>11</v>
      </c>
      <c r="E132" s="19">
        <v>1</v>
      </c>
      <c r="F132" s="20">
        <v>1005.11</v>
      </c>
      <c r="G132" s="21" t="s">
        <v>1</v>
      </c>
      <c r="H132" s="19">
        <v>1</v>
      </c>
      <c r="I132" s="20">
        <v>1005.11</v>
      </c>
      <c r="J132" s="19">
        <v>7.54</v>
      </c>
      <c r="K132" s="20">
        <v>7578.53</v>
      </c>
    </row>
    <row r="133" spans="1:11" ht="14" x14ac:dyDescent="0.25">
      <c r="C133" s="22" t="s">
        <v>267</v>
      </c>
      <c r="H133" s="143">
        <v>1005.11</v>
      </c>
      <c r="I133" s="143"/>
      <c r="J133" s="143">
        <v>7578.53</v>
      </c>
      <c r="K133" s="143"/>
    </row>
    <row r="135" spans="1:11" ht="82" x14ac:dyDescent="0.25">
      <c r="A135" s="17">
        <v>15</v>
      </c>
      <c r="B135" s="17" t="s">
        <v>409</v>
      </c>
      <c r="C135" s="17" t="s">
        <v>415</v>
      </c>
      <c r="D135" s="18" t="s">
        <v>11</v>
      </c>
      <c r="E135" s="19">
        <v>1</v>
      </c>
      <c r="F135" s="20">
        <v>1207.69</v>
      </c>
      <c r="G135" s="21" t="s">
        <v>1</v>
      </c>
      <c r="H135" s="19">
        <v>1</v>
      </c>
      <c r="I135" s="20">
        <v>1207.69</v>
      </c>
      <c r="J135" s="19">
        <v>7.54</v>
      </c>
      <c r="K135" s="20">
        <v>9105.98</v>
      </c>
    </row>
    <row r="136" spans="1:11" ht="14" x14ac:dyDescent="0.25">
      <c r="C136" s="22" t="s">
        <v>267</v>
      </c>
      <c r="H136" s="143">
        <v>1207.69</v>
      </c>
      <c r="I136" s="143"/>
      <c r="J136" s="143">
        <v>9105.98</v>
      </c>
      <c r="K136" s="143"/>
    </row>
    <row r="138" spans="1:11" ht="82" x14ac:dyDescent="0.25">
      <c r="A138" s="17">
        <v>16</v>
      </c>
      <c r="B138" s="17" t="s">
        <v>409</v>
      </c>
      <c r="C138" s="17" t="s">
        <v>416</v>
      </c>
      <c r="D138" s="18" t="s">
        <v>11</v>
      </c>
      <c r="E138" s="19">
        <v>1</v>
      </c>
      <c r="F138" s="20">
        <v>33627.86</v>
      </c>
      <c r="G138" s="21" t="s">
        <v>1</v>
      </c>
      <c r="H138" s="19">
        <v>1</v>
      </c>
      <c r="I138" s="20">
        <v>33627.86</v>
      </c>
      <c r="J138" s="19">
        <v>7.54</v>
      </c>
      <c r="K138" s="20">
        <v>253554.06</v>
      </c>
    </row>
    <row r="139" spans="1:11" ht="14" x14ac:dyDescent="0.25">
      <c r="C139" s="22" t="s">
        <v>267</v>
      </c>
      <c r="H139" s="143">
        <v>33627.86</v>
      </c>
      <c r="I139" s="143"/>
      <c r="J139" s="143">
        <v>253554.06</v>
      </c>
      <c r="K139" s="143"/>
    </row>
    <row r="141" spans="1:11" ht="82" x14ac:dyDescent="0.25">
      <c r="A141" s="17">
        <v>17</v>
      </c>
      <c r="B141" s="17" t="s">
        <v>409</v>
      </c>
      <c r="C141" s="17" t="s">
        <v>417</v>
      </c>
      <c r="D141" s="18" t="s">
        <v>11</v>
      </c>
      <c r="E141" s="19">
        <v>1</v>
      </c>
      <c r="F141" s="20">
        <v>20994.58</v>
      </c>
      <c r="G141" s="21" t="s">
        <v>1</v>
      </c>
      <c r="H141" s="19">
        <v>1</v>
      </c>
      <c r="I141" s="20">
        <v>20994.58</v>
      </c>
      <c r="J141" s="19">
        <v>7.54</v>
      </c>
      <c r="K141" s="20">
        <v>158299.13</v>
      </c>
    </row>
    <row r="142" spans="1:11" ht="14" x14ac:dyDescent="0.25">
      <c r="C142" s="22" t="s">
        <v>267</v>
      </c>
      <c r="H142" s="143">
        <v>20994.58</v>
      </c>
      <c r="I142" s="143"/>
      <c r="J142" s="143">
        <v>158299.13</v>
      </c>
      <c r="K142" s="143"/>
    </row>
    <row r="144" spans="1:11" ht="82" x14ac:dyDescent="0.25">
      <c r="A144" s="17">
        <v>18</v>
      </c>
      <c r="B144" s="17" t="s">
        <v>409</v>
      </c>
      <c r="C144" s="17" t="s">
        <v>418</v>
      </c>
      <c r="D144" s="18" t="s">
        <v>11</v>
      </c>
      <c r="E144" s="19">
        <v>1</v>
      </c>
      <c r="F144" s="20">
        <v>33627.86</v>
      </c>
      <c r="G144" s="21" t="s">
        <v>1</v>
      </c>
      <c r="H144" s="19">
        <v>1</v>
      </c>
      <c r="I144" s="20">
        <v>33627.86</v>
      </c>
      <c r="J144" s="19">
        <v>7.54</v>
      </c>
      <c r="K144" s="20">
        <v>253554.06</v>
      </c>
    </row>
    <row r="145" spans="1:11" ht="14" x14ac:dyDescent="0.25">
      <c r="C145" s="22" t="s">
        <v>267</v>
      </c>
      <c r="H145" s="143">
        <v>33627.86</v>
      </c>
      <c r="I145" s="143"/>
      <c r="J145" s="143">
        <v>253554.06</v>
      </c>
      <c r="K145" s="143"/>
    </row>
    <row r="147" spans="1:11" ht="79" x14ac:dyDescent="0.25">
      <c r="A147" s="10">
        <v>19</v>
      </c>
      <c r="B147" s="10" t="s">
        <v>270</v>
      </c>
      <c r="C147" s="10" t="s">
        <v>30</v>
      </c>
      <c r="D147" s="12" t="s">
        <v>24</v>
      </c>
      <c r="E147" s="11">
        <v>6</v>
      </c>
      <c r="F147" s="14"/>
      <c r="G147" s="13"/>
      <c r="H147" s="11"/>
      <c r="I147" s="14"/>
      <c r="J147" s="11"/>
      <c r="K147" s="14"/>
    </row>
    <row r="148" spans="1:11" x14ac:dyDescent="0.25">
      <c r="C148" s="23" t="s">
        <v>336</v>
      </c>
    </row>
    <row r="149" spans="1:11" ht="14.5" x14ac:dyDescent="0.25">
      <c r="A149" s="10"/>
      <c r="B149" s="10"/>
      <c r="C149" s="10" t="s">
        <v>256</v>
      </c>
      <c r="D149" s="12"/>
      <c r="E149" s="11"/>
      <c r="F149" s="14">
        <v>37.67</v>
      </c>
      <c r="G149" s="15" t="s">
        <v>13</v>
      </c>
      <c r="H149" s="11">
        <v>1</v>
      </c>
      <c r="I149" s="14">
        <v>271.22000000000003</v>
      </c>
      <c r="J149" s="11">
        <v>57.05</v>
      </c>
      <c r="K149" s="14">
        <v>15473.1</v>
      </c>
    </row>
    <row r="150" spans="1:11" ht="14.5" x14ac:dyDescent="0.25">
      <c r="A150" s="10"/>
      <c r="B150" s="10"/>
      <c r="C150" s="10" t="s">
        <v>257</v>
      </c>
      <c r="D150" s="12"/>
      <c r="E150" s="11"/>
      <c r="F150" s="14">
        <v>1.32</v>
      </c>
      <c r="G150" s="15" t="s">
        <v>13</v>
      </c>
      <c r="H150" s="11">
        <v>1</v>
      </c>
      <c r="I150" s="14">
        <v>9.5</v>
      </c>
      <c r="J150" s="11">
        <v>14.96</v>
      </c>
      <c r="K150" s="14">
        <v>142.12</v>
      </c>
    </row>
    <row r="151" spans="1:11" ht="14.5" x14ac:dyDescent="0.25">
      <c r="A151" s="10"/>
      <c r="B151" s="10"/>
      <c r="C151" s="10" t="s">
        <v>258</v>
      </c>
      <c r="D151" s="12"/>
      <c r="E151" s="11"/>
      <c r="F151" s="14">
        <v>0.13</v>
      </c>
      <c r="G151" s="15" t="s">
        <v>13</v>
      </c>
      <c r="H151" s="11">
        <v>1</v>
      </c>
      <c r="I151" s="16">
        <v>0.94</v>
      </c>
      <c r="J151" s="11">
        <v>57.05</v>
      </c>
      <c r="K151" s="16">
        <v>53.63</v>
      </c>
    </row>
    <row r="152" spans="1:11" ht="14.5" x14ac:dyDescent="0.25">
      <c r="A152" s="10"/>
      <c r="B152" s="10"/>
      <c r="C152" s="10" t="s">
        <v>259</v>
      </c>
      <c r="D152" s="12"/>
      <c r="E152" s="11"/>
      <c r="F152" s="14">
        <v>30.21</v>
      </c>
      <c r="G152" s="15" t="s">
        <v>1</v>
      </c>
      <c r="H152" s="11">
        <v>1</v>
      </c>
      <c r="I152" s="14">
        <v>181.26</v>
      </c>
      <c r="J152" s="11">
        <v>6.1</v>
      </c>
      <c r="K152" s="14">
        <v>1105.69</v>
      </c>
    </row>
    <row r="153" spans="1:11" ht="14.5" x14ac:dyDescent="0.25">
      <c r="A153" s="10" t="s">
        <v>31</v>
      </c>
      <c r="B153" s="10" t="s">
        <v>32</v>
      </c>
      <c r="C153" s="10" t="s">
        <v>33</v>
      </c>
      <c r="D153" s="12" t="s">
        <v>34</v>
      </c>
      <c r="E153" s="11">
        <v>1.26</v>
      </c>
      <c r="F153" s="14">
        <v>21.2</v>
      </c>
      <c r="G153" s="15" t="s">
        <v>1</v>
      </c>
      <c r="H153" s="11">
        <v>1</v>
      </c>
      <c r="I153" s="14">
        <v>26.71</v>
      </c>
      <c r="J153" s="11">
        <v>5.96</v>
      </c>
      <c r="K153" s="14">
        <v>159.19</v>
      </c>
    </row>
    <row r="154" spans="1:11" ht="56" x14ac:dyDescent="0.25">
      <c r="A154" s="10" t="s">
        <v>35</v>
      </c>
      <c r="B154" s="10" t="s">
        <v>36</v>
      </c>
      <c r="C154" s="10" t="s">
        <v>37</v>
      </c>
      <c r="D154" s="12" t="s">
        <v>38</v>
      </c>
      <c r="E154" s="11">
        <v>24</v>
      </c>
      <c r="F154" s="14">
        <v>6.94</v>
      </c>
      <c r="G154" s="15" t="s">
        <v>1</v>
      </c>
      <c r="H154" s="11">
        <v>1</v>
      </c>
      <c r="I154" s="14">
        <v>166.56</v>
      </c>
      <c r="J154" s="11">
        <v>3.5</v>
      </c>
      <c r="K154" s="14">
        <v>582.96</v>
      </c>
    </row>
    <row r="155" spans="1:11" ht="14.5" x14ac:dyDescent="0.25">
      <c r="A155" s="10"/>
      <c r="B155" s="10"/>
      <c r="C155" s="10" t="s">
        <v>260</v>
      </c>
      <c r="D155" s="12" t="s">
        <v>261</v>
      </c>
      <c r="E155" s="11">
        <v>97</v>
      </c>
      <c r="F155" s="14"/>
      <c r="G155" s="13"/>
      <c r="H155" s="11"/>
      <c r="I155" s="14">
        <v>264</v>
      </c>
      <c r="J155" s="11">
        <v>97</v>
      </c>
      <c r="K155" s="14">
        <v>15060.93</v>
      </c>
    </row>
    <row r="156" spans="1:11" ht="14.5" x14ac:dyDescent="0.25">
      <c r="A156" s="10"/>
      <c r="B156" s="10"/>
      <c r="C156" s="10" t="s">
        <v>262</v>
      </c>
      <c r="D156" s="12" t="s">
        <v>261</v>
      </c>
      <c r="E156" s="11">
        <v>51</v>
      </c>
      <c r="F156" s="14"/>
      <c r="G156" s="13"/>
      <c r="H156" s="11"/>
      <c r="I156" s="14">
        <v>138.80000000000001</v>
      </c>
      <c r="J156" s="11">
        <v>51</v>
      </c>
      <c r="K156" s="14">
        <v>7918.63</v>
      </c>
    </row>
    <row r="157" spans="1:11" ht="14.5" x14ac:dyDescent="0.25">
      <c r="A157" s="17"/>
      <c r="B157" s="17"/>
      <c r="C157" s="17" t="s">
        <v>263</v>
      </c>
      <c r="D157" s="18" t="s">
        <v>264</v>
      </c>
      <c r="E157" s="19">
        <v>2.9</v>
      </c>
      <c r="F157" s="20"/>
      <c r="G157" s="21" t="s">
        <v>13</v>
      </c>
      <c r="H157" s="19">
        <v>1</v>
      </c>
      <c r="I157" s="20">
        <v>20.88</v>
      </c>
      <c r="J157" s="19"/>
      <c r="K157" s="20"/>
    </row>
    <row r="158" spans="1:11" ht="14" x14ac:dyDescent="0.25">
      <c r="C158" s="22" t="s">
        <v>265</v>
      </c>
      <c r="H158" s="143">
        <v>1058.05</v>
      </c>
      <c r="I158" s="143"/>
      <c r="J158" s="143">
        <v>40442.620000000003</v>
      </c>
      <c r="K158" s="143"/>
    </row>
    <row r="159" spans="1:11" ht="14" x14ac:dyDescent="0.25">
      <c r="C159" s="22" t="s">
        <v>267</v>
      </c>
      <c r="H159" s="141">
        <v>1058.05</v>
      </c>
      <c r="I159" s="141"/>
      <c r="J159" s="141">
        <v>40442.620000000003</v>
      </c>
      <c r="K159" s="141"/>
    </row>
    <row r="161" spans="1:11" ht="96" x14ac:dyDescent="0.25">
      <c r="A161" s="17">
        <v>20</v>
      </c>
      <c r="B161" s="17" t="s">
        <v>409</v>
      </c>
      <c r="C161" s="17" t="s">
        <v>425</v>
      </c>
      <c r="D161" s="18" t="s">
        <v>11</v>
      </c>
      <c r="E161" s="19">
        <v>2</v>
      </c>
      <c r="F161" s="20">
        <v>1380.16</v>
      </c>
      <c r="G161" s="21" t="s">
        <v>1</v>
      </c>
      <c r="H161" s="19">
        <v>1</v>
      </c>
      <c r="I161" s="20">
        <v>2760.32</v>
      </c>
      <c r="J161" s="19">
        <v>7.54</v>
      </c>
      <c r="K161" s="20">
        <v>20812.810000000001</v>
      </c>
    </row>
    <row r="162" spans="1:11" ht="14" x14ac:dyDescent="0.25">
      <c r="C162" s="22" t="s">
        <v>267</v>
      </c>
      <c r="H162" s="143">
        <v>2760.32</v>
      </c>
      <c r="I162" s="143"/>
      <c r="J162" s="143">
        <v>20812.810000000001</v>
      </c>
      <c r="K162" s="143"/>
    </row>
    <row r="164" spans="1:11" ht="88.5" customHeight="1" x14ac:dyDescent="0.25">
      <c r="A164" s="17">
        <v>21</v>
      </c>
      <c r="B164" s="17" t="s">
        <v>409</v>
      </c>
      <c r="C164" s="17" t="s">
        <v>423</v>
      </c>
      <c r="D164" s="18" t="s">
        <v>11</v>
      </c>
      <c r="E164" s="19">
        <v>2</v>
      </c>
      <c r="F164" s="20">
        <v>2244.5</v>
      </c>
      <c r="G164" s="21" t="s">
        <v>1</v>
      </c>
      <c r="H164" s="19">
        <v>1</v>
      </c>
      <c r="I164" s="20">
        <v>4489</v>
      </c>
      <c r="J164" s="19">
        <v>7.54</v>
      </c>
      <c r="K164" s="20">
        <v>33847.06</v>
      </c>
    </row>
    <row r="165" spans="1:11" ht="14" x14ac:dyDescent="0.25">
      <c r="C165" s="22" t="s">
        <v>267</v>
      </c>
      <c r="H165" s="143">
        <v>4489</v>
      </c>
      <c r="I165" s="143"/>
      <c r="J165" s="143">
        <v>33847.06</v>
      </c>
      <c r="K165" s="143"/>
    </row>
    <row r="167" spans="1:11" ht="82" x14ac:dyDescent="0.25">
      <c r="A167" s="17">
        <v>22</v>
      </c>
      <c r="B167" s="17" t="s">
        <v>409</v>
      </c>
      <c r="C167" s="17" t="s">
        <v>419</v>
      </c>
      <c r="D167" s="18" t="s">
        <v>11</v>
      </c>
      <c r="E167" s="19">
        <v>2</v>
      </c>
      <c r="F167" s="20">
        <v>2089.46</v>
      </c>
      <c r="G167" s="21" t="s">
        <v>1</v>
      </c>
      <c r="H167" s="19">
        <v>1</v>
      </c>
      <c r="I167" s="20">
        <v>4178.92</v>
      </c>
      <c r="J167" s="19">
        <v>7.54</v>
      </c>
      <c r="K167" s="20">
        <v>31509.06</v>
      </c>
    </row>
    <row r="168" spans="1:11" ht="14" x14ac:dyDescent="0.25">
      <c r="C168" s="22" t="s">
        <v>267</v>
      </c>
      <c r="H168" s="143">
        <v>4178.92</v>
      </c>
      <c r="I168" s="143"/>
      <c r="J168" s="143">
        <v>31509.06</v>
      </c>
      <c r="K168" s="143"/>
    </row>
    <row r="171" spans="1:11" ht="14" x14ac:dyDescent="0.3">
      <c r="A171" s="140" t="s">
        <v>337</v>
      </c>
      <c r="B171" s="140"/>
      <c r="C171" s="140"/>
      <c r="D171" s="140"/>
      <c r="E171" s="140"/>
      <c r="F171" s="140"/>
      <c r="G171" s="140"/>
      <c r="H171" s="141">
        <v>107065.25</v>
      </c>
      <c r="I171" s="142"/>
      <c r="J171" s="141">
        <v>875642.08</v>
      </c>
      <c r="K171" s="142"/>
    </row>
    <row r="173" spans="1:11" ht="16.5" x14ac:dyDescent="0.25">
      <c r="A173" s="144" t="s">
        <v>338</v>
      </c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</row>
    <row r="174" spans="1:11" ht="79" x14ac:dyDescent="0.25">
      <c r="A174" s="10">
        <v>23</v>
      </c>
      <c r="B174" s="10" t="s">
        <v>271</v>
      </c>
      <c r="C174" s="10" t="s">
        <v>39</v>
      </c>
      <c r="D174" s="12" t="s">
        <v>24</v>
      </c>
      <c r="E174" s="11">
        <v>1</v>
      </c>
      <c r="F174" s="14"/>
      <c r="G174" s="13"/>
      <c r="H174" s="11"/>
      <c r="I174" s="14"/>
      <c r="J174" s="11"/>
      <c r="K174" s="14"/>
    </row>
    <row r="175" spans="1:11" ht="14.5" x14ac:dyDescent="0.25">
      <c r="A175" s="10"/>
      <c r="B175" s="10"/>
      <c r="C175" s="10" t="s">
        <v>256</v>
      </c>
      <c r="D175" s="12"/>
      <c r="E175" s="11"/>
      <c r="F175" s="14">
        <v>149.81</v>
      </c>
      <c r="G175" s="15" t="s">
        <v>13</v>
      </c>
      <c r="H175" s="11">
        <v>1</v>
      </c>
      <c r="I175" s="14">
        <v>179.77</v>
      </c>
      <c r="J175" s="11">
        <v>57.05</v>
      </c>
      <c r="K175" s="14">
        <v>10255.879999999999</v>
      </c>
    </row>
    <row r="176" spans="1:11" ht="14.5" x14ac:dyDescent="0.25">
      <c r="A176" s="10"/>
      <c r="B176" s="10"/>
      <c r="C176" s="10" t="s">
        <v>257</v>
      </c>
      <c r="D176" s="12"/>
      <c r="E176" s="11"/>
      <c r="F176" s="14">
        <v>346.71</v>
      </c>
      <c r="G176" s="15" t="s">
        <v>13</v>
      </c>
      <c r="H176" s="11">
        <v>1</v>
      </c>
      <c r="I176" s="14">
        <v>416.05</v>
      </c>
      <c r="J176" s="11">
        <v>15.99</v>
      </c>
      <c r="K176" s="14">
        <v>6652.64</v>
      </c>
    </row>
    <row r="177" spans="1:11" ht="14.5" x14ac:dyDescent="0.25">
      <c r="A177" s="10"/>
      <c r="B177" s="10"/>
      <c r="C177" s="10" t="s">
        <v>258</v>
      </c>
      <c r="D177" s="12"/>
      <c r="E177" s="11"/>
      <c r="F177" s="14">
        <v>40.42</v>
      </c>
      <c r="G177" s="15" t="s">
        <v>13</v>
      </c>
      <c r="H177" s="11">
        <v>1</v>
      </c>
      <c r="I177" s="16">
        <v>48.5</v>
      </c>
      <c r="J177" s="11">
        <v>57.05</v>
      </c>
      <c r="K177" s="16">
        <v>2766.93</v>
      </c>
    </row>
    <row r="178" spans="1:11" ht="14.5" x14ac:dyDescent="0.25">
      <c r="A178" s="10"/>
      <c r="B178" s="10"/>
      <c r="C178" s="10" t="s">
        <v>259</v>
      </c>
      <c r="D178" s="12"/>
      <c r="E178" s="11"/>
      <c r="F178" s="14">
        <v>1.19</v>
      </c>
      <c r="G178" s="15" t="s">
        <v>1</v>
      </c>
      <c r="H178" s="11">
        <v>1</v>
      </c>
      <c r="I178" s="14">
        <v>1.19</v>
      </c>
      <c r="J178" s="11">
        <v>6.63</v>
      </c>
      <c r="K178" s="14">
        <v>7.89</v>
      </c>
    </row>
    <row r="179" spans="1:11" ht="82" x14ac:dyDescent="0.25">
      <c r="A179" s="10" t="s">
        <v>40</v>
      </c>
      <c r="B179" s="10" t="s">
        <v>409</v>
      </c>
      <c r="C179" s="10" t="s">
        <v>424</v>
      </c>
      <c r="D179" s="12" t="s">
        <v>11</v>
      </c>
      <c r="E179" s="11">
        <v>1</v>
      </c>
      <c r="F179" s="14">
        <v>2508.5300000000002</v>
      </c>
      <c r="G179" s="15" t="s">
        <v>1</v>
      </c>
      <c r="H179" s="11">
        <v>1</v>
      </c>
      <c r="I179" s="14">
        <v>2508.5300000000002</v>
      </c>
      <c r="J179" s="11">
        <v>10.18</v>
      </c>
      <c r="K179" s="14">
        <v>25536.84</v>
      </c>
    </row>
    <row r="180" spans="1:11" ht="14.5" x14ac:dyDescent="0.25">
      <c r="A180" s="10"/>
      <c r="B180" s="10"/>
      <c r="C180" s="10" t="s">
        <v>260</v>
      </c>
      <c r="D180" s="12" t="s">
        <v>261</v>
      </c>
      <c r="E180" s="11">
        <v>97</v>
      </c>
      <c r="F180" s="14"/>
      <c r="G180" s="13"/>
      <c r="H180" s="11"/>
      <c r="I180" s="14">
        <v>221.42</v>
      </c>
      <c r="J180" s="11">
        <v>97</v>
      </c>
      <c r="K180" s="14">
        <v>12632.13</v>
      </c>
    </row>
    <row r="181" spans="1:11" ht="14.5" x14ac:dyDescent="0.25">
      <c r="A181" s="10"/>
      <c r="B181" s="10"/>
      <c r="C181" s="10" t="s">
        <v>262</v>
      </c>
      <c r="D181" s="12" t="s">
        <v>261</v>
      </c>
      <c r="E181" s="11">
        <v>51</v>
      </c>
      <c r="F181" s="14"/>
      <c r="G181" s="13"/>
      <c r="H181" s="11"/>
      <c r="I181" s="14">
        <v>116.42</v>
      </c>
      <c r="J181" s="11">
        <v>51</v>
      </c>
      <c r="K181" s="14">
        <v>6641.63</v>
      </c>
    </row>
    <row r="182" spans="1:11" ht="14.5" x14ac:dyDescent="0.25">
      <c r="A182" s="17"/>
      <c r="B182" s="17"/>
      <c r="C182" s="17" t="s">
        <v>263</v>
      </c>
      <c r="D182" s="18" t="s">
        <v>264</v>
      </c>
      <c r="E182" s="19">
        <v>12.72</v>
      </c>
      <c r="F182" s="20"/>
      <c r="G182" s="21" t="s">
        <v>13</v>
      </c>
      <c r="H182" s="19">
        <v>1</v>
      </c>
      <c r="I182" s="20">
        <v>15.26</v>
      </c>
      <c r="J182" s="19"/>
      <c r="K182" s="20"/>
    </row>
    <row r="183" spans="1:11" ht="14" x14ac:dyDescent="0.25">
      <c r="C183" s="22" t="s">
        <v>265</v>
      </c>
      <c r="H183" s="143">
        <v>3443.38</v>
      </c>
      <c r="I183" s="143"/>
      <c r="J183" s="143">
        <v>61727.01</v>
      </c>
      <c r="K183" s="143"/>
    </row>
    <row r="184" spans="1:11" ht="14" x14ac:dyDescent="0.25">
      <c r="C184" s="22" t="s">
        <v>267</v>
      </c>
      <c r="H184" s="141">
        <v>3443.38</v>
      </c>
      <c r="I184" s="141"/>
      <c r="J184" s="141">
        <v>61727.01</v>
      </c>
      <c r="K184" s="141"/>
    </row>
    <row r="186" spans="1:11" ht="79" x14ac:dyDescent="0.25">
      <c r="A186" s="10">
        <v>24</v>
      </c>
      <c r="B186" s="10" t="s">
        <v>272</v>
      </c>
      <c r="C186" s="10" t="s">
        <v>41</v>
      </c>
      <c r="D186" s="12" t="s">
        <v>24</v>
      </c>
      <c r="E186" s="11">
        <v>1</v>
      </c>
      <c r="F186" s="14"/>
      <c r="G186" s="13"/>
      <c r="H186" s="11"/>
      <c r="I186" s="14"/>
      <c r="J186" s="11"/>
      <c r="K186" s="14"/>
    </row>
    <row r="187" spans="1:11" ht="14.5" x14ac:dyDescent="0.25">
      <c r="A187" s="10"/>
      <c r="B187" s="10"/>
      <c r="C187" s="10" t="s">
        <v>256</v>
      </c>
      <c r="D187" s="12"/>
      <c r="E187" s="11"/>
      <c r="F187" s="14">
        <v>112.38</v>
      </c>
      <c r="G187" s="15" t="s">
        <v>13</v>
      </c>
      <c r="H187" s="11">
        <v>1</v>
      </c>
      <c r="I187" s="14">
        <v>134.86000000000001</v>
      </c>
      <c r="J187" s="11">
        <v>57.05</v>
      </c>
      <c r="K187" s="14">
        <v>7693.76</v>
      </c>
    </row>
    <row r="188" spans="1:11" ht="14.5" x14ac:dyDescent="0.25">
      <c r="A188" s="10"/>
      <c r="B188" s="10"/>
      <c r="C188" s="10" t="s">
        <v>257</v>
      </c>
      <c r="D188" s="12"/>
      <c r="E188" s="11"/>
      <c r="F188" s="14">
        <v>48.78</v>
      </c>
      <c r="G188" s="15" t="s">
        <v>13</v>
      </c>
      <c r="H188" s="11">
        <v>1</v>
      </c>
      <c r="I188" s="14">
        <v>58.54</v>
      </c>
      <c r="J188" s="11">
        <v>23.31</v>
      </c>
      <c r="K188" s="14">
        <v>1364.57</v>
      </c>
    </row>
    <row r="189" spans="1:11" ht="14.5" x14ac:dyDescent="0.25">
      <c r="A189" s="10"/>
      <c r="B189" s="10"/>
      <c r="C189" s="10" t="s">
        <v>258</v>
      </c>
      <c r="D189" s="12"/>
      <c r="E189" s="11"/>
      <c r="F189" s="14">
        <v>14.01</v>
      </c>
      <c r="G189" s="15" t="s">
        <v>13</v>
      </c>
      <c r="H189" s="11">
        <v>1</v>
      </c>
      <c r="I189" s="16">
        <v>16.809999999999999</v>
      </c>
      <c r="J189" s="11">
        <v>57.05</v>
      </c>
      <c r="K189" s="16">
        <v>959.01</v>
      </c>
    </row>
    <row r="190" spans="1:11" ht="14.5" x14ac:dyDescent="0.25">
      <c r="A190" s="10"/>
      <c r="B190" s="10"/>
      <c r="C190" s="10" t="s">
        <v>259</v>
      </c>
      <c r="D190" s="12"/>
      <c r="E190" s="11"/>
      <c r="F190" s="14">
        <v>1.19</v>
      </c>
      <c r="G190" s="15" t="s">
        <v>1</v>
      </c>
      <c r="H190" s="11">
        <v>1</v>
      </c>
      <c r="I190" s="14">
        <v>1.19</v>
      </c>
      <c r="J190" s="11">
        <v>6.63</v>
      </c>
      <c r="K190" s="14">
        <v>7.89</v>
      </c>
    </row>
    <row r="191" spans="1:11" ht="82" x14ac:dyDescent="0.25">
      <c r="A191" s="10" t="s">
        <v>42</v>
      </c>
      <c r="B191" s="10" t="s">
        <v>409</v>
      </c>
      <c r="C191" s="10" t="s">
        <v>426</v>
      </c>
      <c r="D191" s="12" t="s">
        <v>11</v>
      </c>
      <c r="E191" s="11">
        <v>1</v>
      </c>
      <c r="F191" s="14">
        <v>1059.32</v>
      </c>
      <c r="G191" s="15" t="s">
        <v>1</v>
      </c>
      <c r="H191" s="11">
        <v>1</v>
      </c>
      <c r="I191" s="14">
        <v>1059.32</v>
      </c>
      <c r="J191" s="11">
        <v>10.18</v>
      </c>
      <c r="K191" s="14">
        <v>10783.88</v>
      </c>
    </row>
    <row r="192" spans="1:11" ht="14.5" x14ac:dyDescent="0.25">
      <c r="A192" s="10"/>
      <c r="B192" s="10"/>
      <c r="C192" s="10" t="s">
        <v>260</v>
      </c>
      <c r="D192" s="12" t="s">
        <v>261</v>
      </c>
      <c r="E192" s="11">
        <v>97</v>
      </c>
      <c r="F192" s="14"/>
      <c r="G192" s="13"/>
      <c r="H192" s="11"/>
      <c r="I192" s="14">
        <v>147.12</v>
      </c>
      <c r="J192" s="11">
        <v>97</v>
      </c>
      <c r="K192" s="14">
        <v>8393.19</v>
      </c>
    </row>
    <row r="193" spans="1:11" ht="14.5" x14ac:dyDescent="0.25">
      <c r="A193" s="10"/>
      <c r="B193" s="10"/>
      <c r="C193" s="10" t="s">
        <v>262</v>
      </c>
      <c r="D193" s="12" t="s">
        <v>261</v>
      </c>
      <c r="E193" s="11">
        <v>51</v>
      </c>
      <c r="F193" s="14"/>
      <c r="G193" s="13"/>
      <c r="H193" s="11"/>
      <c r="I193" s="14">
        <v>77.349999999999994</v>
      </c>
      <c r="J193" s="11">
        <v>51</v>
      </c>
      <c r="K193" s="14">
        <v>4412.91</v>
      </c>
    </row>
    <row r="194" spans="1:11" ht="14.5" x14ac:dyDescent="0.25">
      <c r="A194" s="17"/>
      <c r="B194" s="17"/>
      <c r="C194" s="17" t="s">
        <v>263</v>
      </c>
      <c r="D194" s="18" t="s">
        <v>264</v>
      </c>
      <c r="E194" s="19">
        <v>9.44</v>
      </c>
      <c r="F194" s="20"/>
      <c r="G194" s="21" t="s">
        <v>13</v>
      </c>
      <c r="H194" s="19">
        <v>1</v>
      </c>
      <c r="I194" s="20">
        <v>11.33</v>
      </c>
      <c r="J194" s="19"/>
      <c r="K194" s="20"/>
    </row>
    <row r="195" spans="1:11" ht="14" x14ac:dyDescent="0.25">
      <c r="C195" s="22" t="s">
        <v>265</v>
      </c>
      <c r="H195" s="143">
        <v>1478.38</v>
      </c>
      <c r="I195" s="143"/>
      <c r="J195" s="143">
        <v>32656.2</v>
      </c>
      <c r="K195" s="143"/>
    </row>
    <row r="196" spans="1:11" ht="14" x14ac:dyDescent="0.25">
      <c r="C196" s="22" t="s">
        <v>267</v>
      </c>
      <c r="H196" s="141">
        <v>1478.38</v>
      </c>
      <c r="I196" s="141"/>
      <c r="J196" s="141">
        <v>32656.2</v>
      </c>
      <c r="K196" s="141"/>
    </row>
    <row r="199" spans="1:11" ht="14" x14ac:dyDescent="0.3">
      <c r="B199" s="157" t="s">
        <v>43</v>
      </c>
      <c r="C199" s="157"/>
      <c r="D199" s="157"/>
      <c r="E199" s="157"/>
      <c r="F199" s="157"/>
      <c r="G199" s="157"/>
      <c r="H199" s="157"/>
      <c r="I199" s="157"/>
      <c r="J199" s="157"/>
    </row>
    <row r="200" spans="1:11" ht="79" x14ac:dyDescent="0.25">
      <c r="A200" s="10">
        <v>25</v>
      </c>
      <c r="B200" s="10" t="s">
        <v>273</v>
      </c>
      <c r="C200" s="10" t="s">
        <v>44</v>
      </c>
      <c r="D200" s="12" t="s">
        <v>34</v>
      </c>
      <c r="E200" s="11">
        <v>0.33</v>
      </c>
      <c r="F200" s="14"/>
      <c r="G200" s="13"/>
      <c r="H200" s="11"/>
      <c r="I200" s="14"/>
      <c r="J200" s="11"/>
      <c r="K200" s="14"/>
    </row>
    <row r="201" spans="1:11" x14ac:dyDescent="0.25">
      <c r="C201" s="23" t="s">
        <v>339</v>
      </c>
    </row>
    <row r="202" spans="1:11" ht="14.5" x14ac:dyDescent="0.25">
      <c r="A202" s="10"/>
      <c r="B202" s="10"/>
      <c r="C202" s="10" t="s">
        <v>256</v>
      </c>
      <c r="D202" s="12"/>
      <c r="E202" s="11"/>
      <c r="F202" s="14">
        <v>702.96</v>
      </c>
      <c r="G202" s="15" t="s">
        <v>13</v>
      </c>
      <c r="H202" s="11">
        <v>1</v>
      </c>
      <c r="I202" s="14">
        <v>278.37</v>
      </c>
      <c r="J202" s="11">
        <v>57.05</v>
      </c>
      <c r="K202" s="14">
        <v>15881.01</v>
      </c>
    </row>
    <row r="203" spans="1:11" ht="14.5" x14ac:dyDescent="0.25">
      <c r="A203" s="10"/>
      <c r="B203" s="10"/>
      <c r="C203" s="10" t="s">
        <v>257</v>
      </c>
      <c r="D203" s="12"/>
      <c r="E203" s="11"/>
      <c r="F203" s="14">
        <v>6.61</v>
      </c>
      <c r="G203" s="15" t="s">
        <v>13</v>
      </c>
      <c r="H203" s="11">
        <v>1</v>
      </c>
      <c r="I203" s="14">
        <v>2.62</v>
      </c>
      <c r="J203" s="11">
        <v>14.54</v>
      </c>
      <c r="K203" s="14">
        <v>38.090000000000003</v>
      </c>
    </row>
    <row r="204" spans="1:11" ht="14.5" x14ac:dyDescent="0.25">
      <c r="A204" s="10"/>
      <c r="B204" s="10"/>
      <c r="C204" s="10" t="s">
        <v>258</v>
      </c>
      <c r="D204" s="12"/>
      <c r="E204" s="11"/>
      <c r="F204" s="14">
        <v>0.63</v>
      </c>
      <c r="G204" s="15" t="s">
        <v>13</v>
      </c>
      <c r="H204" s="11">
        <v>1</v>
      </c>
      <c r="I204" s="16">
        <v>0.25</v>
      </c>
      <c r="J204" s="11">
        <v>57.05</v>
      </c>
      <c r="K204" s="16">
        <v>14.26</v>
      </c>
    </row>
    <row r="205" spans="1:11" ht="14.5" x14ac:dyDescent="0.25">
      <c r="A205" s="10"/>
      <c r="B205" s="10"/>
      <c r="C205" s="10" t="s">
        <v>259</v>
      </c>
      <c r="D205" s="12"/>
      <c r="E205" s="11"/>
      <c r="F205" s="14">
        <v>2863.75</v>
      </c>
      <c r="G205" s="15" t="s">
        <v>1</v>
      </c>
      <c r="H205" s="11">
        <v>1</v>
      </c>
      <c r="I205" s="14">
        <v>945.04</v>
      </c>
      <c r="J205" s="11">
        <v>3.95</v>
      </c>
      <c r="K205" s="14">
        <v>3732.91</v>
      </c>
    </row>
    <row r="206" spans="1:11" ht="14.5" x14ac:dyDescent="0.25">
      <c r="A206" s="10"/>
      <c r="B206" s="10"/>
      <c r="C206" s="10" t="s">
        <v>260</v>
      </c>
      <c r="D206" s="12" t="s">
        <v>261</v>
      </c>
      <c r="E206" s="11">
        <v>97</v>
      </c>
      <c r="F206" s="14"/>
      <c r="G206" s="13"/>
      <c r="H206" s="11"/>
      <c r="I206" s="14">
        <v>270.26</v>
      </c>
      <c r="J206" s="11">
        <v>97</v>
      </c>
      <c r="K206" s="14">
        <v>15418.41</v>
      </c>
    </row>
    <row r="207" spans="1:11" ht="14.5" x14ac:dyDescent="0.25">
      <c r="A207" s="10"/>
      <c r="B207" s="10"/>
      <c r="C207" s="10" t="s">
        <v>262</v>
      </c>
      <c r="D207" s="12" t="s">
        <v>261</v>
      </c>
      <c r="E207" s="11">
        <v>51</v>
      </c>
      <c r="F207" s="14"/>
      <c r="G207" s="13"/>
      <c r="H207" s="11"/>
      <c r="I207" s="14">
        <v>142.1</v>
      </c>
      <c r="J207" s="11">
        <v>51</v>
      </c>
      <c r="K207" s="14">
        <v>8106.59</v>
      </c>
    </row>
    <row r="208" spans="1:11" ht="14.5" x14ac:dyDescent="0.25">
      <c r="A208" s="17"/>
      <c r="B208" s="17"/>
      <c r="C208" s="17" t="s">
        <v>263</v>
      </c>
      <c r="D208" s="18" t="s">
        <v>264</v>
      </c>
      <c r="E208" s="19">
        <v>51.35</v>
      </c>
      <c r="F208" s="20"/>
      <c r="G208" s="21" t="s">
        <v>13</v>
      </c>
      <c r="H208" s="19">
        <v>1</v>
      </c>
      <c r="I208" s="20">
        <v>20.329999999999998</v>
      </c>
      <c r="J208" s="19"/>
      <c r="K208" s="20"/>
    </row>
    <row r="209" spans="1:11" ht="14" x14ac:dyDescent="0.25">
      <c r="C209" s="22" t="s">
        <v>265</v>
      </c>
      <c r="H209" s="143">
        <v>1638.39</v>
      </c>
      <c r="I209" s="143"/>
      <c r="J209" s="143">
        <v>43177.01</v>
      </c>
      <c r="K209" s="143"/>
    </row>
    <row r="210" spans="1:11" ht="14" x14ac:dyDescent="0.25">
      <c r="C210" s="22" t="s">
        <v>267</v>
      </c>
      <c r="H210" s="141">
        <v>1638.39</v>
      </c>
      <c r="I210" s="141"/>
      <c r="J210" s="141">
        <v>43177.01</v>
      </c>
      <c r="K210" s="141"/>
    </row>
    <row r="212" spans="1:11" ht="54" x14ac:dyDescent="0.25">
      <c r="A212" s="38">
        <v>26</v>
      </c>
      <c r="B212" s="38" t="s">
        <v>409</v>
      </c>
      <c r="C212" s="38" t="s">
        <v>2096</v>
      </c>
      <c r="D212" s="39" t="s">
        <v>11</v>
      </c>
      <c r="E212" s="40">
        <v>10</v>
      </c>
      <c r="F212" s="41">
        <v>1010.18</v>
      </c>
      <c r="G212" s="42" t="s">
        <v>1</v>
      </c>
      <c r="H212" s="40">
        <v>1</v>
      </c>
      <c r="I212" s="41">
        <v>10101.799999999999</v>
      </c>
      <c r="J212" s="40">
        <v>10.18</v>
      </c>
      <c r="K212" s="41">
        <v>102836.32</v>
      </c>
    </row>
    <row r="213" spans="1:11" ht="14" x14ac:dyDescent="0.25">
      <c r="A213" s="43"/>
      <c r="B213" s="43"/>
      <c r="C213" s="44" t="s">
        <v>267</v>
      </c>
      <c r="D213" s="43"/>
      <c r="E213" s="43"/>
      <c r="F213" s="43"/>
      <c r="G213" s="43"/>
      <c r="H213" s="156">
        <v>10101.799999999999</v>
      </c>
      <c r="I213" s="156"/>
      <c r="J213" s="156">
        <v>102836.32</v>
      </c>
      <c r="K213" s="156"/>
    </row>
    <row r="214" spans="1:11" x14ac:dyDescent="0.2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</row>
    <row r="215" spans="1:11" ht="41" x14ac:dyDescent="0.25">
      <c r="A215" s="38">
        <v>27</v>
      </c>
      <c r="B215" s="38" t="s">
        <v>409</v>
      </c>
      <c r="C215" s="38" t="s">
        <v>2093</v>
      </c>
      <c r="D215" s="39" t="s">
        <v>11</v>
      </c>
      <c r="E215" s="40">
        <v>9</v>
      </c>
      <c r="F215" s="41">
        <v>517.41</v>
      </c>
      <c r="G215" s="42" t="s">
        <v>1</v>
      </c>
      <c r="H215" s="40">
        <v>1</v>
      </c>
      <c r="I215" s="41">
        <v>4656.6899999999996</v>
      </c>
      <c r="J215" s="40">
        <v>10.18</v>
      </c>
      <c r="K215" s="41">
        <v>47405.1</v>
      </c>
    </row>
    <row r="216" spans="1:11" ht="14" x14ac:dyDescent="0.25">
      <c r="A216" s="43"/>
      <c r="B216" s="43"/>
      <c r="C216" s="44" t="s">
        <v>267</v>
      </c>
      <c r="D216" s="43"/>
      <c r="E216" s="43"/>
      <c r="F216" s="43"/>
      <c r="G216" s="43"/>
      <c r="H216" s="156">
        <v>4656.6899999999996</v>
      </c>
      <c r="I216" s="156"/>
      <c r="J216" s="156">
        <v>47405.1</v>
      </c>
      <c r="K216" s="156"/>
    </row>
    <row r="217" spans="1:11" x14ac:dyDescent="0.2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</row>
    <row r="218" spans="1:11" ht="54" x14ac:dyDescent="0.25">
      <c r="A218" s="38">
        <v>28</v>
      </c>
      <c r="B218" s="38" t="s">
        <v>409</v>
      </c>
      <c r="C218" s="38" t="s">
        <v>2094</v>
      </c>
      <c r="D218" s="39" t="s">
        <v>11</v>
      </c>
      <c r="E218" s="40">
        <v>13</v>
      </c>
      <c r="F218" s="41">
        <v>396.71</v>
      </c>
      <c r="G218" s="42" t="s">
        <v>1</v>
      </c>
      <c r="H218" s="40">
        <v>1</v>
      </c>
      <c r="I218" s="41">
        <v>5157.2299999999996</v>
      </c>
      <c r="J218" s="40">
        <v>10.18</v>
      </c>
      <c r="K218" s="41">
        <v>52500.6</v>
      </c>
    </row>
    <row r="219" spans="1:11" ht="14" x14ac:dyDescent="0.25">
      <c r="A219" s="43"/>
      <c r="B219" s="43"/>
      <c r="C219" s="44" t="s">
        <v>267</v>
      </c>
      <c r="D219" s="43"/>
      <c r="E219" s="43"/>
      <c r="F219" s="43"/>
      <c r="G219" s="43"/>
      <c r="H219" s="156">
        <v>5157.2299999999996</v>
      </c>
      <c r="I219" s="156"/>
      <c r="J219" s="156">
        <v>52500.6</v>
      </c>
      <c r="K219" s="156"/>
    </row>
    <row r="220" spans="1:11" x14ac:dyDescent="0.2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</row>
    <row r="221" spans="1:11" ht="54" x14ac:dyDescent="0.25">
      <c r="A221" s="38">
        <v>29</v>
      </c>
      <c r="B221" s="38" t="s">
        <v>409</v>
      </c>
      <c r="C221" s="38" t="s">
        <v>2095</v>
      </c>
      <c r="D221" s="39" t="s">
        <v>11</v>
      </c>
      <c r="E221" s="40">
        <v>1</v>
      </c>
      <c r="F221" s="41">
        <v>938.76</v>
      </c>
      <c r="G221" s="42" t="s">
        <v>1</v>
      </c>
      <c r="H221" s="40">
        <v>1</v>
      </c>
      <c r="I221" s="41">
        <v>938.76</v>
      </c>
      <c r="J221" s="40">
        <v>10.18</v>
      </c>
      <c r="K221" s="41">
        <v>9556.58</v>
      </c>
    </row>
    <row r="222" spans="1:11" ht="14" x14ac:dyDescent="0.25">
      <c r="A222" s="43"/>
      <c r="B222" s="43"/>
      <c r="C222" s="44" t="s">
        <v>267</v>
      </c>
      <c r="D222" s="43"/>
      <c r="E222" s="43"/>
      <c r="F222" s="43"/>
      <c r="G222" s="43"/>
      <c r="H222" s="156">
        <v>938.76</v>
      </c>
      <c r="I222" s="156"/>
      <c r="J222" s="156">
        <v>9556.58</v>
      </c>
      <c r="K222" s="156"/>
    </row>
    <row r="223" spans="1:11" x14ac:dyDescent="0.2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</row>
    <row r="224" spans="1:11" ht="79" x14ac:dyDescent="0.25">
      <c r="A224" s="10">
        <v>30</v>
      </c>
      <c r="B224" s="10" t="s">
        <v>274</v>
      </c>
      <c r="C224" s="10" t="s">
        <v>45</v>
      </c>
      <c r="D224" s="12" t="s">
        <v>34</v>
      </c>
      <c r="E224" s="11">
        <v>1.1599999999999999</v>
      </c>
      <c r="F224" s="14"/>
      <c r="G224" s="13"/>
      <c r="H224" s="11"/>
      <c r="I224" s="14"/>
      <c r="J224" s="11"/>
      <c r="K224" s="14"/>
    </row>
    <row r="225" spans="1:11" x14ac:dyDescent="0.25">
      <c r="C225" s="23" t="s">
        <v>340</v>
      </c>
    </row>
    <row r="226" spans="1:11" ht="14.5" x14ac:dyDescent="0.25">
      <c r="A226" s="10"/>
      <c r="B226" s="10"/>
      <c r="C226" s="10" t="s">
        <v>256</v>
      </c>
      <c r="D226" s="12"/>
      <c r="E226" s="11"/>
      <c r="F226" s="14">
        <v>387.53</v>
      </c>
      <c r="G226" s="15" t="s">
        <v>13</v>
      </c>
      <c r="H226" s="11">
        <v>1</v>
      </c>
      <c r="I226" s="14">
        <v>539.44000000000005</v>
      </c>
      <c r="J226" s="11">
        <v>57.05</v>
      </c>
      <c r="K226" s="14">
        <v>30775.05</v>
      </c>
    </row>
    <row r="227" spans="1:11" ht="14.5" x14ac:dyDescent="0.25">
      <c r="A227" s="10"/>
      <c r="B227" s="10"/>
      <c r="C227" s="10" t="s">
        <v>257</v>
      </c>
      <c r="D227" s="12"/>
      <c r="E227" s="11"/>
      <c r="F227" s="14">
        <v>4.21</v>
      </c>
      <c r="G227" s="15" t="s">
        <v>13</v>
      </c>
      <c r="H227" s="11">
        <v>1</v>
      </c>
      <c r="I227" s="14">
        <v>5.86</v>
      </c>
      <c r="J227" s="11">
        <v>16.53</v>
      </c>
      <c r="K227" s="14">
        <v>96.87</v>
      </c>
    </row>
    <row r="228" spans="1:11" ht="14.5" x14ac:dyDescent="0.25">
      <c r="A228" s="10"/>
      <c r="B228" s="10"/>
      <c r="C228" s="10" t="s">
        <v>258</v>
      </c>
      <c r="D228" s="12"/>
      <c r="E228" s="11"/>
      <c r="F228" s="14">
        <v>0.5</v>
      </c>
      <c r="G228" s="15" t="s">
        <v>13</v>
      </c>
      <c r="H228" s="11">
        <v>1</v>
      </c>
      <c r="I228" s="16">
        <v>0.7</v>
      </c>
      <c r="J228" s="11">
        <v>57.05</v>
      </c>
      <c r="K228" s="16">
        <v>39.94</v>
      </c>
    </row>
    <row r="229" spans="1:11" ht="14.5" x14ac:dyDescent="0.25">
      <c r="A229" s="10"/>
      <c r="B229" s="10"/>
      <c r="C229" s="10" t="s">
        <v>259</v>
      </c>
      <c r="D229" s="12"/>
      <c r="E229" s="11"/>
      <c r="F229" s="14">
        <v>3.63</v>
      </c>
      <c r="G229" s="15" t="s">
        <v>1</v>
      </c>
      <c r="H229" s="11">
        <v>1</v>
      </c>
      <c r="I229" s="14">
        <v>4.21</v>
      </c>
      <c r="J229" s="11">
        <v>2.95</v>
      </c>
      <c r="K229" s="14">
        <v>12.42</v>
      </c>
    </row>
    <row r="230" spans="1:11" ht="14.5" x14ac:dyDescent="0.25">
      <c r="A230" s="10"/>
      <c r="B230" s="10"/>
      <c r="C230" s="10" t="s">
        <v>260</v>
      </c>
      <c r="D230" s="12" t="s">
        <v>261</v>
      </c>
      <c r="E230" s="11">
        <v>97</v>
      </c>
      <c r="F230" s="14"/>
      <c r="G230" s="13"/>
      <c r="H230" s="11"/>
      <c r="I230" s="14">
        <v>523.94000000000005</v>
      </c>
      <c r="J230" s="11">
        <v>97</v>
      </c>
      <c r="K230" s="14">
        <v>29890.54</v>
      </c>
    </row>
    <row r="231" spans="1:11" ht="14.5" x14ac:dyDescent="0.25">
      <c r="A231" s="10"/>
      <c r="B231" s="10"/>
      <c r="C231" s="10" t="s">
        <v>262</v>
      </c>
      <c r="D231" s="12" t="s">
        <v>261</v>
      </c>
      <c r="E231" s="11">
        <v>51</v>
      </c>
      <c r="F231" s="14"/>
      <c r="G231" s="13"/>
      <c r="H231" s="11"/>
      <c r="I231" s="14">
        <v>275.47000000000003</v>
      </c>
      <c r="J231" s="11">
        <v>51</v>
      </c>
      <c r="K231" s="14">
        <v>15715.64</v>
      </c>
    </row>
    <row r="232" spans="1:11" ht="14.5" x14ac:dyDescent="0.25">
      <c r="A232" s="17"/>
      <c r="B232" s="17"/>
      <c r="C232" s="17" t="s">
        <v>263</v>
      </c>
      <c r="D232" s="18" t="s">
        <v>264</v>
      </c>
      <c r="E232" s="19">
        <v>30.74</v>
      </c>
      <c r="F232" s="20"/>
      <c r="G232" s="21" t="s">
        <v>13</v>
      </c>
      <c r="H232" s="19">
        <v>1</v>
      </c>
      <c r="I232" s="20">
        <v>42.79</v>
      </c>
      <c r="J232" s="19"/>
      <c r="K232" s="20"/>
    </row>
    <row r="233" spans="1:11" ht="14" x14ac:dyDescent="0.25">
      <c r="C233" s="22" t="s">
        <v>265</v>
      </c>
      <c r="H233" s="143">
        <v>1348.92</v>
      </c>
      <c r="I233" s="143"/>
      <c r="J233" s="143">
        <v>76490.52</v>
      </c>
      <c r="K233" s="143"/>
    </row>
    <row r="234" spans="1:11" ht="14" x14ac:dyDescent="0.25">
      <c r="C234" s="22" t="s">
        <v>267</v>
      </c>
      <c r="H234" s="141">
        <v>1348.92</v>
      </c>
      <c r="I234" s="141"/>
      <c r="J234" s="141">
        <v>76490.52</v>
      </c>
      <c r="K234" s="141"/>
    </row>
    <row r="236" spans="1:11" ht="54" x14ac:dyDescent="0.25">
      <c r="A236" s="38">
        <v>31</v>
      </c>
      <c r="B236" s="38" t="s">
        <v>409</v>
      </c>
      <c r="C236" s="38" t="s">
        <v>2091</v>
      </c>
      <c r="D236" s="39" t="s">
        <v>11</v>
      </c>
      <c r="E236" s="40">
        <v>101</v>
      </c>
      <c r="F236" s="41">
        <v>804.31</v>
      </c>
      <c r="G236" s="42" t="s">
        <v>1</v>
      </c>
      <c r="H236" s="40">
        <v>1</v>
      </c>
      <c r="I236" s="41">
        <v>81235.31</v>
      </c>
      <c r="J236" s="40">
        <v>10.18</v>
      </c>
      <c r="K236" s="41">
        <v>826975.46</v>
      </c>
    </row>
    <row r="237" spans="1:11" ht="14" x14ac:dyDescent="0.25">
      <c r="A237" s="43"/>
      <c r="B237" s="43"/>
      <c r="C237" s="44" t="s">
        <v>267</v>
      </c>
      <c r="D237" s="43"/>
      <c r="E237" s="43"/>
      <c r="F237" s="43"/>
      <c r="G237" s="43"/>
      <c r="H237" s="156">
        <v>81235.31</v>
      </c>
      <c r="I237" s="156"/>
      <c r="J237" s="156">
        <v>826975.46</v>
      </c>
      <c r="K237" s="156"/>
    </row>
    <row r="238" spans="1:11" x14ac:dyDescent="0.2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</row>
    <row r="239" spans="1:11" ht="54" x14ac:dyDescent="0.25">
      <c r="A239" s="38">
        <v>32</v>
      </c>
      <c r="B239" s="38" t="s">
        <v>409</v>
      </c>
      <c r="C239" s="38" t="s">
        <v>2092</v>
      </c>
      <c r="D239" s="39" t="s">
        <v>11</v>
      </c>
      <c r="E239" s="40">
        <v>10</v>
      </c>
      <c r="F239" s="41">
        <v>1305.29</v>
      </c>
      <c r="G239" s="42" t="s">
        <v>1</v>
      </c>
      <c r="H239" s="40">
        <v>1</v>
      </c>
      <c r="I239" s="41">
        <v>13052.9</v>
      </c>
      <c r="J239" s="40">
        <v>10.18</v>
      </c>
      <c r="K239" s="41">
        <v>132878.51999999999</v>
      </c>
    </row>
    <row r="240" spans="1:11" ht="14" x14ac:dyDescent="0.25">
      <c r="A240" s="43"/>
      <c r="B240" s="43"/>
      <c r="C240" s="44" t="s">
        <v>267</v>
      </c>
      <c r="D240" s="43"/>
      <c r="E240" s="43"/>
      <c r="F240" s="43"/>
      <c r="G240" s="43"/>
      <c r="H240" s="156">
        <v>13052.9</v>
      </c>
      <c r="I240" s="156"/>
      <c r="J240" s="156">
        <v>132878.51999999999</v>
      </c>
      <c r="K240" s="156"/>
    </row>
    <row r="241" spans="1:11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</row>
    <row r="242" spans="1:11" ht="54" x14ac:dyDescent="0.25">
      <c r="A242" s="38">
        <v>33</v>
      </c>
      <c r="B242" s="38" t="s">
        <v>409</v>
      </c>
      <c r="C242" s="38" t="s">
        <v>2090</v>
      </c>
      <c r="D242" s="39" t="s">
        <v>11</v>
      </c>
      <c r="E242" s="40">
        <v>5</v>
      </c>
      <c r="F242" s="41">
        <v>1277.9000000000001</v>
      </c>
      <c r="G242" s="42" t="s">
        <v>1</v>
      </c>
      <c r="H242" s="40">
        <v>1</v>
      </c>
      <c r="I242" s="41">
        <v>6389.5</v>
      </c>
      <c r="J242" s="40">
        <v>10.18</v>
      </c>
      <c r="K242" s="41">
        <v>65045.11</v>
      </c>
    </row>
    <row r="243" spans="1:11" ht="14" x14ac:dyDescent="0.25">
      <c r="A243" s="43"/>
      <c r="B243" s="43"/>
      <c r="C243" s="44" t="s">
        <v>267</v>
      </c>
      <c r="D243" s="43"/>
      <c r="E243" s="43"/>
      <c r="F243" s="43"/>
      <c r="G243" s="43"/>
      <c r="H243" s="156">
        <v>6389.5</v>
      </c>
      <c r="I243" s="156"/>
      <c r="J243" s="156">
        <v>65045.11</v>
      </c>
      <c r="K243" s="156"/>
    </row>
    <row r="245" spans="1:11" ht="79" x14ac:dyDescent="0.25">
      <c r="A245" s="10">
        <v>34</v>
      </c>
      <c r="B245" s="10" t="s">
        <v>275</v>
      </c>
      <c r="C245" s="10" t="s">
        <v>46</v>
      </c>
      <c r="D245" s="12" t="s">
        <v>34</v>
      </c>
      <c r="E245" s="11">
        <v>0.08</v>
      </c>
      <c r="F245" s="14"/>
      <c r="G245" s="13"/>
      <c r="H245" s="11"/>
      <c r="I245" s="14"/>
      <c r="J245" s="11"/>
      <c r="K245" s="14"/>
    </row>
    <row r="246" spans="1:11" x14ac:dyDescent="0.25">
      <c r="C246" s="23" t="s">
        <v>341</v>
      </c>
    </row>
    <row r="247" spans="1:11" ht="14.5" x14ac:dyDescent="0.25">
      <c r="A247" s="10"/>
      <c r="B247" s="10"/>
      <c r="C247" s="10" t="s">
        <v>256</v>
      </c>
      <c r="D247" s="12"/>
      <c r="E247" s="11"/>
      <c r="F247" s="14">
        <v>1106.26</v>
      </c>
      <c r="G247" s="15" t="s">
        <v>13</v>
      </c>
      <c r="H247" s="11">
        <v>1</v>
      </c>
      <c r="I247" s="14">
        <v>106.2</v>
      </c>
      <c r="J247" s="11">
        <v>57.05</v>
      </c>
      <c r="K247" s="14">
        <v>6058.71</v>
      </c>
    </row>
    <row r="248" spans="1:11" ht="14.5" x14ac:dyDescent="0.25">
      <c r="A248" s="10"/>
      <c r="B248" s="10"/>
      <c r="C248" s="10" t="s">
        <v>257</v>
      </c>
      <c r="D248" s="12"/>
      <c r="E248" s="11"/>
      <c r="F248" s="14">
        <v>52.1</v>
      </c>
      <c r="G248" s="15" t="s">
        <v>13</v>
      </c>
      <c r="H248" s="11">
        <v>1</v>
      </c>
      <c r="I248" s="14">
        <v>5</v>
      </c>
      <c r="J248" s="11">
        <v>16.899999999999999</v>
      </c>
      <c r="K248" s="14">
        <v>84.5</v>
      </c>
    </row>
    <row r="249" spans="1:11" ht="14.5" x14ac:dyDescent="0.25">
      <c r="A249" s="10"/>
      <c r="B249" s="10"/>
      <c r="C249" s="10" t="s">
        <v>258</v>
      </c>
      <c r="D249" s="12"/>
      <c r="E249" s="11"/>
      <c r="F249" s="14">
        <v>7.07</v>
      </c>
      <c r="G249" s="15" t="s">
        <v>13</v>
      </c>
      <c r="H249" s="11">
        <v>1</v>
      </c>
      <c r="I249" s="16">
        <v>0.68</v>
      </c>
      <c r="J249" s="11">
        <v>57.05</v>
      </c>
      <c r="K249" s="16">
        <v>38.79</v>
      </c>
    </row>
    <row r="250" spans="1:11" ht="14.5" x14ac:dyDescent="0.25">
      <c r="A250" s="10"/>
      <c r="B250" s="10"/>
      <c r="C250" s="10" t="s">
        <v>259</v>
      </c>
      <c r="D250" s="12"/>
      <c r="E250" s="11"/>
      <c r="F250" s="14">
        <v>109.58</v>
      </c>
      <c r="G250" s="15" t="s">
        <v>1</v>
      </c>
      <c r="H250" s="11">
        <v>1</v>
      </c>
      <c r="I250" s="14">
        <v>8.77</v>
      </c>
      <c r="J250" s="11">
        <v>3.05</v>
      </c>
      <c r="K250" s="14">
        <v>26.75</v>
      </c>
    </row>
    <row r="251" spans="1:11" ht="14.5" x14ac:dyDescent="0.25">
      <c r="A251" s="10"/>
      <c r="B251" s="10"/>
      <c r="C251" s="10" t="s">
        <v>260</v>
      </c>
      <c r="D251" s="12" t="s">
        <v>261</v>
      </c>
      <c r="E251" s="11">
        <v>97</v>
      </c>
      <c r="F251" s="14"/>
      <c r="G251" s="13"/>
      <c r="H251" s="11"/>
      <c r="I251" s="14">
        <v>103.67</v>
      </c>
      <c r="J251" s="11">
        <v>97</v>
      </c>
      <c r="K251" s="14">
        <v>5914.58</v>
      </c>
    </row>
    <row r="252" spans="1:11" ht="14.5" x14ac:dyDescent="0.25">
      <c r="A252" s="10"/>
      <c r="B252" s="10"/>
      <c r="C252" s="10" t="s">
        <v>262</v>
      </c>
      <c r="D252" s="12" t="s">
        <v>261</v>
      </c>
      <c r="E252" s="11">
        <v>51</v>
      </c>
      <c r="F252" s="14"/>
      <c r="G252" s="13"/>
      <c r="H252" s="11"/>
      <c r="I252" s="14">
        <v>54.51</v>
      </c>
      <c r="J252" s="11">
        <v>51</v>
      </c>
      <c r="K252" s="14">
        <v>3109.73</v>
      </c>
    </row>
    <row r="253" spans="1:11" ht="14.5" x14ac:dyDescent="0.25">
      <c r="A253" s="17"/>
      <c r="B253" s="17"/>
      <c r="C253" s="17" t="s">
        <v>263</v>
      </c>
      <c r="D253" s="18" t="s">
        <v>264</v>
      </c>
      <c r="E253" s="19">
        <v>84.74</v>
      </c>
      <c r="F253" s="20"/>
      <c r="G253" s="21" t="s">
        <v>13</v>
      </c>
      <c r="H253" s="19">
        <v>1</v>
      </c>
      <c r="I253" s="20">
        <v>8.14</v>
      </c>
      <c r="J253" s="19"/>
      <c r="K253" s="20"/>
    </row>
    <row r="254" spans="1:11" ht="14" x14ac:dyDescent="0.25">
      <c r="C254" s="22" t="s">
        <v>265</v>
      </c>
      <c r="H254" s="143">
        <v>278.14999999999998</v>
      </c>
      <c r="I254" s="143"/>
      <c r="J254" s="143">
        <v>15194.27</v>
      </c>
      <c r="K254" s="143"/>
    </row>
    <row r="255" spans="1:11" ht="14" x14ac:dyDescent="0.25">
      <c r="C255" s="22" t="s">
        <v>267</v>
      </c>
      <c r="H255" s="141">
        <v>278.14999999999998</v>
      </c>
      <c r="I255" s="141"/>
      <c r="J255" s="141">
        <v>15194.27</v>
      </c>
      <c r="K255" s="141"/>
    </row>
    <row r="257" spans="1:11" ht="41" x14ac:dyDescent="0.25">
      <c r="A257" s="38">
        <v>35</v>
      </c>
      <c r="B257" s="38" t="s">
        <v>409</v>
      </c>
      <c r="C257" s="38" t="s">
        <v>2108</v>
      </c>
      <c r="D257" s="39" t="s">
        <v>11</v>
      </c>
      <c r="E257" s="40">
        <v>7</v>
      </c>
      <c r="F257" s="41">
        <v>560.11</v>
      </c>
      <c r="G257" s="42" t="s">
        <v>1</v>
      </c>
      <c r="H257" s="40">
        <v>1</v>
      </c>
      <c r="I257" s="41">
        <v>3920.77</v>
      </c>
      <c r="J257" s="40">
        <v>10.18</v>
      </c>
      <c r="K257" s="41">
        <v>39913.440000000002</v>
      </c>
    </row>
    <row r="258" spans="1:11" ht="14" x14ac:dyDescent="0.25">
      <c r="A258" s="43"/>
      <c r="B258" s="43"/>
      <c r="C258" s="44" t="s">
        <v>267</v>
      </c>
      <c r="D258" s="43"/>
      <c r="E258" s="43"/>
      <c r="F258" s="43"/>
      <c r="G258" s="43"/>
      <c r="H258" s="156">
        <v>3920.77</v>
      </c>
      <c r="I258" s="156"/>
      <c r="J258" s="156">
        <v>39913.440000000002</v>
      </c>
      <c r="K258" s="156"/>
    </row>
    <row r="259" spans="1:11" x14ac:dyDescent="0.2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</row>
    <row r="260" spans="1:11" ht="54" x14ac:dyDescent="0.25">
      <c r="A260" s="38">
        <v>36</v>
      </c>
      <c r="B260" s="38" t="s">
        <v>409</v>
      </c>
      <c r="C260" s="38" t="s">
        <v>2109</v>
      </c>
      <c r="D260" s="39" t="s">
        <v>11</v>
      </c>
      <c r="E260" s="40">
        <v>1</v>
      </c>
      <c r="F260" s="41">
        <v>1052.8800000000001</v>
      </c>
      <c r="G260" s="42" t="s">
        <v>1</v>
      </c>
      <c r="H260" s="40">
        <v>1</v>
      </c>
      <c r="I260" s="41">
        <v>1052.8800000000001</v>
      </c>
      <c r="J260" s="40">
        <v>10.18</v>
      </c>
      <c r="K260" s="41">
        <v>10718.32</v>
      </c>
    </row>
    <row r="261" spans="1:11" ht="14" x14ac:dyDescent="0.25">
      <c r="A261" s="43"/>
      <c r="B261" s="43"/>
      <c r="C261" s="44" t="s">
        <v>267</v>
      </c>
      <c r="D261" s="43"/>
      <c r="E261" s="43"/>
      <c r="F261" s="43"/>
      <c r="G261" s="43"/>
      <c r="H261" s="156">
        <v>1052.8800000000001</v>
      </c>
      <c r="I261" s="156"/>
      <c r="J261" s="156">
        <v>10718.32</v>
      </c>
      <c r="K261" s="156"/>
    </row>
    <row r="264" spans="1:11" ht="14" x14ac:dyDescent="0.3">
      <c r="A264" s="140" t="s">
        <v>342</v>
      </c>
      <c r="B264" s="140"/>
      <c r="C264" s="140"/>
      <c r="D264" s="140"/>
      <c r="E264" s="140"/>
      <c r="F264" s="140"/>
      <c r="G264" s="140"/>
      <c r="H264" s="141">
        <v>134693.06</v>
      </c>
      <c r="I264" s="142"/>
      <c r="J264" s="141">
        <v>1517074.46</v>
      </c>
      <c r="K264" s="142"/>
    </row>
    <row r="266" spans="1:11" ht="16.5" x14ac:dyDescent="0.25">
      <c r="A266" s="144" t="s">
        <v>343</v>
      </c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</row>
    <row r="267" spans="1:11" ht="79" x14ac:dyDescent="0.25">
      <c r="A267" s="10">
        <v>37</v>
      </c>
      <c r="B267" s="10" t="s">
        <v>269</v>
      </c>
      <c r="C267" s="10" t="s">
        <v>23</v>
      </c>
      <c r="D267" s="12" t="s">
        <v>24</v>
      </c>
      <c r="E267" s="11">
        <v>1</v>
      </c>
      <c r="F267" s="14"/>
      <c r="G267" s="13"/>
      <c r="H267" s="11"/>
      <c r="I267" s="14"/>
      <c r="J267" s="11"/>
      <c r="K267" s="14"/>
    </row>
    <row r="268" spans="1:11" ht="14.5" x14ac:dyDescent="0.25">
      <c r="A268" s="10"/>
      <c r="B268" s="10"/>
      <c r="C268" s="10" t="s">
        <v>256</v>
      </c>
      <c r="D268" s="12"/>
      <c r="E268" s="11"/>
      <c r="F268" s="14">
        <v>26.76</v>
      </c>
      <c r="G268" s="15" t="s">
        <v>13</v>
      </c>
      <c r="H268" s="11">
        <v>1</v>
      </c>
      <c r="I268" s="14">
        <v>32.11</v>
      </c>
      <c r="J268" s="11">
        <v>57.05</v>
      </c>
      <c r="K268" s="14">
        <v>1831.88</v>
      </c>
    </row>
    <row r="269" spans="1:11" ht="14.5" x14ac:dyDescent="0.25">
      <c r="A269" s="10"/>
      <c r="B269" s="10"/>
      <c r="C269" s="10" t="s">
        <v>257</v>
      </c>
      <c r="D269" s="12"/>
      <c r="E269" s="11"/>
      <c r="F269" s="14">
        <v>17.420000000000002</v>
      </c>
      <c r="G269" s="15" t="s">
        <v>13</v>
      </c>
      <c r="H269" s="11">
        <v>1</v>
      </c>
      <c r="I269" s="14">
        <v>20.9</v>
      </c>
      <c r="J269" s="11">
        <v>20.11</v>
      </c>
      <c r="K269" s="14">
        <v>420.3</v>
      </c>
    </row>
    <row r="270" spans="1:11" ht="14.5" x14ac:dyDescent="0.25">
      <c r="A270" s="10"/>
      <c r="B270" s="10"/>
      <c r="C270" s="10" t="s">
        <v>258</v>
      </c>
      <c r="D270" s="12"/>
      <c r="E270" s="11"/>
      <c r="F270" s="14">
        <v>3.16</v>
      </c>
      <c r="G270" s="15" t="s">
        <v>13</v>
      </c>
      <c r="H270" s="11">
        <v>1</v>
      </c>
      <c r="I270" s="16">
        <v>3.79</v>
      </c>
      <c r="J270" s="11">
        <v>57.05</v>
      </c>
      <c r="K270" s="16">
        <v>216.22</v>
      </c>
    </row>
    <row r="271" spans="1:11" ht="14.5" x14ac:dyDescent="0.25">
      <c r="A271" s="10"/>
      <c r="B271" s="10"/>
      <c r="C271" s="10" t="s">
        <v>259</v>
      </c>
      <c r="D271" s="12"/>
      <c r="E271" s="11"/>
      <c r="F271" s="14">
        <v>1.46</v>
      </c>
      <c r="G271" s="15" t="s">
        <v>1</v>
      </c>
      <c r="H271" s="11">
        <v>1</v>
      </c>
      <c r="I271" s="14">
        <v>1.46</v>
      </c>
      <c r="J271" s="11">
        <v>13.13</v>
      </c>
      <c r="K271" s="14">
        <v>19.170000000000002</v>
      </c>
    </row>
    <row r="272" spans="1:11" ht="56" x14ac:dyDescent="0.25">
      <c r="A272" s="10" t="s">
        <v>47</v>
      </c>
      <c r="B272" s="10" t="s">
        <v>7</v>
      </c>
      <c r="C272" s="10" t="s">
        <v>8</v>
      </c>
      <c r="D272" s="12" t="s">
        <v>9</v>
      </c>
      <c r="E272" s="11">
        <v>0.1</v>
      </c>
      <c r="F272" s="14">
        <v>31.08</v>
      </c>
      <c r="G272" s="15" t="s">
        <v>1</v>
      </c>
      <c r="H272" s="11">
        <v>1</v>
      </c>
      <c r="I272" s="14">
        <v>3.11</v>
      </c>
      <c r="J272" s="11">
        <v>3.59</v>
      </c>
      <c r="K272" s="14">
        <v>11.16</v>
      </c>
    </row>
    <row r="273" spans="1:11" ht="68" x14ac:dyDescent="0.25">
      <c r="A273" s="10" t="s">
        <v>48</v>
      </c>
      <c r="B273" s="10" t="s">
        <v>409</v>
      </c>
      <c r="C273" s="10" t="s">
        <v>420</v>
      </c>
      <c r="D273" s="12" t="s">
        <v>11</v>
      </c>
      <c r="E273" s="11">
        <v>1</v>
      </c>
      <c r="F273" s="14">
        <v>4578.46</v>
      </c>
      <c r="G273" s="15" t="s">
        <v>1</v>
      </c>
      <c r="H273" s="11">
        <v>1</v>
      </c>
      <c r="I273" s="14">
        <v>4578.46</v>
      </c>
      <c r="J273" s="11">
        <v>7.54</v>
      </c>
      <c r="K273" s="14">
        <v>34521.589999999997</v>
      </c>
    </row>
    <row r="274" spans="1:11" ht="14.5" x14ac:dyDescent="0.25">
      <c r="A274" s="10"/>
      <c r="B274" s="10"/>
      <c r="C274" s="10" t="s">
        <v>260</v>
      </c>
      <c r="D274" s="12" t="s">
        <v>261</v>
      </c>
      <c r="E274" s="11">
        <v>97</v>
      </c>
      <c r="F274" s="14"/>
      <c r="G274" s="13"/>
      <c r="H274" s="11"/>
      <c r="I274" s="14">
        <v>34.82</v>
      </c>
      <c r="J274" s="11">
        <v>97</v>
      </c>
      <c r="K274" s="14">
        <v>1986.66</v>
      </c>
    </row>
    <row r="275" spans="1:11" ht="14.5" x14ac:dyDescent="0.25">
      <c r="A275" s="10"/>
      <c r="B275" s="10"/>
      <c r="C275" s="10" t="s">
        <v>262</v>
      </c>
      <c r="D275" s="12" t="s">
        <v>261</v>
      </c>
      <c r="E275" s="11">
        <v>51</v>
      </c>
      <c r="F275" s="14"/>
      <c r="G275" s="13"/>
      <c r="H275" s="11"/>
      <c r="I275" s="14">
        <v>18.309999999999999</v>
      </c>
      <c r="J275" s="11">
        <v>51</v>
      </c>
      <c r="K275" s="14">
        <v>1044.53</v>
      </c>
    </row>
    <row r="276" spans="1:11" ht="14.5" x14ac:dyDescent="0.25">
      <c r="A276" s="17"/>
      <c r="B276" s="17"/>
      <c r="C276" s="17" t="s">
        <v>263</v>
      </c>
      <c r="D276" s="18" t="s">
        <v>264</v>
      </c>
      <c r="E276" s="19">
        <v>2.06</v>
      </c>
      <c r="F276" s="20"/>
      <c r="G276" s="21" t="s">
        <v>13</v>
      </c>
      <c r="H276" s="19">
        <v>1</v>
      </c>
      <c r="I276" s="20">
        <v>2.4700000000000002</v>
      </c>
      <c r="J276" s="19"/>
      <c r="K276" s="20"/>
    </row>
    <row r="277" spans="1:11" ht="14" x14ac:dyDescent="0.25">
      <c r="C277" s="22" t="s">
        <v>265</v>
      </c>
      <c r="H277" s="143">
        <v>110.71</v>
      </c>
      <c r="I277" s="143"/>
      <c r="J277" s="143">
        <v>5313.7</v>
      </c>
      <c r="K277" s="143"/>
    </row>
    <row r="278" spans="1:11" ht="14" x14ac:dyDescent="0.25">
      <c r="C278" s="22" t="s">
        <v>267</v>
      </c>
      <c r="H278" s="141">
        <v>4689.17</v>
      </c>
      <c r="I278" s="141"/>
      <c r="J278" s="141">
        <v>39835.29</v>
      </c>
      <c r="K278" s="141"/>
    </row>
    <row r="280" spans="1:11" ht="144" x14ac:dyDescent="0.25">
      <c r="A280" s="10">
        <v>38</v>
      </c>
      <c r="B280" s="10" t="s">
        <v>276</v>
      </c>
      <c r="C280" s="10" t="s">
        <v>49</v>
      </c>
      <c r="D280" s="12" t="s">
        <v>50</v>
      </c>
      <c r="E280" s="11">
        <v>6.55</v>
      </c>
      <c r="F280" s="14"/>
      <c r="G280" s="13"/>
      <c r="H280" s="11"/>
      <c r="I280" s="14"/>
      <c r="J280" s="11"/>
      <c r="K280" s="14"/>
    </row>
    <row r="281" spans="1:11" x14ac:dyDescent="0.25">
      <c r="C281" s="23" t="s">
        <v>344</v>
      </c>
    </row>
    <row r="282" spans="1:11" ht="14.5" x14ac:dyDescent="0.25">
      <c r="A282" s="10"/>
      <c r="B282" s="10"/>
      <c r="C282" s="10" t="s">
        <v>256</v>
      </c>
      <c r="D282" s="12"/>
      <c r="E282" s="11"/>
      <c r="F282" s="14">
        <v>64.48</v>
      </c>
      <c r="G282" s="15" t="s">
        <v>277</v>
      </c>
      <c r="H282" s="11">
        <v>1</v>
      </c>
      <c r="I282" s="14">
        <v>582.83000000000004</v>
      </c>
      <c r="J282" s="11">
        <v>57.05</v>
      </c>
      <c r="K282" s="14">
        <v>33250.449999999997</v>
      </c>
    </row>
    <row r="283" spans="1:11" ht="14.5" x14ac:dyDescent="0.25">
      <c r="A283" s="10"/>
      <c r="B283" s="10"/>
      <c r="C283" s="10" t="s">
        <v>257</v>
      </c>
      <c r="D283" s="12"/>
      <c r="E283" s="11"/>
      <c r="F283" s="14">
        <v>2.2000000000000002</v>
      </c>
      <c r="G283" s="15" t="s">
        <v>278</v>
      </c>
      <c r="H283" s="11">
        <v>1</v>
      </c>
      <c r="I283" s="14">
        <v>21.62</v>
      </c>
      <c r="J283" s="11">
        <v>23.28</v>
      </c>
      <c r="K283" s="14">
        <v>503.31</v>
      </c>
    </row>
    <row r="284" spans="1:11" ht="14.5" x14ac:dyDescent="0.25">
      <c r="A284" s="10"/>
      <c r="B284" s="10"/>
      <c r="C284" s="10" t="s">
        <v>258</v>
      </c>
      <c r="D284" s="12"/>
      <c r="E284" s="11"/>
      <c r="F284" s="14">
        <v>0.63</v>
      </c>
      <c r="G284" s="15" t="s">
        <v>278</v>
      </c>
      <c r="H284" s="11">
        <v>1</v>
      </c>
      <c r="I284" s="16">
        <v>6.19</v>
      </c>
      <c r="J284" s="11">
        <v>57.05</v>
      </c>
      <c r="K284" s="16">
        <v>353.14</v>
      </c>
    </row>
    <row r="285" spans="1:11" ht="14.5" x14ac:dyDescent="0.25">
      <c r="A285" s="10"/>
      <c r="B285" s="10"/>
      <c r="C285" s="10" t="s">
        <v>259</v>
      </c>
      <c r="D285" s="12"/>
      <c r="E285" s="11"/>
      <c r="F285" s="14">
        <v>14.13</v>
      </c>
      <c r="G285" s="15" t="s">
        <v>1</v>
      </c>
      <c r="H285" s="11">
        <v>1</v>
      </c>
      <c r="I285" s="14">
        <v>92.55</v>
      </c>
      <c r="J285" s="11">
        <v>9.3699999999999992</v>
      </c>
      <c r="K285" s="14">
        <v>867.19</v>
      </c>
    </row>
    <row r="286" spans="1:11" ht="14.5" x14ac:dyDescent="0.25">
      <c r="A286" s="10"/>
      <c r="B286" s="10"/>
      <c r="C286" s="10" t="s">
        <v>260</v>
      </c>
      <c r="D286" s="12" t="s">
        <v>261</v>
      </c>
      <c r="E286" s="11">
        <v>109</v>
      </c>
      <c r="F286" s="14"/>
      <c r="G286" s="13"/>
      <c r="H286" s="11"/>
      <c r="I286" s="14">
        <v>642.03</v>
      </c>
      <c r="J286" s="11">
        <v>109</v>
      </c>
      <c r="K286" s="14">
        <v>36627.910000000003</v>
      </c>
    </row>
    <row r="287" spans="1:11" ht="14.5" x14ac:dyDescent="0.25">
      <c r="A287" s="10"/>
      <c r="B287" s="10"/>
      <c r="C287" s="10" t="s">
        <v>262</v>
      </c>
      <c r="D287" s="12" t="s">
        <v>261</v>
      </c>
      <c r="E287" s="11">
        <v>57</v>
      </c>
      <c r="F287" s="14"/>
      <c r="G287" s="13"/>
      <c r="H287" s="11"/>
      <c r="I287" s="14">
        <v>335.74</v>
      </c>
      <c r="J287" s="11">
        <v>57</v>
      </c>
      <c r="K287" s="14">
        <v>19154.05</v>
      </c>
    </row>
    <row r="288" spans="1:11" ht="14.5" x14ac:dyDescent="0.25">
      <c r="A288" s="17"/>
      <c r="B288" s="17"/>
      <c r="C288" s="17" t="s">
        <v>263</v>
      </c>
      <c r="D288" s="18" t="s">
        <v>264</v>
      </c>
      <c r="E288" s="19">
        <v>5.1100000000000003</v>
      </c>
      <c r="F288" s="20"/>
      <c r="G288" s="21" t="s">
        <v>277</v>
      </c>
      <c r="H288" s="19">
        <v>1</v>
      </c>
      <c r="I288" s="20">
        <v>46.19</v>
      </c>
      <c r="J288" s="19"/>
      <c r="K288" s="20"/>
    </row>
    <row r="289" spans="1:11" ht="14" x14ac:dyDescent="0.25">
      <c r="C289" s="22" t="s">
        <v>265</v>
      </c>
      <c r="H289" s="143">
        <v>1674.77</v>
      </c>
      <c r="I289" s="143"/>
      <c r="J289" s="143">
        <v>90402.91</v>
      </c>
      <c r="K289" s="143"/>
    </row>
    <row r="290" spans="1:11" ht="14" x14ac:dyDescent="0.25">
      <c r="C290" s="22" t="s">
        <v>267</v>
      </c>
      <c r="H290" s="141">
        <v>1674.77</v>
      </c>
      <c r="I290" s="141"/>
      <c r="J290" s="141">
        <v>90402.91</v>
      </c>
      <c r="K290" s="141"/>
    </row>
    <row r="292" spans="1:11" ht="69" x14ac:dyDescent="0.25">
      <c r="A292" s="10">
        <v>39</v>
      </c>
      <c r="B292" s="10" t="s">
        <v>409</v>
      </c>
      <c r="C292" s="10" t="s">
        <v>427</v>
      </c>
      <c r="D292" s="12" t="s">
        <v>52</v>
      </c>
      <c r="E292" s="11">
        <v>668.1</v>
      </c>
      <c r="F292" s="14">
        <v>39.909999999999997</v>
      </c>
      <c r="G292" s="15" t="s">
        <v>1</v>
      </c>
      <c r="H292" s="11">
        <v>1</v>
      </c>
      <c r="I292" s="14">
        <v>26663.87</v>
      </c>
      <c r="J292" s="11">
        <v>10.18</v>
      </c>
      <c r="K292" s="14">
        <v>271438.2</v>
      </c>
    </row>
    <row r="293" spans="1:11" x14ac:dyDescent="0.25">
      <c r="A293" s="28"/>
      <c r="B293" s="28"/>
      <c r="C293" s="25" t="s">
        <v>345</v>
      </c>
      <c r="D293" s="28"/>
      <c r="E293" s="28"/>
      <c r="F293" s="28"/>
      <c r="G293" s="28"/>
      <c r="H293" s="28"/>
      <c r="I293" s="28"/>
      <c r="J293" s="28"/>
      <c r="K293" s="28"/>
    </row>
    <row r="294" spans="1:11" ht="14" x14ac:dyDescent="0.25">
      <c r="C294" s="22" t="s">
        <v>267</v>
      </c>
      <c r="H294" s="143">
        <v>26663.87</v>
      </c>
      <c r="I294" s="143"/>
      <c r="J294" s="143">
        <v>271438.2</v>
      </c>
      <c r="K294" s="143"/>
    </row>
    <row r="296" spans="1:11" ht="55" x14ac:dyDescent="0.25">
      <c r="A296" s="17">
        <v>40</v>
      </c>
      <c r="B296" s="17" t="s">
        <v>409</v>
      </c>
      <c r="C296" s="17" t="s">
        <v>279</v>
      </c>
      <c r="D296" s="18" t="s">
        <v>11</v>
      </c>
      <c r="E296" s="19">
        <v>20</v>
      </c>
      <c r="F296" s="20">
        <v>205.41</v>
      </c>
      <c r="G296" s="21" t="s">
        <v>1</v>
      </c>
      <c r="H296" s="19">
        <v>1</v>
      </c>
      <c r="I296" s="20">
        <v>4108.2</v>
      </c>
      <c r="J296" s="19">
        <v>10.18</v>
      </c>
      <c r="K296" s="20">
        <v>41821.480000000003</v>
      </c>
    </row>
    <row r="297" spans="1:11" ht="14" x14ac:dyDescent="0.25">
      <c r="C297" s="22" t="s">
        <v>267</v>
      </c>
      <c r="H297" s="143">
        <v>4108.2</v>
      </c>
      <c r="I297" s="143"/>
      <c r="J297" s="143">
        <v>41821.480000000003</v>
      </c>
      <c r="K297" s="143"/>
    </row>
    <row r="299" spans="1:11" ht="56" x14ac:dyDescent="0.25">
      <c r="A299" s="10">
        <v>41</v>
      </c>
      <c r="B299" s="10" t="s">
        <v>54</v>
      </c>
      <c r="C299" s="10" t="s">
        <v>55</v>
      </c>
      <c r="D299" s="12" t="s">
        <v>52</v>
      </c>
      <c r="E299" s="11">
        <v>500</v>
      </c>
      <c r="F299" s="14">
        <v>8.25</v>
      </c>
      <c r="G299" s="15" t="s">
        <v>1</v>
      </c>
      <c r="H299" s="11">
        <v>1</v>
      </c>
      <c r="I299" s="14">
        <v>4125</v>
      </c>
      <c r="J299" s="11">
        <v>14.37</v>
      </c>
      <c r="K299" s="14">
        <v>59276.25</v>
      </c>
    </row>
    <row r="300" spans="1:11" x14ac:dyDescent="0.25">
      <c r="A300" s="28"/>
      <c r="B300" s="28"/>
      <c r="C300" s="25" t="s">
        <v>346</v>
      </c>
      <c r="D300" s="28"/>
      <c r="E300" s="28"/>
      <c r="F300" s="28"/>
      <c r="G300" s="28"/>
      <c r="H300" s="28"/>
      <c r="I300" s="28"/>
      <c r="J300" s="28"/>
      <c r="K300" s="28"/>
    </row>
    <row r="301" spans="1:11" ht="14" x14ac:dyDescent="0.25">
      <c r="C301" s="22" t="s">
        <v>267</v>
      </c>
      <c r="H301" s="143">
        <v>4125</v>
      </c>
      <c r="I301" s="143"/>
      <c r="J301" s="143">
        <v>59276.25</v>
      </c>
      <c r="K301" s="143"/>
    </row>
    <row r="303" spans="1:11" ht="28" x14ac:dyDescent="0.25">
      <c r="A303" s="10">
        <v>42</v>
      </c>
      <c r="B303" s="10" t="s">
        <v>56</v>
      </c>
      <c r="C303" s="10" t="s">
        <v>57</v>
      </c>
      <c r="D303" s="12" t="s">
        <v>34</v>
      </c>
      <c r="E303" s="11">
        <v>14</v>
      </c>
      <c r="F303" s="14">
        <v>94.93</v>
      </c>
      <c r="G303" s="15" t="s">
        <v>1</v>
      </c>
      <c r="H303" s="11">
        <v>1</v>
      </c>
      <c r="I303" s="14">
        <v>1329.02</v>
      </c>
      <c r="J303" s="11">
        <v>3.7</v>
      </c>
      <c r="K303" s="14">
        <v>4917.37</v>
      </c>
    </row>
    <row r="304" spans="1:11" x14ac:dyDescent="0.25">
      <c r="A304" s="28"/>
      <c r="B304" s="28"/>
      <c r="C304" s="25" t="s">
        <v>347</v>
      </c>
      <c r="D304" s="28"/>
      <c r="E304" s="28"/>
      <c r="F304" s="28"/>
      <c r="G304" s="28"/>
      <c r="H304" s="28"/>
      <c r="I304" s="28"/>
      <c r="J304" s="28"/>
      <c r="K304" s="28"/>
    </row>
    <row r="305" spans="1:11" ht="14" x14ac:dyDescent="0.25">
      <c r="C305" s="22" t="s">
        <v>267</v>
      </c>
      <c r="H305" s="143">
        <v>1329.02</v>
      </c>
      <c r="I305" s="143"/>
      <c r="J305" s="143">
        <v>4917.37</v>
      </c>
      <c r="K305" s="143"/>
    </row>
    <row r="308" spans="1:11" ht="14" x14ac:dyDescent="0.3">
      <c r="A308" s="140" t="s">
        <v>348</v>
      </c>
      <c r="B308" s="140"/>
      <c r="C308" s="140"/>
      <c r="D308" s="140"/>
      <c r="E308" s="140"/>
      <c r="F308" s="140"/>
      <c r="G308" s="140"/>
      <c r="H308" s="141">
        <v>42590.03</v>
      </c>
      <c r="I308" s="142"/>
      <c r="J308" s="141">
        <v>507691.5</v>
      </c>
      <c r="K308" s="142"/>
    </row>
    <row r="310" spans="1:11" ht="16.5" x14ac:dyDescent="0.25">
      <c r="A310" s="144" t="s">
        <v>349</v>
      </c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</row>
    <row r="311" spans="1:11" ht="79" x14ac:dyDescent="0.25">
      <c r="A311" s="10">
        <v>43</v>
      </c>
      <c r="B311" s="10" t="s">
        <v>280</v>
      </c>
      <c r="C311" s="10" t="s">
        <v>58</v>
      </c>
      <c r="D311" s="12" t="s">
        <v>50</v>
      </c>
      <c r="E311" s="11">
        <v>4.5</v>
      </c>
      <c r="F311" s="14"/>
      <c r="G311" s="13"/>
      <c r="H311" s="11"/>
      <c r="I311" s="14"/>
      <c r="J311" s="11"/>
      <c r="K311" s="14"/>
    </row>
    <row r="312" spans="1:11" x14ac:dyDescent="0.25">
      <c r="C312" s="23" t="s">
        <v>350</v>
      </c>
    </row>
    <row r="313" spans="1:11" ht="14.5" x14ac:dyDescent="0.25">
      <c r="A313" s="10"/>
      <c r="B313" s="10"/>
      <c r="C313" s="10" t="s">
        <v>256</v>
      </c>
      <c r="D313" s="12"/>
      <c r="E313" s="11"/>
      <c r="F313" s="14">
        <v>55.23</v>
      </c>
      <c r="G313" s="15" t="s">
        <v>13</v>
      </c>
      <c r="H313" s="11">
        <v>1</v>
      </c>
      <c r="I313" s="14">
        <v>298.24</v>
      </c>
      <c r="J313" s="11">
        <v>57.05</v>
      </c>
      <c r="K313" s="14">
        <v>17014.59</v>
      </c>
    </row>
    <row r="314" spans="1:11" ht="14.5" x14ac:dyDescent="0.25">
      <c r="A314" s="10"/>
      <c r="B314" s="10"/>
      <c r="C314" s="10" t="s">
        <v>257</v>
      </c>
      <c r="D314" s="12"/>
      <c r="E314" s="11"/>
      <c r="F314" s="14">
        <v>2.62</v>
      </c>
      <c r="G314" s="15" t="s">
        <v>13</v>
      </c>
      <c r="H314" s="11">
        <v>1</v>
      </c>
      <c r="I314" s="14">
        <v>14.15</v>
      </c>
      <c r="J314" s="11">
        <v>15.96</v>
      </c>
      <c r="K314" s="14">
        <v>225.83</v>
      </c>
    </row>
    <row r="315" spans="1:11" ht="14.5" x14ac:dyDescent="0.25">
      <c r="A315" s="10"/>
      <c r="B315" s="10"/>
      <c r="C315" s="10" t="s">
        <v>258</v>
      </c>
      <c r="D315" s="12"/>
      <c r="E315" s="11"/>
      <c r="F315" s="14">
        <v>0.3</v>
      </c>
      <c r="G315" s="15" t="s">
        <v>13</v>
      </c>
      <c r="H315" s="11">
        <v>1</v>
      </c>
      <c r="I315" s="16">
        <v>1.62</v>
      </c>
      <c r="J315" s="11">
        <v>57.05</v>
      </c>
      <c r="K315" s="16">
        <v>92.42</v>
      </c>
    </row>
    <row r="316" spans="1:11" ht="14.5" x14ac:dyDescent="0.25">
      <c r="A316" s="10"/>
      <c r="B316" s="10"/>
      <c r="C316" s="10" t="s">
        <v>259</v>
      </c>
      <c r="D316" s="12"/>
      <c r="E316" s="11"/>
      <c r="F316" s="14">
        <v>58.15</v>
      </c>
      <c r="G316" s="15" t="s">
        <v>1</v>
      </c>
      <c r="H316" s="11">
        <v>1</v>
      </c>
      <c r="I316" s="14">
        <v>261.68</v>
      </c>
      <c r="J316" s="11">
        <v>3.64</v>
      </c>
      <c r="K316" s="14">
        <v>952.52</v>
      </c>
    </row>
    <row r="317" spans="1:11" ht="14.5" x14ac:dyDescent="0.25">
      <c r="A317" s="10"/>
      <c r="B317" s="10"/>
      <c r="C317" s="10" t="s">
        <v>260</v>
      </c>
      <c r="D317" s="12" t="s">
        <v>261</v>
      </c>
      <c r="E317" s="11">
        <v>97</v>
      </c>
      <c r="F317" s="14"/>
      <c r="G317" s="13"/>
      <c r="H317" s="11"/>
      <c r="I317" s="14">
        <v>290.86</v>
      </c>
      <c r="J317" s="11">
        <v>97</v>
      </c>
      <c r="K317" s="14">
        <v>16593.8</v>
      </c>
    </row>
    <row r="318" spans="1:11" ht="14.5" x14ac:dyDescent="0.25">
      <c r="A318" s="10"/>
      <c r="B318" s="10"/>
      <c r="C318" s="10" t="s">
        <v>262</v>
      </c>
      <c r="D318" s="12" t="s">
        <v>261</v>
      </c>
      <c r="E318" s="11">
        <v>51</v>
      </c>
      <c r="F318" s="14"/>
      <c r="G318" s="13"/>
      <c r="H318" s="11"/>
      <c r="I318" s="14">
        <v>152.93</v>
      </c>
      <c r="J318" s="11">
        <v>51</v>
      </c>
      <c r="K318" s="14">
        <v>8724.58</v>
      </c>
    </row>
    <row r="319" spans="1:11" ht="14.5" x14ac:dyDescent="0.25">
      <c r="A319" s="17"/>
      <c r="B319" s="17"/>
      <c r="C319" s="17" t="s">
        <v>263</v>
      </c>
      <c r="D319" s="18" t="s">
        <v>264</v>
      </c>
      <c r="E319" s="19">
        <v>4.49</v>
      </c>
      <c r="F319" s="20"/>
      <c r="G319" s="21" t="s">
        <v>13</v>
      </c>
      <c r="H319" s="19">
        <v>1</v>
      </c>
      <c r="I319" s="20">
        <v>24.25</v>
      </c>
      <c r="J319" s="19"/>
      <c r="K319" s="20"/>
    </row>
    <row r="320" spans="1:11" ht="14" x14ac:dyDescent="0.25">
      <c r="C320" s="22" t="s">
        <v>265</v>
      </c>
      <c r="H320" s="143">
        <v>1017.86</v>
      </c>
      <c r="I320" s="143"/>
      <c r="J320" s="143">
        <v>43511.32</v>
      </c>
      <c r="K320" s="143"/>
    </row>
    <row r="321" spans="1:11" ht="14" x14ac:dyDescent="0.25">
      <c r="C321" s="22" t="s">
        <v>267</v>
      </c>
      <c r="H321" s="141">
        <v>1017.86</v>
      </c>
      <c r="I321" s="141"/>
      <c r="J321" s="141">
        <v>43511.32</v>
      </c>
      <c r="K321" s="141"/>
    </row>
    <row r="323" spans="1:11" ht="84" x14ac:dyDescent="0.25">
      <c r="A323" s="10">
        <v>44</v>
      </c>
      <c r="B323" s="10" t="s">
        <v>59</v>
      </c>
      <c r="C323" s="10" t="s">
        <v>438</v>
      </c>
      <c r="D323" s="12" t="s">
        <v>60</v>
      </c>
      <c r="E323" s="11">
        <v>0.4284</v>
      </c>
      <c r="F323" s="14">
        <v>2674.11</v>
      </c>
      <c r="G323" s="15" t="s">
        <v>1</v>
      </c>
      <c r="H323" s="11">
        <v>1</v>
      </c>
      <c r="I323" s="14">
        <v>1145.5899999999999</v>
      </c>
      <c r="J323" s="11">
        <v>7.44</v>
      </c>
      <c r="K323" s="14">
        <v>8523.19</v>
      </c>
    </row>
    <row r="324" spans="1:11" x14ac:dyDescent="0.25">
      <c r="A324" s="28"/>
      <c r="B324" s="28"/>
      <c r="C324" s="25" t="s">
        <v>351</v>
      </c>
      <c r="D324" s="28"/>
      <c r="E324" s="28"/>
      <c r="F324" s="28"/>
      <c r="G324" s="28"/>
      <c r="H324" s="28"/>
      <c r="I324" s="28"/>
      <c r="J324" s="28"/>
      <c r="K324" s="28"/>
    </row>
    <row r="325" spans="1:11" ht="14" x14ac:dyDescent="0.25">
      <c r="C325" s="22" t="s">
        <v>267</v>
      </c>
      <c r="H325" s="143">
        <v>1145.5899999999999</v>
      </c>
      <c r="I325" s="143"/>
      <c r="J325" s="143">
        <v>8523.19</v>
      </c>
      <c r="K325" s="143"/>
    </row>
    <row r="327" spans="1:11" ht="98" x14ac:dyDescent="0.25">
      <c r="A327" s="10">
        <v>45</v>
      </c>
      <c r="B327" s="10" t="s">
        <v>61</v>
      </c>
      <c r="C327" s="10" t="s">
        <v>439</v>
      </c>
      <c r="D327" s="12" t="s">
        <v>60</v>
      </c>
      <c r="E327" s="11">
        <v>3.09E-2</v>
      </c>
      <c r="F327" s="14">
        <v>2190.39</v>
      </c>
      <c r="G327" s="15" t="s">
        <v>1</v>
      </c>
      <c r="H327" s="11">
        <v>1</v>
      </c>
      <c r="I327" s="14">
        <v>67.680000000000007</v>
      </c>
      <c r="J327" s="11">
        <v>10.99</v>
      </c>
      <c r="K327" s="14">
        <v>743.8</v>
      </c>
    </row>
    <row r="328" spans="1:11" x14ac:dyDescent="0.25">
      <c r="A328" s="28"/>
      <c r="B328" s="28"/>
      <c r="C328" s="25" t="s">
        <v>352</v>
      </c>
      <c r="D328" s="28"/>
      <c r="E328" s="28"/>
      <c r="F328" s="28"/>
      <c r="G328" s="28"/>
      <c r="H328" s="28"/>
      <c r="I328" s="28"/>
      <c r="J328" s="28"/>
      <c r="K328" s="28"/>
    </row>
    <row r="329" spans="1:11" ht="14" x14ac:dyDescent="0.25">
      <c r="C329" s="22" t="s">
        <v>267</v>
      </c>
      <c r="H329" s="143">
        <v>67.680000000000007</v>
      </c>
      <c r="I329" s="143"/>
      <c r="J329" s="143">
        <v>743.8</v>
      </c>
      <c r="K329" s="143"/>
    </row>
    <row r="331" spans="1:11" ht="79" x14ac:dyDescent="0.25">
      <c r="A331" s="10">
        <v>46</v>
      </c>
      <c r="B331" s="10" t="s">
        <v>281</v>
      </c>
      <c r="C331" s="10" t="s">
        <v>62</v>
      </c>
      <c r="D331" s="12" t="s">
        <v>50</v>
      </c>
      <c r="E331" s="11">
        <v>18.100000000000001</v>
      </c>
      <c r="F331" s="14"/>
      <c r="G331" s="13"/>
      <c r="H331" s="11"/>
      <c r="I331" s="14"/>
      <c r="J331" s="11"/>
      <c r="K331" s="14"/>
    </row>
    <row r="332" spans="1:11" x14ac:dyDescent="0.25">
      <c r="C332" s="23" t="s">
        <v>353</v>
      </c>
    </row>
    <row r="333" spans="1:11" ht="14.5" x14ac:dyDescent="0.25">
      <c r="A333" s="10"/>
      <c r="B333" s="10"/>
      <c r="C333" s="10" t="s">
        <v>256</v>
      </c>
      <c r="D333" s="12"/>
      <c r="E333" s="11"/>
      <c r="F333" s="14">
        <v>66.3</v>
      </c>
      <c r="G333" s="15" t="s">
        <v>13</v>
      </c>
      <c r="H333" s="11">
        <v>1</v>
      </c>
      <c r="I333" s="14">
        <v>1440.04</v>
      </c>
      <c r="J333" s="11">
        <v>57.05</v>
      </c>
      <c r="K333" s="14">
        <v>82154.28</v>
      </c>
    </row>
    <row r="334" spans="1:11" ht="14.5" x14ac:dyDescent="0.25">
      <c r="A334" s="10"/>
      <c r="B334" s="10"/>
      <c r="C334" s="10" t="s">
        <v>257</v>
      </c>
      <c r="D334" s="12"/>
      <c r="E334" s="11"/>
      <c r="F334" s="14">
        <v>5.25</v>
      </c>
      <c r="G334" s="15" t="s">
        <v>13</v>
      </c>
      <c r="H334" s="11">
        <v>1</v>
      </c>
      <c r="I334" s="14">
        <v>114.03</v>
      </c>
      <c r="J334" s="11">
        <v>15.93</v>
      </c>
      <c r="K334" s="14">
        <v>1816.5</v>
      </c>
    </row>
    <row r="335" spans="1:11" ht="14.5" x14ac:dyDescent="0.25">
      <c r="A335" s="10"/>
      <c r="B335" s="10"/>
      <c r="C335" s="10" t="s">
        <v>258</v>
      </c>
      <c r="D335" s="12"/>
      <c r="E335" s="11"/>
      <c r="F335" s="14">
        <v>0.59</v>
      </c>
      <c r="G335" s="15" t="s">
        <v>13</v>
      </c>
      <c r="H335" s="11">
        <v>1</v>
      </c>
      <c r="I335" s="16">
        <v>12.81</v>
      </c>
      <c r="J335" s="11">
        <v>57.05</v>
      </c>
      <c r="K335" s="16">
        <v>730.81</v>
      </c>
    </row>
    <row r="336" spans="1:11" ht="14.5" x14ac:dyDescent="0.25">
      <c r="A336" s="10"/>
      <c r="B336" s="10"/>
      <c r="C336" s="10" t="s">
        <v>259</v>
      </c>
      <c r="D336" s="12"/>
      <c r="E336" s="11"/>
      <c r="F336" s="14">
        <v>61.98</v>
      </c>
      <c r="G336" s="15" t="s">
        <v>1</v>
      </c>
      <c r="H336" s="11">
        <v>1</v>
      </c>
      <c r="I336" s="14">
        <v>1121.8399999999999</v>
      </c>
      <c r="J336" s="11">
        <v>4.5</v>
      </c>
      <c r="K336" s="14">
        <v>5048.28</v>
      </c>
    </row>
    <row r="337" spans="1:11" ht="14.5" x14ac:dyDescent="0.25">
      <c r="A337" s="10"/>
      <c r="B337" s="10"/>
      <c r="C337" s="10" t="s">
        <v>260</v>
      </c>
      <c r="D337" s="12" t="s">
        <v>261</v>
      </c>
      <c r="E337" s="11">
        <v>97</v>
      </c>
      <c r="F337" s="14"/>
      <c r="G337" s="13"/>
      <c r="H337" s="11"/>
      <c r="I337" s="14">
        <v>1409.26</v>
      </c>
      <c r="J337" s="11">
        <v>97</v>
      </c>
      <c r="K337" s="14">
        <v>80398.539999999994</v>
      </c>
    </row>
    <row r="338" spans="1:11" ht="14.5" x14ac:dyDescent="0.25">
      <c r="A338" s="10"/>
      <c r="B338" s="10"/>
      <c r="C338" s="10" t="s">
        <v>262</v>
      </c>
      <c r="D338" s="12" t="s">
        <v>261</v>
      </c>
      <c r="E338" s="11">
        <v>51</v>
      </c>
      <c r="F338" s="14"/>
      <c r="G338" s="13"/>
      <c r="H338" s="11"/>
      <c r="I338" s="14">
        <v>740.95</v>
      </c>
      <c r="J338" s="11">
        <v>51</v>
      </c>
      <c r="K338" s="14">
        <v>42271.4</v>
      </c>
    </row>
    <row r="339" spans="1:11" ht="14.5" x14ac:dyDescent="0.25">
      <c r="A339" s="17"/>
      <c r="B339" s="17"/>
      <c r="C339" s="17" t="s">
        <v>263</v>
      </c>
      <c r="D339" s="18" t="s">
        <v>264</v>
      </c>
      <c r="E339" s="19">
        <v>5.39</v>
      </c>
      <c r="F339" s="20"/>
      <c r="G339" s="21" t="s">
        <v>13</v>
      </c>
      <c r="H339" s="19">
        <v>1</v>
      </c>
      <c r="I339" s="20">
        <v>117.07</v>
      </c>
      <c r="J339" s="19"/>
      <c r="K339" s="20"/>
    </row>
    <row r="340" spans="1:11" ht="14" x14ac:dyDescent="0.25">
      <c r="C340" s="22" t="s">
        <v>265</v>
      </c>
      <c r="H340" s="143">
        <v>4826.12</v>
      </c>
      <c r="I340" s="143"/>
      <c r="J340" s="143">
        <v>211689</v>
      </c>
      <c r="K340" s="143"/>
    </row>
    <row r="341" spans="1:11" ht="14" x14ac:dyDescent="0.25">
      <c r="C341" s="22" t="s">
        <v>267</v>
      </c>
      <c r="H341" s="141">
        <v>4826.12</v>
      </c>
      <c r="I341" s="141"/>
      <c r="J341" s="141">
        <v>211689</v>
      </c>
      <c r="K341" s="141"/>
    </row>
    <row r="343" spans="1:11" ht="84" x14ac:dyDescent="0.25">
      <c r="A343" s="10">
        <v>47</v>
      </c>
      <c r="B343" s="10" t="s">
        <v>63</v>
      </c>
      <c r="C343" s="10" t="s">
        <v>440</v>
      </c>
      <c r="D343" s="12" t="s">
        <v>60</v>
      </c>
      <c r="E343" s="11">
        <v>1.2851999999999999</v>
      </c>
      <c r="F343" s="14">
        <v>6265.85</v>
      </c>
      <c r="G343" s="15" t="s">
        <v>1</v>
      </c>
      <c r="H343" s="11">
        <v>1</v>
      </c>
      <c r="I343" s="14">
        <v>8052.87</v>
      </c>
      <c r="J343" s="11">
        <v>9.32</v>
      </c>
      <c r="K343" s="14">
        <v>75052.75</v>
      </c>
    </row>
    <row r="344" spans="1:11" x14ac:dyDescent="0.25">
      <c r="A344" s="28"/>
      <c r="B344" s="28"/>
      <c r="C344" s="25" t="s">
        <v>354</v>
      </c>
      <c r="D344" s="28"/>
      <c r="E344" s="28"/>
      <c r="F344" s="28"/>
      <c r="G344" s="28"/>
      <c r="H344" s="28"/>
      <c r="I344" s="28"/>
      <c r="J344" s="28"/>
      <c r="K344" s="28"/>
    </row>
    <row r="345" spans="1:11" ht="14" x14ac:dyDescent="0.25">
      <c r="C345" s="22" t="s">
        <v>267</v>
      </c>
      <c r="H345" s="143">
        <v>8052.87</v>
      </c>
      <c r="I345" s="143"/>
      <c r="J345" s="143">
        <v>75052.75</v>
      </c>
      <c r="K345" s="143"/>
    </row>
    <row r="347" spans="1:11" ht="98" x14ac:dyDescent="0.25">
      <c r="A347" s="10">
        <v>48</v>
      </c>
      <c r="B347" s="10" t="s">
        <v>64</v>
      </c>
      <c r="C347" s="10" t="s">
        <v>441</v>
      </c>
      <c r="D347" s="12" t="s">
        <v>60</v>
      </c>
      <c r="E347" s="11">
        <v>0.35699999999999998</v>
      </c>
      <c r="F347" s="14">
        <v>35212.58</v>
      </c>
      <c r="G347" s="15" t="s">
        <v>1</v>
      </c>
      <c r="H347" s="11">
        <v>1</v>
      </c>
      <c r="I347" s="14">
        <v>12570.89</v>
      </c>
      <c r="J347" s="11">
        <v>1.94</v>
      </c>
      <c r="K347" s="14">
        <v>24387.53</v>
      </c>
    </row>
    <row r="348" spans="1:11" x14ac:dyDescent="0.25">
      <c r="A348" s="28"/>
      <c r="B348" s="28"/>
      <c r="C348" s="25" t="s">
        <v>355</v>
      </c>
      <c r="D348" s="28"/>
      <c r="E348" s="28"/>
      <c r="F348" s="28"/>
      <c r="G348" s="28"/>
      <c r="H348" s="28"/>
      <c r="I348" s="28"/>
      <c r="J348" s="28"/>
      <c r="K348" s="28"/>
    </row>
    <row r="349" spans="1:11" ht="14" x14ac:dyDescent="0.25">
      <c r="C349" s="22" t="s">
        <v>267</v>
      </c>
      <c r="H349" s="143">
        <v>12570.89</v>
      </c>
      <c r="I349" s="143"/>
      <c r="J349" s="143">
        <v>24387.53</v>
      </c>
      <c r="K349" s="143"/>
    </row>
    <row r="351" spans="1:11" ht="70" x14ac:dyDescent="0.25">
      <c r="A351" s="10">
        <v>49</v>
      </c>
      <c r="B351" s="10" t="s">
        <v>65</v>
      </c>
      <c r="C351" s="10" t="s">
        <v>442</v>
      </c>
      <c r="D351" s="12" t="s">
        <v>60</v>
      </c>
      <c r="E351" s="11">
        <v>0.10199999999999999</v>
      </c>
      <c r="F351" s="14">
        <v>7989.67</v>
      </c>
      <c r="G351" s="15" t="s">
        <v>1</v>
      </c>
      <c r="H351" s="11">
        <v>1</v>
      </c>
      <c r="I351" s="14">
        <v>814.95</v>
      </c>
      <c r="J351" s="11">
        <v>10.25</v>
      </c>
      <c r="K351" s="14">
        <v>8353.24</v>
      </c>
    </row>
    <row r="352" spans="1:11" x14ac:dyDescent="0.25">
      <c r="A352" s="28"/>
      <c r="B352" s="28"/>
      <c r="C352" s="25" t="s">
        <v>356</v>
      </c>
      <c r="D352" s="28"/>
      <c r="E352" s="28"/>
      <c r="F352" s="28"/>
      <c r="G352" s="28"/>
      <c r="H352" s="28"/>
      <c r="I352" s="28"/>
      <c r="J352" s="28"/>
      <c r="K352" s="28"/>
    </row>
    <row r="353" spans="1:11" ht="14" x14ac:dyDescent="0.25">
      <c r="C353" s="22" t="s">
        <v>267</v>
      </c>
      <c r="H353" s="143">
        <v>814.95</v>
      </c>
      <c r="I353" s="143"/>
      <c r="J353" s="143">
        <v>8353.24</v>
      </c>
      <c r="K353" s="143"/>
    </row>
    <row r="355" spans="1:11" ht="98" x14ac:dyDescent="0.25">
      <c r="A355" s="10">
        <v>50</v>
      </c>
      <c r="B355" s="10" t="s">
        <v>66</v>
      </c>
      <c r="C355" s="10" t="s">
        <v>443</v>
      </c>
      <c r="D355" s="12" t="s">
        <v>60</v>
      </c>
      <c r="E355" s="11">
        <v>0.10299999999999999</v>
      </c>
      <c r="F355" s="14">
        <v>5174.33</v>
      </c>
      <c r="G355" s="15" t="s">
        <v>1</v>
      </c>
      <c r="H355" s="11">
        <v>1</v>
      </c>
      <c r="I355" s="14">
        <v>532.96</v>
      </c>
      <c r="J355" s="11">
        <v>11.12</v>
      </c>
      <c r="K355" s="14">
        <v>5926.52</v>
      </c>
    </row>
    <row r="356" spans="1:11" x14ac:dyDescent="0.25">
      <c r="A356" s="28"/>
      <c r="B356" s="28"/>
      <c r="C356" s="25" t="s">
        <v>357</v>
      </c>
      <c r="D356" s="28"/>
      <c r="E356" s="28"/>
      <c r="F356" s="28"/>
      <c r="G356" s="28"/>
      <c r="H356" s="28"/>
      <c r="I356" s="28"/>
      <c r="J356" s="28"/>
      <c r="K356" s="28"/>
    </row>
    <row r="357" spans="1:11" ht="14" x14ac:dyDescent="0.25">
      <c r="C357" s="22" t="s">
        <v>267</v>
      </c>
      <c r="H357" s="143">
        <v>532.96</v>
      </c>
      <c r="I357" s="143"/>
      <c r="J357" s="143">
        <v>5926.52</v>
      </c>
      <c r="K357" s="143"/>
    </row>
    <row r="359" spans="1:11" ht="79" x14ac:dyDescent="0.25">
      <c r="A359" s="10">
        <v>51</v>
      </c>
      <c r="B359" s="10" t="s">
        <v>282</v>
      </c>
      <c r="C359" s="10" t="s">
        <v>67</v>
      </c>
      <c r="D359" s="12" t="s">
        <v>50</v>
      </c>
      <c r="E359" s="11">
        <v>23.4</v>
      </c>
      <c r="F359" s="14"/>
      <c r="G359" s="13"/>
      <c r="H359" s="11"/>
      <c r="I359" s="14"/>
      <c r="J359" s="11"/>
      <c r="K359" s="14"/>
    </row>
    <row r="360" spans="1:11" x14ac:dyDescent="0.25">
      <c r="C360" s="23" t="s">
        <v>358</v>
      </c>
    </row>
    <row r="361" spans="1:11" ht="14.5" x14ac:dyDescent="0.25">
      <c r="A361" s="10"/>
      <c r="B361" s="10"/>
      <c r="C361" s="10" t="s">
        <v>256</v>
      </c>
      <c r="D361" s="12"/>
      <c r="E361" s="11"/>
      <c r="F361" s="14">
        <v>77.37</v>
      </c>
      <c r="G361" s="15" t="s">
        <v>13</v>
      </c>
      <c r="H361" s="11">
        <v>1</v>
      </c>
      <c r="I361" s="14">
        <v>2172.5500000000002</v>
      </c>
      <c r="J361" s="11">
        <v>57.05</v>
      </c>
      <c r="K361" s="14">
        <v>123943.98</v>
      </c>
    </row>
    <row r="362" spans="1:11" ht="14.5" x14ac:dyDescent="0.25">
      <c r="A362" s="10"/>
      <c r="B362" s="10"/>
      <c r="C362" s="10" t="s">
        <v>257</v>
      </c>
      <c r="D362" s="12"/>
      <c r="E362" s="11"/>
      <c r="F362" s="14">
        <v>7.87</v>
      </c>
      <c r="G362" s="15" t="s">
        <v>13</v>
      </c>
      <c r="H362" s="11">
        <v>1</v>
      </c>
      <c r="I362" s="14">
        <v>220.99</v>
      </c>
      <c r="J362" s="11">
        <v>15.94</v>
      </c>
      <c r="K362" s="14">
        <v>3522.58</v>
      </c>
    </row>
    <row r="363" spans="1:11" ht="14.5" x14ac:dyDescent="0.25">
      <c r="A363" s="10"/>
      <c r="B363" s="10"/>
      <c r="C363" s="10" t="s">
        <v>258</v>
      </c>
      <c r="D363" s="12"/>
      <c r="E363" s="11"/>
      <c r="F363" s="14">
        <v>0.89</v>
      </c>
      <c r="G363" s="15" t="s">
        <v>13</v>
      </c>
      <c r="H363" s="11">
        <v>1</v>
      </c>
      <c r="I363" s="16">
        <v>24.99</v>
      </c>
      <c r="J363" s="11">
        <v>57.05</v>
      </c>
      <c r="K363" s="16">
        <v>1425.68</v>
      </c>
    </row>
    <row r="364" spans="1:11" ht="14.5" x14ac:dyDescent="0.25">
      <c r="A364" s="10"/>
      <c r="B364" s="10"/>
      <c r="C364" s="10" t="s">
        <v>259</v>
      </c>
      <c r="D364" s="12"/>
      <c r="E364" s="11"/>
      <c r="F364" s="14">
        <v>90.58</v>
      </c>
      <c r="G364" s="15" t="s">
        <v>1</v>
      </c>
      <c r="H364" s="11">
        <v>1</v>
      </c>
      <c r="I364" s="14">
        <v>2119.5700000000002</v>
      </c>
      <c r="J364" s="11">
        <v>4.21</v>
      </c>
      <c r="K364" s="14">
        <v>8923.39</v>
      </c>
    </row>
    <row r="365" spans="1:11" ht="14.5" x14ac:dyDescent="0.25">
      <c r="A365" s="10"/>
      <c r="B365" s="10"/>
      <c r="C365" s="10" t="s">
        <v>260</v>
      </c>
      <c r="D365" s="12" t="s">
        <v>261</v>
      </c>
      <c r="E365" s="11">
        <v>97</v>
      </c>
      <c r="F365" s="14"/>
      <c r="G365" s="13"/>
      <c r="H365" s="11"/>
      <c r="I365" s="14">
        <v>2131.61</v>
      </c>
      <c r="J365" s="11">
        <v>97</v>
      </c>
      <c r="K365" s="14">
        <v>121608.57</v>
      </c>
    </row>
    <row r="366" spans="1:11" ht="14.5" x14ac:dyDescent="0.25">
      <c r="A366" s="10"/>
      <c r="B366" s="10"/>
      <c r="C366" s="10" t="s">
        <v>262</v>
      </c>
      <c r="D366" s="12" t="s">
        <v>261</v>
      </c>
      <c r="E366" s="11">
        <v>51</v>
      </c>
      <c r="F366" s="14"/>
      <c r="G366" s="13"/>
      <c r="H366" s="11"/>
      <c r="I366" s="14">
        <v>1120.75</v>
      </c>
      <c r="J366" s="11">
        <v>51</v>
      </c>
      <c r="K366" s="14">
        <v>63938.53</v>
      </c>
    </row>
    <row r="367" spans="1:11" ht="14.5" x14ac:dyDescent="0.25">
      <c r="A367" s="17"/>
      <c r="B367" s="17"/>
      <c r="C367" s="17" t="s">
        <v>263</v>
      </c>
      <c r="D367" s="18" t="s">
        <v>264</v>
      </c>
      <c r="E367" s="19">
        <v>6.29</v>
      </c>
      <c r="F367" s="20"/>
      <c r="G367" s="21" t="s">
        <v>13</v>
      </c>
      <c r="H367" s="19">
        <v>1</v>
      </c>
      <c r="I367" s="20">
        <v>176.62</v>
      </c>
      <c r="J367" s="19"/>
      <c r="K367" s="20"/>
    </row>
    <row r="368" spans="1:11" ht="14" x14ac:dyDescent="0.25">
      <c r="C368" s="22" t="s">
        <v>265</v>
      </c>
      <c r="H368" s="143">
        <v>7765.47</v>
      </c>
      <c r="I368" s="143"/>
      <c r="J368" s="143">
        <v>321937.05</v>
      </c>
      <c r="K368" s="143"/>
    </row>
    <row r="369" spans="1:11" ht="14" x14ac:dyDescent="0.25">
      <c r="C369" s="22" t="s">
        <v>267</v>
      </c>
      <c r="H369" s="141">
        <v>7765.47</v>
      </c>
      <c r="I369" s="141"/>
      <c r="J369" s="141">
        <v>321937.05</v>
      </c>
      <c r="K369" s="141"/>
    </row>
    <row r="371" spans="1:11" ht="84" x14ac:dyDescent="0.25">
      <c r="A371" s="10">
        <v>52</v>
      </c>
      <c r="B371" s="10" t="s">
        <v>68</v>
      </c>
      <c r="C371" s="10" t="s">
        <v>444</v>
      </c>
      <c r="D371" s="12" t="s">
        <v>60</v>
      </c>
      <c r="E371" s="11">
        <v>2.1930000000000001</v>
      </c>
      <c r="F371" s="14">
        <v>9257.67</v>
      </c>
      <c r="G371" s="15" t="s">
        <v>1</v>
      </c>
      <c r="H371" s="11">
        <v>1</v>
      </c>
      <c r="I371" s="14">
        <v>20302.07</v>
      </c>
      <c r="J371" s="11">
        <v>9.24</v>
      </c>
      <c r="K371" s="14">
        <v>187591.13</v>
      </c>
    </row>
    <row r="372" spans="1:11" x14ac:dyDescent="0.25">
      <c r="A372" s="28"/>
      <c r="B372" s="28"/>
      <c r="C372" s="25" t="s">
        <v>359</v>
      </c>
      <c r="D372" s="28"/>
      <c r="E372" s="28"/>
      <c r="F372" s="28"/>
      <c r="G372" s="28"/>
      <c r="H372" s="28"/>
      <c r="I372" s="28"/>
      <c r="J372" s="28"/>
      <c r="K372" s="28"/>
    </row>
    <row r="373" spans="1:11" ht="14" x14ac:dyDescent="0.25">
      <c r="C373" s="22" t="s">
        <v>267</v>
      </c>
      <c r="H373" s="143">
        <v>20302.07</v>
      </c>
      <c r="I373" s="143"/>
      <c r="J373" s="143">
        <v>187591.13</v>
      </c>
      <c r="K373" s="143"/>
    </row>
    <row r="375" spans="1:11" ht="84" x14ac:dyDescent="0.25">
      <c r="A375" s="10">
        <v>53</v>
      </c>
      <c r="B375" s="10" t="s">
        <v>69</v>
      </c>
      <c r="C375" s="10" t="s">
        <v>445</v>
      </c>
      <c r="D375" s="12" t="s">
        <v>60</v>
      </c>
      <c r="E375" s="11">
        <v>6.1199999999999997E-2</v>
      </c>
      <c r="F375" s="14">
        <v>14612.46</v>
      </c>
      <c r="G375" s="15" t="s">
        <v>1</v>
      </c>
      <c r="H375" s="11">
        <v>1</v>
      </c>
      <c r="I375" s="14">
        <v>894.28</v>
      </c>
      <c r="J375" s="11">
        <v>9.56</v>
      </c>
      <c r="K375" s="14">
        <v>8549.32</v>
      </c>
    </row>
    <row r="376" spans="1:11" x14ac:dyDescent="0.25">
      <c r="A376" s="28"/>
      <c r="B376" s="28"/>
      <c r="C376" s="25" t="s">
        <v>360</v>
      </c>
      <c r="D376" s="28"/>
      <c r="E376" s="28"/>
      <c r="F376" s="28"/>
      <c r="G376" s="28"/>
      <c r="H376" s="28"/>
      <c r="I376" s="28"/>
      <c r="J376" s="28"/>
      <c r="K376" s="28"/>
    </row>
    <row r="377" spans="1:11" ht="14" x14ac:dyDescent="0.25">
      <c r="C377" s="22" t="s">
        <v>267</v>
      </c>
      <c r="H377" s="143">
        <v>894.28</v>
      </c>
      <c r="I377" s="143"/>
      <c r="J377" s="143">
        <v>8549.32</v>
      </c>
      <c r="K377" s="143"/>
    </row>
    <row r="379" spans="1:11" ht="98" x14ac:dyDescent="0.25">
      <c r="A379" s="10">
        <v>54</v>
      </c>
      <c r="B379" s="10" t="s">
        <v>70</v>
      </c>
      <c r="C379" s="10" t="s">
        <v>446</v>
      </c>
      <c r="D379" s="12" t="s">
        <v>60</v>
      </c>
      <c r="E379" s="11">
        <v>0.10199999999999999</v>
      </c>
      <c r="F379" s="14">
        <v>48365.79</v>
      </c>
      <c r="G379" s="15" t="s">
        <v>1</v>
      </c>
      <c r="H379" s="11">
        <v>1</v>
      </c>
      <c r="I379" s="14">
        <v>4933.3100000000004</v>
      </c>
      <c r="J379" s="11">
        <v>2.09</v>
      </c>
      <c r="K379" s="14">
        <v>10310.620000000001</v>
      </c>
    </row>
    <row r="380" spans="1:11" x14ac:dyDescent="0.25">
      <c r="A380" s="28"/>
      <c r="B380" s="28"/>
      <c r="C380" s="25" t="s">
        <v>356</v>
      </c>
      <c r="D380" s="28"/>
      <c r="E380" s="28"/>
      <c r="F380" s="28"/>
      <c r="G380" s="28"/>
      <c r="H380" s="28"/>
      <c r="I380" s="28"/>
      <c r="J380" s="28"/>
      <c r="K380" s="28"/>
    </row>
    <row r="381" spans="1:11" ht="14" x14ac:dyDescent="0.25">
      <c r="C381" s="22" t="s">
        <v>267</v>
      </c>
      <c r="H381" s="143">
        <v>4933.3100000000004</v>
      </c>
      <c r="I381" s="143"/>
      <c r="J381" s="143">
        <v>10310.620000000001</v>
      </c>
      <c r="K381" s="143"/>
    </row>
    <row r="383" spans="1:11" ht="98" x14ac:dyDescent="0.25">
      <c r="A383" s="10">
        <v>55</v>
      </c>
      <c r="B383" s="10" t="s">
        <v>71</v>
      </c>
      <c r="C383" s="10" t="s">
        <v>447</v>
      </c>
      <c r="D383" s="12" t="s">
        <v>60</v>
      </c>
      <c r="E383" s="11">
        <v>3.0599999999999999E-2</v>
      </c>
      <c r="F383" s="14">
        <v>74824.05</v>
      </c>
      <c r="G383" s="15" t="s">
        <v>1</v>
      </c>
      <c r="H383" s="11">
        <v>1</v>
      </c>
      <c r="I383" s="14">
        <v>2289.62</v>
      </c>
      <c r="J383" s="11">
        <v>2.19</v>
      </c>
      <c r="K383" s="14">
        <v>5014.2700000000004</v>
      </c>
    </row>
    <row r="384" spans="1:11" x14ac:dyDescent="0.25">
      <c r="A384" s="28"/>
      <c r="B384" s="28"/>
      <c r="C384" s="25" t="s">
        <v>361</v>
      </c>
      <c r="D384" s="28"/>
      <c r="E384" s="28"/>
      <c r="F384" s="28"/>
      <c r="G384" s="28"/>
      <c r="H384" s="28"/>
      <c r="I384" s="28"/>
      <c r="J384" s="28"/>
      <c r="K384" s="28"/>
    </row>
    <row r="385" spans="1:11" ht="14" x14ac:dyDescent="0.25">
      <c r="C385" s="22" t="s">
        <v>267</v>
      </c>
      <c r="H385" s="143">
        <v>2289.62</v>
      </c>
      <c r="I385" s="143"/>
      <c r="J385" s="143">
        <v>5014.2700000000004</v>
      </c>
      <c r="K385" s="143"/>
    </row>
    <row r="387" spans="1:11" ht="79" x14ac:dyDescent="0.25">
      <c r="A387" s="10">
        <v>56</v>
      </c>
      <c r="B387" s="10" t="s">
        <v>283</v>
      </c>
      <c r="C387" s="10" t="s">
        <v>72</v>
      </c>
      <c r="D387" s="12" t="s">
        <v>50</v>
      </c>
      <c r="E387" s="11">
        <v>6.17</v>
      </c>
      <c r="F387" s="14"/>
      <c r="G387" s="13"/>
      <c r="H387" s="11"/>
      <c r="I387" s="14"/>
      <c r="J387" s="11"/>
      <c r="K387" s="14"/>
    </row>
    <row r="388" spans="1:11" x14ac:dyDescent="0.25">
      <c r="C388" s="23" t="s">
        <v>362</v>
      </c>
    </row>
    <row r="389" spans="1:11" ht="14.5" x14ac:dyDescent="0.25">
      <c r="A389" s="10"/>
      <c r="B389" s="10"/>
      <c r="C389" s="10" t="s">
        <v>256</v>
      </c>
      <c r="D389" s="12"/>
      <c r="E389" s="11"/>
      <c r="F389" s="14">
        <v>110.21</v>
      </c>
      <c r="G389" s="15" t="s">
        <v>13</v>
      </c>
      <c r="H389" s="11">
        <v>1</v>
      </c>
      <c r="I389" s="14">
        <v>815.99</v>
      </c>
      <c r="J389" s="11">
        <v>57.05</v>
      </c>
      <c r="K389" s="14">
        <v>46552.23</v>
      </c>
    </row>
    <row r="390" spans="1:11" ht="14.5" x14ac:dyDescent="0.25">
      <c r="A390" s="10"/>
      <c r="B390" s="10"/>
      <c r="C390" s="10" t="s">
        <v>257</v>
      </c>
      <c r="D390" s="12"/>
      <c r="E390" s="11"/>
      <c r="F390" s="14">
        <v>15.74</v>
      </c>
      <c r="G390" s="15" t="s">
        <v>13</v>
      </c>
      <c r="H390" s="11">
        <v>1</v>
      </c>
      <c r="I390" s="14">
        <v>116.54</v>
      </c>
      <c r="J390" s="11">
        <v>15.94</v>
      </c>
      <c r="K390" s="14">
        <v>1857.65</v>
      </c>
    </row>
    <row r="391" spans="1:11" ht="14.5" x14ac:dyDescent="0.25">
      <c r="A391" s="10"/>
      <c r="B391" s="10"/>
      <c r="C391" s="10" t="s">
        <v>258</v>
      </c>
      <c r="D391" s="12"/>
      <c r="E391" s="11"/>
      <c r="F391" s="14">
        <v>1.77</v>
      </c>
      <c r="G391" s="15" t="s">
        <v>13</v>
      </c>
      <c r="H391" s="11">
        <v>1</v>
      </c>
      <c r="I391" s="16">
        <v>13.11</v>
      </c>
      <c r="J391" s="11">
        <v>57.05</v>
      </c>
      <c r="K391" s="16">
        <v>747.93</v>
      </c>
    </row>
    <row r="392" spans="1:11" ht="14.5" x14ac:dyDescent="0.25">
      <c r="A392" s="10"/>
      <c r="B392" s="10"/>
      <c r="C392" s="10" t="s">
        <v>259</v>
      </c>
      <c r="D392" s="12"/>
      <c r="E392" s="11"/>
      <c r="F392" s="14">
        <v>94.06</v>
      </c>
      <c r="G392" s="15" t="s">
        <v>1</v>
      </c>
      <c r="H392" s="11">
        <v>1</v>
      </c>
      <c r="I392" s="14">
        <v>580.35</v>
      </c>
      <c r="J392" s="11">
        <v>7.53</v>
      </c>
      <c r="K392" s="14">
        <v>4370.04</v>
      </c>
    </row>
    <row r="393" spans="1:11" ht="14.5" x14ac:dyDescent="0.25">
      <c r="A393" s="10"/>
      <c r="B393" s="10"/>
      <c r="C393" s="10" t="s">
        <v>260</v>
      </c>
      <c r="D393" s="12" t="s">
        <v>261</v>
      </c>
      <c r="E393" s="11">
        <v>97</v>
      </c>
      <c r="F393" s="14"/>
      <c r="G393" s="13"/>
      <c r="H393" s="11"/>
      <c r="I393" s="14">
        <v>804.23</v>
      </c>
      <c r="J393" s="11">
        <v>97</v>
      </c>
      <c r="K393" s="14">
        <v>45881.16</v>
      </c>
    </row>
    <row r="394" spans="1:11" ht="14.5" x14ac:dyDescent="0.25">
      <c r="A394" s="10"/>
      <c r="B394" s="10"/>
      <c r="C394" s="10" t="s">
        <v>262</v>
      </c>
      <c r="D394" s="12" t="s">
        <v>261</v>
      </c>
      <c r="E394" s="11">
        <v>51</v>
      </c>
      <c r="F394" s="14"/>
      <c r="G394" s="13"/>
      <c r="H394" s="11"/>
      <c r="I394" s="14">
        <v>422.84</v>
      </c>
      <c r="J394" s="11">
        <v>51</v>
      </c>
      <c r="K394" s="14">
        <v>24123.08</v>
      </c>
    </row>
    <row r="395" spans="1:11" ht="14.5" x14ac:dyDescent="0.25">
      <c r="A395" s="17"/>
      <c r="B395" s="17"/>
      <c r="C395" s="17" t="s">
        <v>263</v>
      </c>
      <c r="D395" s="18" t="s">
        <v>264</v>
      </c>
      <c r="E395" s="19">
        <v>8.9600000000000009</v>
      </c>
      <c r="F395" s="20"/>
      <c r="G395" s="21" t="s">
        <v>13</v>
      </c>
      <c r="H395" s="19">
        <v>1</v>
      </c>
      <c r="I395" s="20">
        <v>66.34</v>
      </c>
      <c r="J395" s="19"/>
      <c r="K395" s="20"/>
    </row>
    <row r="396" spans="1:11" ht="14" x14ac:dyDescent="0.25">
      <c r="C396" s="22" t="s">
        <v>265</v>
      </c>
      <c r="H396" s="143">
        <v>2739.95</v>
      </c>
      <c r="I396" s="143"/>
      <c r="J396" s="143">
        <v>122784.16</v>
      </c>
      <c r="K396" s="143"/>
    </row>
    <row r="397" spans="1:11" ht="14" x14ac:dyDescent="0.25">
      <c r="C397" s="22" t="s">
        <v>267</v>
      </c>
      <c r="H397" s="141">
        <v>2739.95</v>
      </c>
      <c r="I397" s="141"/>
      <c r="J397" s="141">
        <v>122784.16</v>
      </c>
      <c r="K397" s="141"/>
    </row>
    <row r="399" spans="1:11" ht="84" x14ac:dyDescent="0.25">
      <c r="A399" s="10">
        <v>57</v>
      </c>
      <c r="B399" s="10" t="s">
        <v>73</v>
      </c>
      <c r="C399" s="10" t="s">
        <v>448</v>
      </c>
      <c r="D399" s="12" t="s">
        <v>60</v>
      </c>
      <c r="E399" s="11">
        <v>6.1199999999999997E-2</v>
      </c>
      <c r="F399" s="14">
        <v>18475.080000000002</v>
      </c>
      <c r="G399" s="15" t="s">
        <v>1</v>
      </c>
      <c r="H399" s="11">
        <v>1</v>
      </c>
      <c r="I399" s="14">
        <v>1130.67</v>
      </c>
      <c r="J399" s="11">
        <v>11.07</v>
      </c>
      <c r="K399" s="14">
        <v>12516.52</v>
      </c>
    </row>
    <row r="400" spans="1:11" x14ac:dyDescent="0.25">
      <c r="A400" s="28"/>
      <c r="B400" s="28"/>
      <c r="C400" s="25" t="s">
        <v>360</v>
      </c>
      <c r="D400" s="28"/>
      <c r="E400" s="28"/>
      <c r="F400" s="28"/>
      <c r="G400" s="28"/>
      <c r="H400" s="28"/>
      <c r="I400" s="28"/>
      <c r="J400" s="28"/>
      <c r="K400" s="28"/>
    </row>
    <row r="401" spans="1:11" ht="14" x14ac:dyDescent="0.25">
      <c r="C401" s="22" t="s">
        <v>267</v>
      </c>
      <c r="H401" s="143">
        <v>1130.67</v>
      </c>
      <c r="I401" s="143"/>
      <c r="J401" s="143">
        <v>12516.52</v>
      </c>
      <c r="K401" s="143"/>
    </row>
    <row r="403" spans="1:11" ht="84" x14ac:dyDescent="0.25">
      <c r="A403" s="10">
        <v>58</v>
      </c>
      <c r="B403" s="10" t="s">
        <v>74</v>
      </c>
      <c r="C403" s="10" t="s">
        <v>449</v>
      </c>
      <c r="D403" s="12" t="s">
        <v>60</v>
      </c>
      <c r="E403" s="11">
        <v>6.1199999999999997E-2</v>
      </c>
      <c r="F403" s="14">
        <v>22759.95</v>
      </c>
      <c r="G403" s="15" t="s">
        <v>1</v>
      </c>
      <c r="H403" s="11">
        <v>1</v>
      </c>
      <c r="I403" s="14">
        <v>1392.91</v>
      </c>
      <c r="J403" s="11">
        <v>10.039999999999999</v>
      </c>
      <c r="K403" s="14">
        <v>13984.82</v>
      </c>
    </row>
    <row r="404" spans="1:11" x14ac:dyDescent="0.25">
      <c r="A404" s="28"/>
      <c r="B404" s="28"/>
      <c r="C404" s="25" t="s">
        <v>360</v>
      </c>
      <c r="D404" s="28"/>
      <c r="E404" s="28"/>
      <c r="F404" s="28"/>
      <c r="G404" s="28"/>
      <c r="H404" s="28"/>
      <c r="I404" s="28"/>
      <c r="J404" s="28"/>
      <c r="K404" s="28"/>
    </row>
    <row r="405" spans="1:11" ht="14" x14ac:dyDescent="0.25">
      <c r="C405" s="22" t="s">
        <v>267</v>
      </c>
      <c r="H405" s="143">
        <v>1392.91</v>
      </c>
      <c r="I405" s="143"/>
      <c r="J405" s="143">
        <v>13984.82</v>
      </c>
      <c r="K405" s="143"/>
    </row>
    <row r="407" spans="1:11" ht="84" x14ac:dyDescent="0.25">
      <c r="A407" s="10">
        <v>59</v>
      </c>
      <c r="B407" s="10" t="s">
        <v>75</v>
      </c>
      <c r="C407" s="10" t="s">
        <v>450</v>
      </c>
      <c r="D407" s="12" t="s">
        <v>60</v>
      </c>
      <c r="E407" s="11">
        <v>0.38453999999999999</v>
      </c>
      <c r="F407" s="14">
        <v>31897.03</v>
      </c>
      <c r="G407" s="15" t="s">
        <v>1</v>
      </c>
      <c r="H407" s="11">
        <v>1</v>
      </c>
      <c r="I407" s="14">
        <v>12265.68</v>
      </c>
      <c r="J407" s="11">
        <v>10.53</v>
      </c>
      <c r="K407" s="14">
        <v>129157.61</v>
      </c>
    </row>
    <row r="408" spans="1:11" x14ac:dyDescent="0.25">
      <c r="A408" s="28"/>
      <c r="B408" s="28"/>
      <c r="C408" s="25" t="s">
        <v>363</v>
      </c>
      <c r="D408" s="28"/>
      <c r="E408" s="28"/>
      <c r="F408" s="28"/>
      <c r="G408" s="28"/>
      <c r="H408" s="28"/>
      <c r="I408" s="28"/>
      <c r="J408" s="28"/>
      <c r="K408" s="28"/>
    </row>
    <row r="409" spans="1:11" ht="14" x14ac:dyDescent="0.25">
      <c r="C409" s="22" t="s">
        <v>267</v>
      </c>
      <c r="H409" s="143">
        <v>12265.68</v>
      </c>
      <c r="I409" s="143"/>
      <c r="J409" s="143">
        <v>129157.61</v>
      </c>
      <c r="K409" s="143"/>
    </row>
    <row r="411" spans="1:11" ht="98" x14ac:dyDescent="0.25">
      <c r="A411" s="10">
        <v>60</v>
      </c>
      <c r="B411" s="10" t="s">
        <v>76</v>
      </c>
      <c r="C411" s="10" t="s">
        <v>451</v>
      </c>
      <c r="D411" s="12" t="s">
        <v>60</v>
      </c>
      <c r="E411" s="11">
        <v>9.1800000000000007E-2</v>
      </c>
      <c r="F411" s="14">
        <v>109631.2</v>
      </c>
      <c r="G411" s="15" t="s">
        <v>1</v>
      </c>
      <c r="H411" s="11">
        <v>1</v>
      </c>
      <c r="I411" s="14">
        <v>10064.14</v>
      </c>
      <c r="J411" s="11">
        <v>2.33</v>
      </c>
      <c r="K411" s="14">
        <v>23449.45</v>
      </c>
    </row>
    <row r="412" spans="1:11" x14ac:dyDescent="0.25">
      <c r="A412" s="28"/>
      <c r="B412" s="28"/>
      <c r="C412" s="25" t="s">
        <v>364</v>
      </c>
      <c r="D412" s="28"/>
      <c r="E412" s="28"/>
      <c r="F412" s="28"/>
      <c r="G412" s="28"/>
      <c r="H412" s="28"/>
      <c r="I412" s="28"/>
      <c r="J412" s="28"/>
      <c r="K412" s="28"/>
    </row>
    <row r="413" spans="1:11" ht="14" x14ac:dyDescent="0.25">
      <c r="C413" s="22" t="s">
        <v>267</v>
      </c>
      <c r="H413" s="143">
        <v>10064.14</v>
      </c>
      <c r="I413" s="143"/>
      <c r="J413" s="143">
        <v>23449.45</v>
      </c>
      <c r="K413" s="143"/>
    </row>
    <row r="415" spans="1:11" ht="98" x14ac:dyDescent="0.25">
      <c r="A415" s="10">
        <v>61</v>
      </c>
      <c r="B415" s="10" t="s">
        <v>77</v>
      </c>
      <c r="C415" s="10" t="s">
        <v>452</v>
      </c>
      <c r="D415" s="12" t="s">
        <v>60</v>
      </c>
      <c r="E415" s="11">
        <v>3.0599999999999999E-2</v>
      </c>
      <c r="F415" s="14">
        <v>21281.91</v>
      </c>
      <c r="G415" s="15" t="s">
        <v>1</v>
      </c>
      <c r="H415" s="11">
        <v>1</v>
      </c>
      <c r="I415" s="14">
        <v>651.23</v>
      </c>
      <c r="J415" s="11">
        <v>12.34</v>
      </c>
      <c r="K415" s="14">
        <v>8036.18</v>
      </c>
    </row>
    <row r="416" spans="1:11" x14ac:dyDescent="0.25">
      <c r="A416" s="28"/>
      <c r="B416" s="28"/>
      <c r="C416" s="25" t="s">
        <v>361</v>
      </c>
      <c r="D416" s="28"/>
      <c r="E416" s="28"/>
      <c r="F416" s="28"/>
      <c r="G416" s="28"/>
      <c r="H416" s="28"/>
      <c r="I416" s="28"/>
      <c r="J416" s="28"/>
      <c r="K416" s="28"/>
    </row>
    <row r="417" spans="1:11" ht="14" x14ac:dyDescent="0.25">
      <c r="C417" s="22" t="s">
        <v>267</v>
      </c>
      <c r="H417" s="143">
        <v>651.23</v>
      </c>
      <c r="I417" s="143"/>
      <c r="J417" s="143">
        <v>8036.18</v>
      </c>
      <c r="K417" s="143"/>
    </row>
    <row r="419" spans="1:11" ht="79" x14ac:dyDescent="0.25">
      <c r="A419" s="10">
        <v>62</v>
      </c>
      <c r="B419" s="10" t="s">
        <v>284</v>
      </c>
      <c r="C419" s="10" t="s">
        <v>78</v>
      </c>
      <c r="D419" s="12" t="s">
        <v>50</v>
      </c>
      <c r="E419" s="11">
        <v>2.83</v>
      </c>
      <c r="F419" s="14"/>
      <c r="G419" s="13"/>
      <c r="H419" s="11"/>
      <c r="I419" s="14"/>
      <c r="J419" s="11"/>
      <c r="K419" s="14"/>
    </row>
    <row r="420" spans="1:11" x14ac:dyDescent="0.25">
      <c r="C420" s="23" t="s">
        <v>365</v>
      </c>
    </row>
    <row r="421" spans="1:11" ht="14.5" x14ac:dyDescent="0.25">
      <c r="A421" s="10"/>
      <c r="B421" s="10"/>
      <c r="C421" s="10" t="s">
        <v>256</v>
      </c>
      <c r="D421" s="12"/>
      <c r="E421" s="11"/>
      <c r="F421" s="14">
        <v>72.989999999999995</v>
      </c>
      <c r="G421" s="15" t="s">
        <v>13</v>
      </c>
      <c r="H421" s="11">
        <v>1</v>
      </c>
      <c r="I421" s="14">
        <v>247.87</v>
      </c>
      <c r="J421" s="11">
        <v>57.05</v>
      </c>
      <c r="K421" s="14">
        <v>14140.98</v>
      </c>
    </row>
    <row r="422" spans="1:11" ht="14.5" x14ac:dyDescent="0.25">
      <c r="A422" s="10"/>
      <c r="B422" s="10"/>
      <c r="C422" s="10" t="s">
        <v>257</v>
      </c>
      <c r="D422" s="12"/>
      <c r="E422" s="11"/>
      <c r="F422" s="14">
        <v>5.25</v>
      </c>
      <c r="G422" s="15" t="s">
        <v>13</v>
      </c>
      <c r="H422" s="11">
        <v>1</v>
      </c>
      <c r="I422" s="14">
        <v>17.829999999999998</v>
      </c>
      <c r="J422" s="11">
        <v>15.93</v>
      </c>
      <c r="K422" s="14">
        <v>284.02999999999997</v>
      </c>
    </row>
    <row r="423" spans="1:11" ht="14.5" x14ac:dyDescent="0.25">
      <c r="A423" s="10"/>
      <c r="B423" s="10"/>
      <c r="C423" s="10" t="s">
        <v>258</v>
      </c>
      <c r="D423" s="12"/>
      <c r="E423" s="11"/>
      <c r="F423" s="14">
        <v>0.59</v>
      </c>
      <c r="G423" s="15" t="s">
        <v>13</v>
      </c>
      <c r="H423" s="11">
        <v>1</v>
      </c>
      <c r="I423" s="16">
        <v>2</v>
      </c>
      <c r="J423" s="11">
        <v>57.05</v>
      </c>
      <c r="K423" s="16">
        <v>114.1</v>
      </c>
    </row>
    <row r="424" spans="1:11" ht="14.5" x14ac:dyDescent="0.25">
      <c r="A424" s="10"/>
      <c r="B424" s="10"/>
      <c r="C424" s="10" t="s">
        <v>259</v>
      </c>
      <c r="D424" s="12"/>
      <c r="E424" s="11"/>
      <c r="F424" s="14">
        <v>125.83</v>
      </c>
      <c r="G424" s="15" t="s">
        <v>1</v>
      </c>
      <c r="H424" s="11">
        <v>1</v>
      </c>
      <c r="I424" s="14">
        <v>356.1</v>
      </c>
      <c r="J424" s="11">
        <v>3.22</v>
      </c>
      <c r="K424" s="14">
        <v>1146.6400000000001</v>
      </c>
    </row>
    <row r="425" spans="1:11" ht="14.5" x14ac:dyDescent="0.25">
      <c r="A425" s="10"/>
      <c r="B425" s="10"/>
      <c r="C425" s="10" t="s">
        <v>260</v>
      </c>
      <c r="D425" s="12" t="s">
        <v>261</v>
      </c>
      <c r="E425" s="11">
        <v>97</v>
      </c>
      <c r="F425" s="14"/>
      <c r="G425" s="13"/>
      <c r="H425" s="11"/>
      <c r="I425" s="14">
        <v>242.37</v>
      </c>
      <c r="J425" s="11">
        <v>97</v>
      </c>
      <c r="K425" s="14">
        <v>13827.43</v>
      </c>
    </row>
    <row r="426" spans="1:11" ht="14.5" x14ac:dyDescent="0.25">
      <c r="A426" s="10"/>
      <c r="B426" s="10"/>
      <c r="C426" s="10" t="s">
        <v>262</v>
      </c>
      <c r="D426" s="12" t="s">
        <v>261</v>
      </c>
      <c r="E426" s="11">
        <v>51</v>
      </c>
      <c r="F426" s="14"/>
      <c r="G426" s="13"/>
      <c r="H426" s="11"/>
      <c r="I426" s="14">
        <v>127.43</v>
      </c>
      <c r="J426" s="11">
        <v>51</v>
      </c>
      <c r="K426" s="14">
        <v>7270.09</v>
      </c>
    </row>
    <row r="427" spans="1:11" ht="14.5" x14ac:dyDescent="0.25">
      <c r="A427" s="17"/>
      <c r="B427" s="17"/>
      <c r="C427" s="17" t="s">
        <v>263</v>
      </c>
      <c r="D427" s="18" t="s">
        <v>264</v>
      </c>
      <c r="E427" s="19">
        <v>5.89</v>
      </c>
      <c r="F427" s="20"/>
      <c r="G427" s="21" t="s">
        <v>13</v>
      </c>
      <c r="H427" s="19">
        <v>1</v>
      </c>
      <c r="I427" s="20">
        <v>20</v>
      </c>
      <c r="J427" s="19"/>
      <c r="K427" s="20"/>
    </row>
    <row r="428" spans="1:11" ht="14" x14ac:dyDescent="0.25">
      <c r="C428" s="22" t="s">
        <v>265</v>
      </c>
      <c r="H428" s="143">
        <v>991.6</v>
      </c>
      <c r="I428" s="143"/>
      <c r="J428" s="143">
        <v>36669.17</v>
      </c>
      <c r="K428" s="143"/>
    </row>
    <row r="429" spans="1:11" ht="14" x14ac:dyDescent="0.25">
      <c r="C429" s="22" t="s">
        <v>267</v>
      </c>
      <c r="H429" s="141">
        <v>991.6</v>
      </c>
      <c r="I429" s="141"/>
      <c r="J429" s="141">
        <v>36669.17</v>
      </c>
      <c r="K429" s="141"/>
    </row>
    <row r="431" spans="1:11" ht="84" x14ac:dyDescent="0.25">
      <c r="A431" s="10">
        <v>63</v>
      </c>
      <c r="B431" s="10" t="s">
        <v>75</v>
      </c>
      <c r="C431" s="10" t="s">
        <v>450</v>
      </c>
      <c r="D431" s="12" t="s">
        <v>60</v>
      </c>
      <c r="E431" s="11">
        <v>0.16625999999999999</v>
      </c>
      <c r="F431" s="14">
        <v>31897.03</v>
      </c>
      <c r="G431" s="15" t="s">
        <v>1</v>
      </c>
      <c r="H431" s="11">
        <v>1</v>
      </c>
      <c r="I431" s="14">
        <v>5303.2</v>
      </c>
      <c r="J431" s="11">
        <v>10.53</v>
      </c>
      <c r="K431" s="14">
        <v>55842.7</v>
      </c>
    </row>
    <row r="432" spans="1:11" x14ac:dyDescent="0.25">
      <c r="A432" s="28"/>
      <c r="B432" s="28"/>
      <c r="C432" s="25" t="s">
        <v>366</v>
      </c>
      <c r="D432" s="28"/>
      <c r="E432" s="28"/>
      <c r="F432" s="28"/>
      <c r="G432" s="28"/>
      <c r="H432" s="28"/>
      <c r="I432" s="28"/>
      <c r="J432" s="28"/>
      <c r="K432" s="28"/>
    </row>
    <row r="433" spans="1:11" ht="14" x14ac:dyDescent="0.25">
      <c r="C433" s="22" t="s">
        <v>267</v>
      </c>
      <c r="H433" s="143">
        <v>5303.2</v>
      </c>
      <c r="I433" s="143"/>
      <c r="J433" s="143">
        <v>55842.7</v>
      </c>
      <c r="K433" s="143"/>
    </row>
    <row r="435" spans="1:11" ht="84" x14ac:dyDescent="0.25">
      <c r="A435" s="10">
        <v>64</v>
      </c>
      <c r="B435" s="10" t="s">
        <v>79</v>
      </c>
      <c r="C435" s="10" t="s">
        <v>453</v>
      </c>
      <c r="D435" s="12" t="s">
        <v>60</v>
      </c>
      <c r="E435" s="11">
        <v>0.12239999999999999</v>
      </c>
      <c r="F435" s="14">
        <v>53471.19</v>
      </c>
      <c r="G435" s="15" t="s">
        <v>1</v>
      </c>
      <c r="H435" s="11">
        <v>1</v>
      </c>
      <c r="I435" s="14">
        <v>6544.87</v>
      </c>
      <c r="J435" s="11">
        <v>10.44</v>
      </c>
      <c r="K435" s="14">
        <v>68328.44</v>
      </c>
    </row>
    <row r="436" spans="1:11" x14ac:dyDescent="0.25">
      <c r="A436" s="28"/>
      <c r="B436" s="28"/>
      <c r="C436" s="25" t="s">
        <v>367</v>
      </c>
      <c r="D436" s="28"/>
      <c r="E436" s="28"/>
      <c r="F436" s="28"/>
      <c r="G436" s="28"/>
      <c r="H436" s="28"/>
      <c r="I436" s="28"/>
      <c r="J436" s="28"/>
      <c r="K436" s="28"/>
    </row>
    <row r="437" spans="1:11" ht="14" x14ac:dyDescent="0.25">
      <c r="C437" s="22" t="s">
        <v>267</v>
      </c>
      <c r="H437" s="143">
        <v>6544.87</v>
      </c>
      <c r="I437" s="143"/>
      <c r="J437" s="143">
        <v>68328.44</v>
      </c>
      <c r="K437" s="143"/>
    </row>
    <row r="439" spans="1:11" ht="79" x14ac:dyDescent="0.25">
      <c r="A439" s="10">
        <v>65</v>
      </c>
      <c r="B439" s="10" t="s">
        <v>285</v>
      </c>
      <c r="C439" s="10" t="s">
        <v>80</v>
      </c>
      <c r="D439" s="12" t="s">
        <v>50</v>
      </c>
      <c r="E439" s="11">
        <v>0.8</v>
      </c>
      <c r="F439" s="14"/>
      <c r="G439" s="13"/>
      <c r="H439" s="11"/>
      <c r="I439" s="14"/>
      <c r="J439" s="11"/>
      <c r="K439" s="14"/>
    </row>
    <row r="440" spans="1:11" x14ac:dyDescent="0.25">
      <c r="C440" s="23" t="s">
        <v>368</v>
      </c>
    </row>
    <row r="441" spans="1:11" ht="14.5" x14ac:dyDescent="0.25">
      <c r="A441" s="10"/>
      <c r="B441" s="10"/>
      <c r="C441" s="10" t="s">
        <v>256</v>
      </c>
      <c r="D441" s="12"/>
      <c r="E441" s="11"/>
      <c r="F441" s="14">
        <v>83.8</v>
      </c>
      <c r="G441" s="15" t="s">
        <v>13</v>
      </c>
      <c r="H441" s="11">
        <v>1</v>
      </c>
      <c r="I441" s="14">
        <v>80.45</v>
      </c>
      <c r="J441" s="11">
        <v>57.05</v>
      </c>
      <c r="K441" s="14">
        <v>4589.67</v>
      </c>
    </row>
    <row r="442" spans="1:11" ht="14.5" x14ac:dyDescent="0.25">
      <c r="A442" s="10"/>
      <c r="B442" s="10"/>
      <c r="C442" s="10" t="s">
        <v>257</v>
      </c>
      <c r="D442" s="12"/>
      <c r="E442" s="11"/>
      <c r="F442" s="14">
        <v>8.6999999999999993</v>
      </c>
      <c r="G442" s="15" t="s">
        <v>13</v>
      </c>
      <c r="H442" s="11">
        <v>1</v>
      </c>
      <c r="I442" s="14">
        <v>8.35</v>
      </c>
      <c r="J442" s="11">
        <v>16.079999999999998</v>
      </c>
      <c r="K442" s="14">
        <v>134.27000000000001</v>
      </c>
    </row>
    <row r="443" spans="1:11" ht="14.5" x14ac:dyDescent="0.25">
      <c r="A443" s="10"/>
      <c r="B443" s="10"/>
      <c r="C443" s="10" t="s">
        <v>258</v>
      </c>
      <c r="D443" s="12"/>
      <c r="E443" s="11"/>
      <c r="F443" s="14">
        <v>1.01</v>
      </c>
      <c r="G443" s="15" t="s">
        <v>13</v>
      </c>
      <c r="H443" s="11">
        <v>1</v>
      </c>
      <c r="I443" s="16">
        <v>0.97</v>
      </c>
      <c r="J443" s="11">
        <v>57.05</v>
      </c>
      <c r="K443" s="16">
        <v>55.34</v>
      </c>
    </row>
    <row r="444" spans="1:11" ht="14.5" x14ac:dyDescent="0.25">
      <c r="A444" s="10"/>
      <c r="B444" s="10"/>
      <c r="C444" s="10" t="s">
        <v>259</v>
      </c>
      <c r="D444" s="12"/>
      <c r="E444" s="11"/>
      <c r="F444" s="14">
        <v>125.83</v>
      </c>
      <c r="G444" s="15" t="s">
        <v>1</v>
      </c>
      <c r="H444" s="11">
        <v>1</v>
      </c>
      <c r="I444" s="14">
        <v>100.66</v>
      </c>
      <c r="J444" s="11">
        <v>3.22</v>
      </c>
      <c r="K444" s="14">
        <v>324.13</v>
      </c>
    </row>
    <row r="445" spans="1:11" ht="14.5" x14ac:dyDescent="0.25">
      <c r="A445" s="10"/>
      <c r="B445" s="10"/>
      <c r="C445" s="10" t="s">
        <v>260</v>
      </c>
      <c r="D445" s="12" t="s">
        <v>261</v>
      </c>
      <c r="E445" s="11">
        <v>97</v>
      </c>
      <c r="F445" s="14"/>
      <c r="G445" s="13"/>
      <c r="H445" s="11"/>
      <c r="I445" s="14">
        <v>78.98</v>
      </c>
      <c r="J445" s="11">
        <v>97</v>
      </c>
      <c r="K445" s="14">
        <v>4505.66</v>
      </c>
    </row>
    <row r="446" spans="1:11" ht="14.5" x14ac:dyDescent="0.25">
      <c r="A446" s="10"/>
      <c r="B446" s="10"/>
      <c r="C446" s="10" t="s">
        <v>262</v>
      </c>
      <c r="D446" s="12" t="s">
        <v>261</v>
      </c>
      <c r="E446" s="11">
        <v>51</v>
      </c>
      <c r="F446" s="14"/>
      <c r="G446" s="13"/>
      <c r="H446" s="11"/>
      <c r="I446" s="14">
        <v>41.52</v>
      </c>
      <c r="J446" s="11">
        <v>51</v>
      </c>
      <c r="K446" s="14">
        <v>2368.96</v>
      </c>
    </row>
    <row r="447" spans="1:11" ht="14.5" x14ac:dyDescent="0.25">
      <c r="A447" s="17"/>
      <c r="B447" s="17"/>
      <c r="C447" s="17" t="s">
        <v>263</v>
      </c>
      <c r="D447" s="18" t="s">
        <v>264</v>
      </c>
      <c r="E447" s="19">
        <v>6.77</v>
      </c>
      <c r="F447" s="20"/>
      <c r="G447" s="21" t="s">
        <v>13</v>
      </c>
      <c r="H447" s="19">
        <v>1</v>
      </c>
      <c r="I447" s="20">
        <v>6.5</v>
      </c>
      <c r="J447" s="19"/>
      <c r="K447" s="20"/>
    </row>
    <row r="448" spans="1:11" ht="14" x14ac:dyDescent="0.25">
      <c r="C448" s="22" t="s">
        <v>265</v>
      </c>
      <c r="H448" s="143">
        <v>309.95999999999998</v>
      </c>
      <c r="I448" s="143"/>
      <c r="J448" s="143">
        <v>11922.69</v>
      </c>
      <c r="K448" s="143"/>
    </row>
    <row r="449" spans="1:11" ht="14" x14ac:dyDescent="0.25">
      <c r="C449" s="22" t="s">
        <v>267</v>
      </c>
      <c r="H449" s="141">
        <v>309.95999999999998</v>
      </c>
      <c r="I449" s="141"/>
      <c r="J449" s="141">
        <v>11922.69</v>
      </c>
      <c r="K449" s="141"/>
    </row>
    <row r="451" spans="1:11" ht="84" x14ac:dyDescent="0.25">
      <c r="A451" s="10">
        <v>66</v>
      </c>
      <c r="B451" s="10" t="s">
        <v>81</v>
      </c>
      <c r="C451" s="10" t="s">
        <v>454</v>
      </c>
      <c r="D451" s="12" t="s">
        <v>60</v>
      </c>
      <c r="E451" s="11">
        <v>7.1400000000000005E-2</v>
      </c>
      <c r="F451" s="14">
        <v>135042.42000000001</v>
      </c>
      <c r="G451" s="15" t="s">
        <v>1</v>
      </c>
      <c r="H451" s="11">
        <v>1</v>
      </c>
      <c r="I451" s="14">
        <v>9642.0300000000007</v>
      </c>
      <c r="J451" s="11">
        <v>10.3</v>
      </c>
      <c r="K451" s="14">
        <v>99312.91</v>
      </c>
    </row>
    <row r="452" spans="1:11" x14ac:dyDescent="0.25">
      <c r="A452" s="28"/>
      <c r="B452" s="28"/>
      <c r="C452" s="25" t="s">
        <v>369</v>
      </c>
      <c r="D452" s="28"/>
      <c r="E452" s="28"/>
      <c r="F452" s="28"/>
      <c r="G452" s="28"/>
      <c r="H452" s="28"/>
      <c r="I452" s="28"/>
      <c r="J452" s="28"/>
      <c r="K452" s="28"/>
    </row>
    <row r="453" spans="1:11" ht="14" x14ac:dyDescent="0.25">
      <c r="C453" s="22" t="s">
        <v>267</v>
      </c>
      <c r="H453" s="143">
        <v>9642.0300000000007</v>
      </c>
      <c r="I453" s="143"/>
      <c r="J453" s="143">
        <v>99312.91</v>
      </c>
      <c r="K453" s="143"/>
    </row>
    <row r="455" spans="1:11" ht="84" x14ac:dyDescent="0.25">
      <c r="A455" s="10">
        <v>67</v>
      </c>
      <c r="B455" s="10" t="s">
        <v>82</v>
      </c>
      <c r="C455" s="10" t="s">
        <v>455</v>
      </c>
      <c r="D455" s="12" t="s">
        <v>60</v>
      </c>
      <c r="E455" s="11">
        <v>1.0200000000000001E-2</v>
      </c>
      <c r="F455" s="14">
        <v>191760.03</v>
      </c>
      <c r="G455" s="15" t="s">
        <v>1</v>
      </c>
      <c r="H455" s="11">
        <v>1</v>
      </c>
      <c r="I455" s="14">
        <v>1955.95</v>
      </c>
      <c r="J455" s="11">
        <v>9.9499999999999993</v>
      </c>
      <c r="K455" s="14">
        <v>19461.7</v>
      </c>
    </row>
    <row r="456" spans="1:11" x14ac:dyDescent="0.25">
      <c r="A456" s="28"/>
      <c r="B456" s="28"/>
      <c r="C456" s="25" t="s">
        <v>370</v>
      </c>
      <c r="D456" s="28"/>
      <c r="E456" s="28"/>
      <c r="F456" s="28"/>
      <c r="G456" s="28"/>
      <c r="H456" s="28"/>
      <c r="I456" s="28"/>
      <c r="J456" s="28"/>
      <c r="K456" s="28"/>
    </row>
    <row r="457" spans="1:11" ht="14" x14ac:dyDescent="0.25">
      <c r="C457" s="22" t="s">
        <v>267</v>
      </c>
      <c r="H457" s="143">
        <v>1955.95</v>
      </c>
      <c r="I457" s="143"/>
      <c r="J457" s="143">
        <v>19461.7</v>
      </c>
      <c r="K457" s="143"/>
    </row>
    <row r="459" spans="1:11" ht="79" x14ac:dyDescent="0.25">
      <c r="A459" s="10">
        <v>68</v>
      </c>
      <c r="B459" s="10" t="s">
        <v>286</v>
      </c>
      <c r="C459" s="10" t="s">
        <v>83</v>
      </c>
      <c r="D459" s="12" t="s">
        <v>84</v>
      </c>
      <c r="E459" s="11">
        <v>0.02</v>
      </c>
      <c r="F459" s="14"/>
      <c r="G459" s="13"/>
      <c r="H459" s="11"/>
      <c r="I459" s="14"/>
      <c r="J459" s="11"/>
      <c r="K459" s="14"/>
    </row>
    <row r="460" spans="1:11" x14ac:dyDescent="0.25">
      <c r="C460" s="23" t="s">
        <v>371</v>
      </c>
    </row>
    <row r="461" spans="1:11" ht="14.5" x14ac:dyDescent="0.25">
      <c r="A461" s="10"/>
      <c r="B461" s="10"/>
      <c r="C461" s="10" t="s">
        <v>256</v>
      </c>
      <c r="D461" s="12"/>
      <c r="E461" s="11"/>
      <c r="F461" s="14">
        <v>545.78</v>
      </c>
      <c r="G461" s="15" t="s">
        <v>13</v>
      </c>
      <c r="H461" s="11">
        <v>1</v>
      </c>
      <c r="I461" s="14">
        <v>13.1</v>
      </c>
      <c r="J461" s="11">
        <v>57.05</v>
      </c>
      <c r="K461" s="14">
        <v>747.36</v>
      </c>
    </row>
    <row r="462" spans="1:11" ht="14.5" x14ac:dyDescent="0.25">
      <c r="A462" s="10"/>
      <c r="B462" s="10"/>
      <c r="C462" s="10" t="s">
        <v>257</v>
      </c>
      <c r="D462" s="12"/>
      <c r="E462" s="11"/>
      <c r="F462" s="14">
        <v>133.52000000000001</v>
      </c>
      <c r="G462" s="15" t="s">
        <v>13</v>
      </c>
      <c r="H462" s="11">
        <v>1</v>
      </c>
      <c r="I462" s="14">
        <v>3.2</v>
      </c>
      <c r="J462" s="11">
        <v>15.93</v>
      </c>
      <c r="K462" s="14">
        <v>50.98</v>
      </c>
    </row>
    <row r="463" spans="1:11" ht="14.5" x14ac:dyDescent="0.25">
      <c r="A463" s="10"/>
      <c r="B463" s="10"/>
      <c r="C463" s="10" t="s">
        <v>258</v>
      </c>
      <c r="D463" s="12"/>
      <c r="E463" s="11"/>
      <c r="F463" s="14">
        <v>13.88</v>
      </c>
      <c r="G463" s="15" t="s">
        <v>13</v>
      </c>
      <c r="H463" s="11">
        <v>1</v>
      </c>
      <c r="I463" s="16">
        <v>0.33</v>
      </c>
      <c r="J463" s="11">
        <v>57.05</v>
      </c>
      <c r="K463" s="16">
        <v>18.829999999999998</v>
      </c>
    </row>
    <row r="464" spans="1:11" ht="14.5" x14ac:dyDescent="0.25">
      <c r="A464" s="10"/>
      <c r="B464" s="10"/>
      <c r="C464" s="10" t="s">
        <v>259</v>
      </c>
      <c r="D464" s="12"/>
      <c r="E464" s="11"/>
      <c r="F464" s="14">
        <v>833.05</v>
      </c>
      <c r="G464" s="15" t="s">
        <v>1</v>
      </c>
      <c r="H464" s="11">
        <v>1</v>
      </c>
      <c r="I464" s="14">
        <v>16.66</v>
      </c>
      <c r="J464" s="11">
        <v>7.63</v>
      </c>
      <c r="K464" s="14">
        <v>127.12</v>
      </c>
    </row>
    <row r="465" spans="1:11" ht="42" x14ac:dyDescent="0.25">
      <c r="A465" s="10" t="s">
        <v>85</v>
      </c>
      <c r="B465" s="10" t="s">
        <v>86</v>
      </c>
      <c r="C465" s="10" t="s">
        <v>87</v>
      </c>
      <c r="D465" s="12" t="s">
        <v>88</v>
      </c>
      <c r="E465" s="11">
        <v>4.4000000000000003E-3</v>
      </c>
      <c r="F465" s="14">
        <v>1819.76</v>
      </c>
      <c r="G465" s="15" t="s">
        <v>1</v>
      </c>
      <c r="H465" s="11">
        <v>1</v>
      </c>
      <c r="I465" s="14">
        <v>8.01</v>
      </c>
      <c r="J465" s="11">
        <v>3.49</v>
      </c>
      <c r="K465" s="14">
        <v>27.95</v>
      </c>
    </row>
    <row r="466" spans="1:11" ht="98" x14ac:dyDescent="0.25">
      <c r="A466" s="10" t="s">
        <v>89</v>
      </c>
      <c r="B466" s="10" t="s">
        <v>90</v>
      </c>
      <c r="C466" s="10" t="s">
        <v>456</v>
      </c>
      <c r="D466" s="12" t="s">
        <v>60</v>
      </c>
      <c r="E466" s="11">
        <v>2.0400000000000001E-3</v>
      </c>
      <c r="F466" s="14">
        <v>74943.47</v>
      </c>
      <c r="G466" s="15" t="s">
        <v>1</v>
      </c>
      <c r="H466" s="11">
        <v>1</v>
      </c>
      <c r="I466" s="14">
        <v>152.88</v>
      </c>
      <c r="J466" s="11">
        <v>11.16</v>
      </c>
      <c r="K466" s="14">
        <v>1706.14</v>
      </c>
    </row>
    <row r="467" spans="1:11" ht="14.5" x14ac:dyDescent="0.25">
      <c r="A467" s="10"/>
      <c r="B467" s="10"/>
      <c r="C467" s="10" t="s">
        <v>260</v>
      </c>
      <c r="D467" s="12" t="s">
        <v>261</v>
      </c>
      <c r="E467" s="11">
        <v>97</v>
      </c>
      <c r="F467" s="14"/>
      <c r="G467" s="13"/>
      <c r="H467" s="11"/>
      <c r="I467" s="14">
        <v>13.03</v>
      </c>
      <c r="J467" s="11">
        <v>97</v>
      </c>
      <c r="K467" s="14">
        <v>743.2</v>
      </c>
    </row>
    <row r="468" spans="1:11" ht="14.5" x14ac:dyDescent="0.25">
      <c r="A468" s="10"/>
      <c r="B468" s="10"/>
      <c r="C468" s="10" t="s">
        <v>262</v>
      </c>
      <c r="D468" s="12" t="s">
        <v>261</v>
      </c>
      <c r="E468" s="11">
        <v>51</v>
      </c>
      <c r="F468" s="14"/>
      <c r="G468" s="13"/>
      <c r="H468" s="11"/>
      <c r="I468" s="14">
        <v>6.85</v>
      </c>
      <c r="J468" s="11">
        <v>51</v>
      </c>
      <c r="K468" s="14">
        <v>390.76</v>
      </c>
    </row>
    <row r="469" spans="1:11" ht="14.5" x14ac:dyDescent="0.25">
      <c r="A469" s="17"/>
      <c r="B469" s="17"/>
      <c r="C469" s="17" t="s">
        <v>263</v>
      </c>
      <c r="D469" s="18" t="s">
        <v>264</v>
      </c>
      <c r="E469" s="19">
        <v>44.3</v>
      </c>
      <c r="F469" s="20"/>
      <c r="G469" s="21" t="s">
        <v>13</v>
      </c>
      <c r="H469" s="19">
        <v>1</v>
      </c>
      <c r="I469" s="20">
        <v>1.06</v>
      </c>
      <c r="J469" s="19"/>
      <c r="K469" s="20"/>
    </row>
    <row r="470" spans="1:11" ht="14" x14ac:dyDescent="0.25">
      <c r="C470" s="22" t="s">
        <v>265</v>
      </c>
      <c r="H470" s="143">
        <v>213.73</v>
      </c>
      <c r="I470" s="143"/>
      <c r="J470" s="143">
        <v>3793.51</v>
      </c>
      <c r="K470" s="143"/>
    </row>
    <row r="471" spans="1:11" ht="14" x14ac:dyDescent="0.25">
      <c r="C471" s="22" t="s">
        <v>267</v>
      </c>
      <c r="H471" s="141">
        <v>213.73</v>
      </c>
      <c r="I471" s="141"/>
      <c r="J471" s="141">
        <v>3793.51</v>
      </c>
      <c r="K471" s="141"/>
    </row>
    <row r="474" spans="1:11" ht="14" x14ac:dyDescent="0.3">
      <c r="A474" s="140" t="s">
        <v>372</v>
      </c>
      <c r="B474" s="140"/>
      <c r="C474" s="140"/>
      <c r="D474" s="140"/>
      <c r="E474" s="140"/>
      <c r="F474" s="140"/>
      <c r="G474" s="140"/>
      <c r="H474" s="141">
        <v>118419.59</v>
      </c>
      <c r="I474" s="142"/>
      <c r="J474" s="141">
        <v>1516849.6</v>
      </c>
      <c r="K474" s="142"/>
    </row>
    <row r="476" spans="1:11" ht="16.5" x14ac:dyDescent="0.25">
      <c r="A476" s="144" t="s">
        <v>373</v>
      </c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</row>
    <row r="477" spans="1:11" ht="79" x14ac:dyDescent="0.25">
      <c r="A477" s="10">
        <v>69</v>
      </c>
      <c r="B477" s="10" t="s">
        <v>287</v>
      </c>
      <c r="C477" s="10" t="s">
        <v>91</v>
      </c>
      <c r="D477" s="12" t="s">
        <v>50</v>
      </c>
      <c r="E477" s="11">
        <v>18</v>
      </c>
      <c r="F477" s="14"/>
      <c r="G477" s="13"/>
      <c r="H477" s="11"/>
      <c r="I477" s="14"/>
      <c r="J477" s="11"/>
      <c r="K477" s="14"/>
    </row>
    <row r="478" spans="1:11" x14ac:dyDescent="0.25">
      <c r="C478" s="23" t="s">
        <v>374</v>
      </c>
    </row>
    <row r="479" spans="1:11" ht="14.5" x14ac:dyDescent="0.25">
      <c r="A479" s="10"/>
      <c r="B479" s="10"/>
      <c r="C479" s="10" t="s">
        <v>256</v>
      </c>
      <c r="D479" s="12"/>
      <c r="E479" s="11"/>
      <c r="F479" s="14">
        <v>192.26</v>
      </c>
      <c r="G479" s="15" t="s">
        <v>13</v>
      </c>
      <c r="H479" s="11">
        <v>1</v>
      </c>
      <c r="I479" s="14">
        <v>4152.82</v>
      </c>
      <c r="J479" s="11">
        <v>57.05</v>
      </c>
      <c r="K479" s="14">
        <v>236918.38</v>
      </c>
    </row>
    <row r="480" spans="1:11" ht="14.5" x14ac:dyDescent="0.25">
      <c r="A480" s="10"/>
      <c r="B480" s="10"/>
      <c r="C480" s="10" t="s">
        <v>257</v>
      </c>
      <c r="D480" s="12"/>
      <c r="E480" s="11"/>
      <c r="F480" s="14">
        <v>32.869999999999997</v>
      </c>
      <c r="G480" s="15" t="s">
        <v>13</v>
      </c>
      <c r="H480" s="11">
        <v>1</v>
      </c>
      <c r="I480" s="14">
        <v>709.99</v>
      </c>
      <c r="J480" s="11">
        <v>19.239999999999998</v>
      </c>
      <c r="K480" s="14">
        <v>13660.21</v>
      </c>
    </row>
    <row r="481" spans="1:11" ht="14.5" x14ac:dyDescent="0.25">
      <c r="A481" s="10"/>
      <c r="B481" s="10"/>
      <c r="C481" s="10" t="s">
        <v>258</v>
      </c>
      <c r="D481" s="12"/>
      <c r="E481" s="11"/>
      <c r="F481" s="14">
        <v>5.71</v>
      </c>
      <c r="G481" s="15" t="s">
        <v>13</v>
      </c>
      <c r="H481" s="11">
        <v>1</v>
      </c>
      <c r="I481" s="16">
        <v>123.34</v>
      </c>
      <c r="J481" s="11">
        <v>57.05</v>
      </c>
      <c r="K481" s="16">
        <v>7036.55</v>
      </c>
    </row>
    <row r="482" spans="1:11" ht="14.5" x14ac:dyDescent="0.25">
      <c r="A482" s="10"/>
      <c r="B482" s="10"/>
      <c r="C482" s="10" t="s">
        <v>259</v>
      </c>
      <c r="D482" s="12"/>
      <c r="E482" s="11"/>
      <c r="F482" s="14">
        <v>314.29000000000002</v>
      </c>
      <c r="G482" s="15" t="s">
        <v>1</v>
      </c>
      <c r="H482" s="11">
        <v>1</v>
      </c>
      <c r="I482" s="14">
        <v>5657.22</v>
      </c>
      <c r="J482" s="11">
        <v>10.18</v>
      </c>
      <c r="K482" s="14">
        <v>57590.5</v>
      </c>
    </row>
    <row r="483" spans="1:11" ht="42" x14ac:dyDescent="0.25">
      <c r="A483" s="10" t="s">
        <v>92</v>
      </c>
      <c r="B483" s="10" t="s">
        <v>93</v>
      </c>
      <c r="C483" s="10" t="s">
        <v>94</v>
      </c>
      <c r="D483" s="12" t="s">
        <v>52</v>
      </c>
      <c r="E483" s="11">
        <v>1836</v>
      </c>
      <c r="F483" s="14">
        <v>3.45</v>
      </c>
      <c r="G483" s="15" t="s">
        <v>1</v>
      </c>
      <c r="H483" s="11">
        <v>1</v>
      </c>
      <c r="I483" s="14">
        <v>6334.2</v>
      </c>
      <c r="J483" s="11">
        <v>3.85</v>
      </c>
      <c r="K483" s="14">
        <v>24386.67</v>
      </c>
    </row>
    <row r="484" spans="1:11" ht="14.5" x14ac:dyDescent="0.25">
      <c r="A484" s="10"/>
      <c r="B484" s="10"/>
      <c r="C484" s="10" t="s">
        <v>260</v>
      </c>
      <c r="D484" s="12" t="s">
        <v>261</v>
      </c>
      <c r="E484" s="11">
        <v>97</v>
      </c>
      <c r="F484" s="14"/>
      <c r="G484" s="13"/>
      <c r="H484" s="11"/>
      <c r="I484" s="14">
        <v>4147.88</v>
      </c>
      <c r="J484" s="11">
        <v>97</v>
      </c>
      <c r="K484" s="14">
        <v>236636.28</v>
      </c>
    </row>
    <row r="485" spans="1:11" ht="14.5" x14ac:dyDescent="0.25">
      <c r="A485" s="10"/>
      <c r="B485" s="10"/>
      <c r="C485" s="10" t="s">
        <v>262</v>
      </c>
      <c r="D485" s="12" t="s">
        <v>261</v>
      </c>
      <c r="E485" s="11">
        <v>51</v>
      </c>
      <c r="F485" s="14"/>
      <c r="G485" s="13"/>
      <c r="H485" s="11"/>
      <c r="I485" s="14">
        <v>2180.84</v>
      </c>
      <c r="J485" s="11">
        <v>51</v>
      </c>
      <c r="K485" s="14">
        <v>124417.01</v>
      </c>
    </row>
    <row r="486" spans="1:11" ht="14.5" x14ac:dyDescent="0.25">
      <c r="A486" s="17"/>
      <c r="B486" s="17"/>
      <c r="C486" s="17" t="s">
        <v>263</v>
      </c>
      <c r="D486" s="18" t="s">
        <v>264</v>
      </c>
      <c r="E486" s="19">
        <v>15</v>
      </c>
      <c r="F486" s="20"/>
      <c r="G486" s="21" t="s">
        <v>13</v>
      </c>
      <c r="H486" s="19">
        <v>1</v>
      </c>
      <c r="I486" s="20">
        <v>324</v>
      </c>
      <c r="J486" s="19"/>
      <c r="K486" s="20"/>
    </row>
    <row r="487" spans="1:11" ht="14" x14ac:dyDescent="0.25">
      <c r="C487" s="22" t="s">
        <v>265</v>
      </c>
      <c r="H487" s="143">
        <v>23182.95</v>
      </c>
      <c r="I487" s="143"/>
      <c r="J487" s="143">
        <v>693609.05</v>
      </c>
      <c r="K487" s="143"/>
    </row>
    <row r="488" spans="1:11" ht="14" x14ac:dyDescent="0.25">
      <c r="C488" s="22" t="s">
        <v>267</v>
      </c>
      <c r="H488" s="141">
        <v>23182.95</v>
      </c>
      <c r="I488" s="141"/>
      <c r="J488" s="141">
        <v>693609.05</v>
      </c>
      <c r="K488" s="141"/>
    </row>
    <row r="490" spans="1:11" ht="79" x14ac:dyDescent="0.25">
      <c r="A490" s="10">
        <v>70</v>
      </c>
      <c r="B490" s="10" t="s">
        <v>288</v>
      </c>
      <c r="C490" s="10" t="s">
        <v>95</v>
      </c>
      <c r="D490" s="12" t="s">
        <v>50</v>
      </c>
      <c r="E490" s="11">
        <v>25.8</v>
      </c>
      <c r="F490" s="14"/>
      <c r="G490" s="13"/>
      <c r="H490" s="11"/>
      <c r="I490" s="14"/>
      <c r="J490" s="11"/>
      <c r="K490" s="14"/>
    </row>
    <row r="491" spans="1:11" x14ac:dyDescent="0.25">
      <c r="C491" s="23" t="s">
        <v>375</v>
      </c>
    </row>
    <row r="492" spans="1:11" ht="14.5" x14ac:dyDescent="0.25">
      <c r="A492" s="10"/>
      <c r="B492" s="10"/>
      <c r="C492" s="10" t="s">
        <v>256</v>
      </c>
      <c r="D492" s="12"/>
      <c r="E492" s="11"/>
      <c r="F492" s="14">
        <v>203.09</v>
      </c>
      <c r="G492" s="15" t="s">
        <v>13</v>
      </c>
      <c r="H492" s="11">
        <v>1</v>
      </c>
      <c r="I492" s="14">
        <v>6287.67</v>
      </c>
      <c r="J492" s="11">
        <v>57.05</v>
      </c>
      <c r="K492" s="14">
        <v>358711.57</v>
      </c>
    </row>
    <row r="493" spans="1:11" ht="14.5" x14ac:dyDescent="0.25">
      <c r="A493" s="10"/>
      <c r="B493" s="10"/>
      <c r="C493" s="10" t="s">
        <v>257</v>
      </c>
      <c r="D493" s="12"/>
      <c r="E493" s="11"/>
      <c r="F493" s="14">
        <v>43.19</v>
      </c>
      <c r="G493" s="15" t="s">
        <v>13</v>
      </c>
      <c r="H493" s="11">
        <v>1</v>
      </c>
      <c r="I493" s="14">
        <v>1337.16</v>
      </c>
      <c r="J493" s="11">
        <v>20.059999999999999</v>
      </c>
      <c r="K493" s="14">
        <v>26823.43</v>
      </c>
    </row>
    <row r="494" spans="1:11" ht="14.5" x14ac:dyDescent="0.25">
      <c r="A494" s="10"/>
      <c r="B494" s="10"/>
      <c r="C494" s="10" t="s">
        <v>258</v>
      </c>
      <c r="D494" s="12"/>
      <c r="E494" s="11"/>
      <c r="F494" s="14">
        <v>8.2799999999999994</v>
      </c>
      <c r="G494" s="15" t="s">
        <v>13</v>
      </c>
      <c r="H494" s="11">
        <v>1</v>
      </c>
      <c r="I494" s="16">
        <v>256.35000000000002</v>
      </c>
      <c r="J494" s="11">
        <v>57.05</v>
      </c>
      <c r="K494" s="16">
        <v>14624.77</v>
      </c>
    </row>
    <row r="495" spans="1:11" ht="14.5" x14ac:dyDescent="0.25">
      <c r="A495" s="10"/>
      <c r="B495" s="10"/>
      <c r="C495" s="10" t="s">
        <v>259</v>
      </c>
      <c r="D495" s="12"/>
      <c r="E495" s="11"/>
      <c r="F495" s="14">
        <v>290.64999999999998</v>
      </c>
      <c r="G495" s="15" t="s">
        <v>1</v>
      </c>
      <c r="H495" s="11">
        <v>1</v>
      </c>
      <c r="I495" s="14">
        <v>7498.77</v>
      </c>
      <c r="J495" s="11">
        <v>10.18</v>
      </c>
      <c r="K495" s="14">
        <v>76337.48</v>
      </c>
    </row>
    <row r="496" spans="1:11" ht="42" x14ac:dyDescent="0.25">
      <c r="A496" s="10" t="s">
        <v>96</v>
      </c>
      <c r="B496" s="10" t="s">
        <v>97</v>
      </c>
      <c r="C496" s="10" t="s">
        <v>98</v>
      </c>
      <c r="D496" s="12" t="s">
        <v>52</v>
      </c>
      <c r="E496" s="11">
        <v>2631.6</v>
      </c>
      <c r="F496" s="14">
        <v>5.19</v>
      </c>
      <c r="G496" s="15" t="s">
        <v>1</v>
      </c>
      <c r="H496" s="11">
        <v>1</v>
      </c>
      <c r="I496" s="14">
        <v>13658</v>
      </c>
      <c r="J496" s="11">
        <v>3.77</v>
      </c>
      <c r="K496" s="14">
        <v>51490.66</v>
      </c>
    </row>
    <row r="497" spans="1:11" ht="14.5" x14ac:dyDescent="0.25">
      <c r="A497" s="10"/>
      <c r="B497" s="10"/>
      <c r="C497" s="10" t="s">
        <v>260</v>
      </c>
      <c r="D497" s="12" t="s">
        <v>261</v>
      </c>
      <c r="E497" s="11">
        <v>97</v>
      </c>
      <c r="F497" s="14"/>
      <c r="G497" s="13"/>
      <c r="H497" s="11"/>
      <c r="I497" s="14">
        <v>6347.7</v>
      </c>
      <c r="J497" s="11">
        <v>97</v>
      </c>
      <c r="K497" s="14">
        <v>362136.25</v>
      </c>
    </row>
    <row r="498" spans="1:11" ht="14.5" x14ac:dyDescent="0.25">
      <c r="A498" s="10"/>
      <c r="B498" s="10"/>
      <c r="C498" s="10" t="s">
        <v>262</v>
      </c>
      <c r="D498" s="12" t="s">
        <v>261</v>
      </c>
      <c r="E498" s="11">
        <v>51</v>
      </c>
      <c r="F498" s="14"/>
      <c r="G498" s="13"/>
      <c r="H498" s="11"/>
      <c r="I498" s="14">
        <v>3337.45</v>
      </c>
      <c r="J498" s="11">
        <v>51</v>
      </c>
      <c r="K498" s="14">
        <v>190401.53</v>
      </c>
    </row>
    <row r="499" spans="1:11" ht="14.5" x14ac:dyDescent="0.25">
      <c r="A499" s="17"/>
      <c r="B499" s="17"/>
      <c r="C499" s="17" t="s">
        <v>263</v>
      </c>
      <c r="D499" s="18" t="s">
        <v>264</v>
      </c>
      <c r="E499" s="19">
        <v>15.93</v>
      </c>
      <c r="F499" s="20"/>
      <c r="G499" s="21" t="s">
        <v>13</v>
      </c>
      <c r="H499" s="19">
        <v>1</v>
      </c>
      <c r="I499" s="20">
        <v>493.19</v>
      </c>
      <c r="J499" s="19"/>
      <c r="K499" s="20"/>
    </row>
    <row r="500" spans="1:11" ht="14" x14ac:dyDescent="0.25">
      <c r="C500" s="22" t="s">
        <v>265</v>
      </c>
      <c r="H500" s="143">
        <v>38466.75</v>
      </c>
      <c r="I500" s="143"/>
      <c r="J500" s="143">
        <v>1065900.92</v>
      </c>
      <c r="K500" s="143"/>
    </row>
    <row r="501" spans="1:11" ht="14" x14ac:dyDescent="0.25">
      <c r="C501" s="22" t="s">
        <v>267</v>
      </c>
      <c r="H501" s="141">
        <v>38466.75</v>
      </c>
      <c r="I501" s="141"/>
      <c r="J501" s="141">
        <v>1065900.92</v>
      </c>
      <c r="K501" s="141"/>
    </row>
    <row r="503" spans="1:11" ht="79" x14ac:dyDescent="0.25">
      <c r="A503" s="10">
        <v>71</v>
      </c>
      <c r="B503" s="10" t="s">
        <v>289</v>
      </c>
      <c r="C503" s="10" t="s">
        <v>99</v>
      </c>
      <c r="D503" s="12" t="s">
        <v>50</v>
      </c>
      <c r="E503" s="11">
        <v>6.3</v>
      </c>
      <c r="F503" s="14"/>
      <c r="G503" s="13"/>
      <c r="H503" s="11"/>
      <c r="I503" s="14"/>
      <c r="J503" s="11"/>
      <c r="K503" s="14"/>
    </row>
    <row r="504" spans="1:11" x14ac:dyDescent="0.25">
      <c r="C504" s="23" t="s">
        <v>376</v>
      </c>
    </row>
    <row r="505" spans="1:11" ht="14.5" x14ac:dyDescent="0.25">
      <c r="A505" s="10"/>
      <c r="B505" s="10"/>
      <c r="C505" s="10" t="s">
        <v>256</v>
      </c>
      <c r="D505" s="12"/>
      <c r="E505" s="11"/>
      <c r="F505" s="14">
        <v>221.78</v>
      </c>
      <c r="G505" s="15" t="s">
        <v>13</v>
      </c>
      <c r="H505" s="11">
        <v>1</v>
      </c>
      <c r="I505" s="14">
        <v>1676.66</v>
      </c>
      <c r="J505" s="11">
        <v>57.05</v>
      </c>
      <c r="K505" s="14">
        <v>95653.45</v>
      </c>
    </row>
    <row r="506" spans="1:11" ht="14.5" x14ac:dyDescent="0.25">
      <c r="A506" s="10"/>
      <c r="B506" s="10"/>
      <c r="C506" s="10" t="s">
        <v>257</v>
      </c>
      <c r="D506" s="12"/>
      <c r="E506" s="11"/>
      <c r="F506" s="14">
        <v>44.93</v>
      </c>
      <c r="G506" s="15" t="s">
        <v>13</v>
      </c>
      <c r="H506" s="11">
        <v>1</v>
      </c>
      <c r="I506" s="14">
        <v>339.67</v>
      </c>
      <c r="J506" s="11">
        <v>20.49</v>
      </c>
      <c r="K506" s="14">
        <v>6959.84</v>
      </c>
    </row>
    <row r="507" spans="1:11" ht="14.5" x14ac:dyDescent="0.25">
      <c r="A507" s="10"/>
      <c r="B507" s="10"/>
      <c r="C507" s="10" t="s">
        <v>258</v>
      </c>
      <c r="D507" s="12"/>
      <c r="E507" s="11"/>
      <c r="F507" s="14">
        <v>9.0299999999999994</v>
      </c>
      <c r="G507" s="15" t="s">
        <v>13</v>
      </c>
      <c r="H507" s="11">
        <v>1</v>
      </c>
      <c r="I507" s="16">
        <v>68.27</v>
      </c>
      <c r="J507" s="11">
        <v>57.05</v>
      </c>
      <c r="K507" s="16">
        <v>3894.8</v>
      </c>
    </row>
    <row r="508" spans="1:11" ht="14.5" x14ac:dyDescent="0.25">
      <c r="A508" s="10"/>
      <c r="B508" s="10"/>
      <c r="C508" s="10" t="s">
        <v>259</v>
      </c>
      <c r="D508" s="12"/>
      <c r="E508" s="11"/>
      <c r="F508" s="14">
        <v>238.26</v>
      </c>
      <c r="G508" s="15" t="s">
        <v>1</v>
      </c>
      <c r="H508" s="11">
        <v>1</v>
      </c>
      <c r="I508" s="14">
        <v>1501.04</v>
      </c>
      <c r="J508" s="11">
        <v>10.18</v>
      </c>
      <c r="K508" s="14">
        <v>15280.59</v>
      </c>
    </row>
    <row r="509" spans="1:11" ht="42" x14ac:dyDescent="0.25">
      <c r="A509" s="10" t="s">
        <v>100</v>
      </c>
      <c r="B509" s="10" t="s">
        <v>101</v>
      </c>
      <c r="C509" s="10" t="s">
        <v>102</v>
      </c>
      <c r="D509" s="12" t="s">
        <v>52</v>
      </c>
      <c r="E509" s="11">
        <v>642.6</v>
      </c>
      <c r="F509" s="14">
        <v>7.27</v>
      </c>
      <c r="G509" s="15" t="s">
        <v>1</v>
      </c>
      <c r="H509" s="11">
        <v>1</v>
      </c>
      <c r="I509" s="14">
        <v>4671.7</v>
      </c>
      <c r="J509" s="11">
        <v>4.26</v>
      </c>
      <c r="K509" s="14">
        <v>19901.439999999999</v>
      </c>
    </row>
    <row r="510" spans="1:11" ht="14.5" x14ac:dyDescent="0.25">
      <c r="A510" s="10"/>
      <c r="B510" s="10"/>
      <c r="C510" s="10" t="s">
        <v>260</v>
      </c>
      <c r="D510" s="12" t="s">
        <v>261</v>
      </c>
      <c r="E510" s="11">
        <v>97</v>
      </c>
      <c r="F510" s="14"/>
      <c r="G510" s="13"/>
      <c r="H510" s="11"/>
      <c r="I510" s="14">
        <v>1692.58</v>
      </c>
      <c r="J510" s="11">
        <v>97</v>
      </c>
      <c r="K510" s="14">
        <v>96561.8</v>
      </c>
    </row>
    <row r="511" spans="1:11" ht="14.5" x14ac:dyDescent="0.25">
      <c r="A511" s="10"/>
      <c r="B511" s="10"/>
      <c r="C511" s="10" t="s">
        <v>262</v>
      </c>
      <c r="D511" s="12" t="s">
        <v>261</v>
      </c>
      <c r="E511" s="11">
        <v>51</v>
      </c>
      <c r="F511" s="14"/>
      <c r="G511" s="13"/>
      <c r="H511" s="11"/>
      <c r="I511" s="14">
        <v>889.91</v>
      </c>
      <c r="J511" s="11">
        <v>51</v>
      </c>
      <c r="K511" s="14">
        <v>50769.61</v>
      </c>
    </row>
    <row r="512" spans="1:11" ht="14.5" x14ac:dyDescent="0.25">
      <c r="A512" s="17"/>
      <c r="B512" s="17"/>
      <c r="C512" s="17" t="s">
        <v>263</v>
      </c>
      <c r="D512" s="18" t="s">
        <v>264</v>
      </c>
      <c r="E512" s="19">
        <v>17.52</v>
      </c>
      <c r="F512" s="20"/>
      <c r="G512" s="21" t="s">
        <v>13</v>
      </c>
      <c r="H512" s="19">
        <v>1</v>
      </c>
      <c r="I512" s="20">
        <v>132.44999999999999</v>
      </c>
      <c r="J512" s="19"/>
      <c r="K512" s="20"/>
    </row>
    <row r="513" spans="1:11" ht="14" x14ac:dyDescent="0.25">
      <c r="C513" s="22" t="s">
        <v>265</v>
      </c>
      <c r="H513" s="143">
        <v>10771.56</v>
      </c>
      <c r="I513" s="143"/>
      <c r="J513" s="143">
        <v>285126.73</v>
      </c>
      <c r="K513" s="143"/>
    </row>
    <row r="514" spans="1:11" ht="14" x14ac:dyDescent="0.25">
      <c r="C514" s="22" t="s">
        <v>267</v>
      </c>
      <c r="H514" s="141">
        <v>10771.56</v>
      </c>
      <c r="I514" s="141"/>
      <c r="J514" s="141">
        <v>285126.73</v>
      </c>
      <c r="K514" s="141"/>
    </row>
    <row r="516" spans="1:11" ht="79" x14ac:dyDescent="0.25">
      <c r="A516" s="10">
        <v>72</v>
      </c>
      <c r="B516" s="10" t="s">
        <v>290</v>
      </c>
      <c r="C516" s="10" t="s">
        <v>103</v>
      </c>
      <c r="D516" s="12" t="s">
        <v>50</v>
      </c>
      <c r="E516" s="11">
        <v>1.2</v>
      </c>
      <c r="F516" s="14"/>
      <c r="G516" s="13"/>
      <c r="H516" s="11"/>
      <c r="I516" s="14"/>
      <c r="J516" s="11"/>
      <c r="K516" s="14"/>
    </row>
    <row r="517" spans="1:11" x14ac:dyDescent="0.25">
      <c r="C517" s="23" t="s">
        <v>377</v>
      </c>
    </row>
    <row r="518" spans="1:11" ht="14.5" x14ac:dyDescent="0.25">
      <c r="A518" s="10"/>
      <c r="B518" s="10"/>
      <c r="C518" s="10" t="s">
        <v>256</v>
      </c>
      <c r="D518" s="12"/>
      <c r="E518" s="11"/>
      <c r="F518" s="14">
        <v>234.73</v>
      </c>
      <c r="G518" s="15" t="s">
        <v>13</v>
      </c>
      <c r="H518" s="11">
        <v>1</v>
      </c>
      <c r="I518" s="14">
        <v>338.01</v>
      </c>
      <c r="J518" s="11">
        <v>57.05</v>
      </c>
      <c r="K518" s="14">
        <v>19283.47</v>
      </c>
    </row>
    <row r="519" spans="1:11" ht="14.5" x14ac:dyDescent="0.25">
      <c r="A519" s="10"/>
      <c r="B519" s="10"/>
      <c r="C519" s="10" t="s">
        <v>257</v>
      </c>
      <c r="D519" s="12"/>
      <c r="E519" s="11"/>
      <c r="F519" s="14">
        <v>57.63</v>
      </c>
      <c r="G519" s="15" t="s">
        <v>13</v>
      </c>
      <c r="H519" s="11">
        <v>1</v>
      </c>
      <c r="I519" s="14">
        <v>82.99</v>
      </c>
      <c r="J519" s="11">
        <v>20.98</v>
      </c>
      <c r="K519" s="14">
        <v>1741.13</v>
      </c>
    </row>
    <row r="520" spans="1:11" ht="14.5" x14ac:dyDescent="0.25">
      <c r="A520" s="10"/>
      <c r="B520" s="10"/>
      <c r="C520" s="10" t="s">
        <v>258</v>
      </c>
      <c r="D520" s="12"/>
      <c r="E520" s="11"/>
      <c r="F520" s="14">
        <v>12.2</v>
      </c>
      <c r="G520" s="15" t="s">
        <v>13</v>
      </c>
      <c r="H520" s="11">
        <v>1</v>
      </c>
      <c r="I520" s="16">
        <v>17.57</v>
      </c>
      <c r="J520" s="11">
        <v>57.05</v>
      </c>
      <c r="K520" s="16">
        <v>1002.37</v>
      </c>
    </row>
    <row r="521" spans="1:11" ht="14.5" x14ac:dyDescent="0.25">
      <c r="A521" s="10"/>
      <c r="B521" s="10"/>
      <c r="C521" s="10" t="s">
        <v>259</v>
      </c>
      <c r="D521" s="12"/>
      <c r="E521" s="11"/>
      <c r="F521" s="14">
        <v>217.78</v>
      </c>
      <c r="G521" s="15" t="s">
        <v>1</v>
      </c>
      <c r="H521" s="11">
        <v>1</v>
      </c>
      <c r="I521" s="14">
        <v>261.33999999999997</v>
      </c>
      <c r="J521" s="11">
        <v>10.18</v>
      </c>
      <c r="K521" s="14">
        <v>2660.44</v>
      </c>
    </row>
    <row r="522" spans="1:11" ht="42" x14ac:dyDescent="0.25">
      <c r="A522" s="10" t="s">
        <v>104</v>
      </c>
      <c r="B522" s="10" t="s">
        <v>105</v>
      </c>
      <c r="C522" s="10" t="s">
        <v>106</v>
      </c>
      <c r="D522" s="12" t="s">
        <v>52</v>
      </c>
      <c r="E522" s="11">
        <v>122.4</v>
      </c>
      <c r="F522" s="14">
        <v>10.35</v>
      </c>
      <c r="G522" s="15" t="s">
        <v>1</v>
      </c>
      <c r="H522" s="11">
        <v>1</v>
      </c>
      <c r="I522" s="14">
        <v>1266.8399999999999</v>
      </c>
      <c r="J522" s="11">
        <v>3.97</v>
      </c>
      <c r="K522" s="14">
        <v>5029.3500000000004</v>
      </c>
    </row>
    <row r="523" spans="1:11" ht="14.5" x14ac:dyDescent="0.25">
      <c r="A523" s="10"/>
      <c r="B523" s="10"/>
      <c r="C523" s="10" t="s">
        <v>260</v>
      </c>
      <c r="D523" s="12" t="s">
        <v>261</v>
      </c>
      <c r="E523" s="11">
        <v>97</v>
      </c>
      <c r="F523" s="14"/>
      <c r="G523" s="13"/>
      <c r="H523" s="11"/>
      <c r="I523" s="14">
        <v>344.91</v>
      </c>
      <c r="J523" s="11">
        <v>97</v>
      </c>
      <c r="K523" s="14">
        <v>19677.259999999998</v>
      </c>
    </row>
    <row r="524" spans="1:11" ht="14.5" x14ac:dyDescent="0.25">
      <c r="A524" s="10"/>
      <c r="B524" s="10"/>
      <c r="C524" s="10" t="s">
        <v>262</v>
      </c>
      <c r="D524" s="12" t="s">
        <v>261</v>
      </c>
      <c r="E524" s="11">
        <v>51</v>
      </c>
      <c r="F524" s="14"/>
      <c r="G524" s="13"/>
      <c r="H524" s="11"/>
      <c r="I524" s="14">
        <v>181.35</v>
      </c>
      <c r="J524" s="11">
        <v>51</v>
      </c>
      <c r="K524" s="14">
        <v>10345.780000000001</v>
      </c>
    </row>
    <row r="525" spans="1:11" ht="14.5" x14ac:dyDescent="0.25">
      <c r="A525" s="17"/>
      <c r="B525" s="17"/>
      <c r="C525" s="17" t="s">
        <v>263</v>
      </c>
      <c r="D525" s="18" t="s">
        <v>264</v>
      </c>
      <c r="E525" s="19">
        <v>18.63</v>
      </c>
      <c r="F525" s="20"/>
      <c r="G525" s="21" t="s">
        <v>13</v>
      </c>
      <c r="H525" s="19">
        <v>1</v>
      </c>
      <c r="I525" s="20">
        <v>26.83</v>
      </c>
      <c r="J525" s="19"/>
      <c r="K525" s="20"/>
    </row>
    <row r="526" spans="1:11" ht="14" x14ac:dyDescent="0.25">
      <c r="C526" s="22" t="s">
        <v>265</v>
      </c>
      <c r="H526" s="143">
        <v>2475.44</v>
      </c>
      <c r="I526" s="143"/>
      <c r="J526" s="143">
        <v>58737.43</v>
      </c>
      <c r="K526" s="143"/>
    </row>
    <row r="527" spans="1:11" ht="14" x14ac:dyDescent="0.25">
      <c r="C527" s="22" t="s">
        <v>267</v>
      </c>
      <c r="H527" s="141">
        <v>2475.44</v>
      </c>
      <c r="I527" s="141"/>
      <c r="J527" s="141">
        <v>58737.43</v>
      </c>
      <c r="K527" s="141"/>
    </row>
    <row r="529" spans="1:11" ht="79" x14ac:dyDescent="0.25">
      <c r="A529" s="10">
        <v>73</v>
      </c>
      <c r="B529" s="10" t="s">
        <v>291</v>
      </c>
      <c r="C529" s="10" t="s">
        <v>107</v>
      </c>
      <c r="D529" s="12" t="s">
        <v>50</v>
      </c>
      <c r="E529" s="11">
        <v>0.6</v>
      </c>
      <c r="F529" s="14"/>
      <c r="G529" s="13"/>
      <c r="H529" s="11"/>
      <c r="I529" s="14"/>
      <c r="J529" s="11"/>
      <c r="K529" s="14"/>
    </row>
    <row r="530" spans="1:11" x14ac:dyDescent="0.25">
      <c r="C530" s="23" t="s">
        <v>378</v>
      </c>
    </row>
    <row r="531" spans="1:11" ht="14.5" x14ac:dyDescent="0.25">
      <c r="A531" s="10"/>
      <c r="B531" s="10"/>
      <c r="C531" s="10" t="s">
        <v>256</v>
      </c>
      <c r="D531" s="12"/>
      <c r="E531" s="11"/>
      <c r="F531" s="14">
        <v>273.44</v>
      </c>
      <c r="G531" s="15" t="s">
        <v>13</v>
      </c>
      <c r="H531" s="11">
        <v>1</v>
      </c>
      <c r="I531" s="14">
        <v>196.88</v>
      </c>
      <c r="J531" s="11">
        <v>57.05</v>
      </c>
      <c r="K531" s="14">
        <v>11232</v>
      </c>
    </row>
    <row r="532" spans="1:11" ht="14.5" x14ac:dyDescent="0.25">
      <c r="A532" s="10"/>
      <c r="B532" s="10"/>
      <c r="C532" s="10" t="s">
        <v>257</v>
      </c>
      <c r="D532" s="12"/>
      <c r="E532" s="11"/>
      <c r="F532" s="14">
        <v>73.239999999999995</v>
      </c>
      <c r="G532" s="15" t="s">
        <v>13</v>
      </c>
      <c r="H532" s="11">
        <v>1</v>
      </c>
      <c r="I532" s="14">
        <v>52.73</v>
      </c>
      <c r="J532" s="11">
        <v>21.24</v>
      </c>
      <c r="K532" s="14">
        <v>1119.99</v>
      </c>
    </row>
    <row r="533" spans="1:11" ht="14.5" x14ac:dyDescent="0.25">
      <c r="A533" s="10"/>
      <c r="B533" s="10"/>
      <c r="C533" s="10" t="s">
        <v>258</v>
      </c>
      <c r="D533" s="12"/>
      <c r="E533" s="11"/>
      <c r="F533" s="14">
        <v>15.93</v>
      </c>
      <c r="G533" s="15" t="s">
        <v>13</v>
      </c>
      <c r="H533" s="11">
        <v>1</v>
      </c>
      <c r="I533" s="16">
        <v>11.47</v>
      </c>
      <c r="J533" s="11">
        <v>57.05</v>
      </c>
      <c r="K533" s="16">
        <v>654.36</v>
      </c>
    </row>
    <row r="534" spans="1:11" ht="14.5" x14ac:dyDescent="0.25">
      <c r="A534" s="10"/>
      <c r="B534" s="10"/>
      <c r="C534" s="10" t="s">
        <v>259</v>
      </c>
      <c r="D534" s="12"/>
      <c r="E534" s="11"/>
      <c r="F534" s="14">
        <v>206.95</v>
      </c>
      <c r="G534" s="15" t="s">
        <v>1</v>
      </c>
      <c r="H534" s="11">
        <v>1</v>
      </c>
      <c r="I534" s="14">
        <v>124.17</v>
      </c>
      <c r="J534" s="11">
        <v>10.18</v>
      </c>
      <c r="K534" s="14">
        <v>1264.05</v>
      </c>
    </row>
    <row r="535" spans="1:11" ht="42" x14ac:dyDescent="0.25">
      <c r="A535" s="10" t="s">
        <v>108</v>
      </c>
      <c r="B535" s="10" t="s">
        <v>109</v>
      </c>
      <c r="C535" s="10" t="s">
        <v>110</v>
      </c>
      <c r="D535" s="12" t="s">
        <v>52</v>
      </c>
      <c r="E535" s="11">
        <v>61.2</v>
      </c>
      <c r="F535" s="14">
        <v>16.5</v>
      </c>
      <c r="G535" s="15" t="s">
        <v>1</v>
      </c>
      <c r="H535" s="11">
        <v>1</v>
      </c>
      <c r="I535" s="14">
        <v>1009.8</v>
      </c>
      <c r="J535" s="11">
        <v>4.25</v>
      </c>
      <c r="K535" s="14">
        <v>4291.6499999999996</v>
      </c>
    </row>
    <row r="536" spans="1:11" ht="14.5" x14ac:dyDescent="0.25">
      <c r="A536" s="10"/>
      <c r="B536" s="10"/>
      <c r="C536" s="10" t="s">
        <v>260</v>
      </c>
      <c r="D536" s="12" t="s">
        <v>261</v>
      </c>
      <c r="E536" s="11">
        <v>97</v>
      </c>
      <c r="F536" s="14"/>
      <c r="G536" s="13"/>
      <c r="H536" s="11"/>
      <c r="I536" s="14">
        <v>202.1</v>
      </c>
      <c r="J536" s="11">
        <v>97</v>
      </c>
      <c r="K536" s="14">
        <v>11529.77</v>
      </c>
    </row>
    <row r="537" spans="1:11" ht="14.5" x14ac:dyDescent="0.25">
      <c r="A537" s="10"/>
      <c r="B537" s="10"/>
      <c r="C537" s="10" t="s">
        <v>262</v>
      </c>
      <c r="D537" s="12" t="s">
        <v>261</v>
      </c>
      <c r="E537" s="11">
        <v>51</v>
      </c>
      <c r="F537" s="14"/>
      <c r="G537" s="13"/>
      <c r="H537" s="11"/>
      <c r="I537" s="14">
        <v>106.26</v>
      </c>
      <c r="J537" s="11">
        <v>51</v>
      </c>
      <c r="K537" s="14">
        <v>6062.04</v>
      </c>
    </row>
    <row r="538" spans="1:11" ht="14.5" x14ac:dyDescent="0.25">
      <c r="A538" s="17"/>
      <c r="B538" s="17"/>
      <c r="C538" s="17" t="s">
        <v>263</v>
      </c>
      <c r="D538" s="18" t="s">
        <v>264</v>
      </c>
      <c r="E538" s="19">
        <v>21.79</v>
      </c>
      <c r="F538" s="20"/>
      <c r="G538" s="21" t="s">
        <v>13</v>
      </c>
      <c r="H538" s="19">
        <v>1</v>
      </c>
      <c r="I538" s="20">
        <v>15.69</v>
      </c>
      <c r="J538" s="19"/>
      <c r="K538" s="20"/>
    </row>
    <row r="539" spans="1:11" ht="14" x14ac:dyDescent="0.25">
      <c r="C539" s="22" t="s">
        <v>265</v>
      </c>
      <c r="H539" s="143">
        <v>1691.94</v>
      </c>
      <c r="I539" s="143"/>
      <c r="J539" s="143">
        <v>35499.5</v>
      </c>
      <c r="K539" s="143"/>
    </row>
    <row r="540" spans="1:11" ht="14" x14ac:dyDescent="0.25">
      <c r="C540" s="22" t="s">
        <v>267</v>
      </c>
      <c r="H540" s="141">
        <v>1691.94</v>
      </c>
      <c r="I540" s="141"/>
      <c r="J540" s="141">
        <v>35499.5</v>
      </c>
      <c r="K540" s="141"/>
    </row>
    <row r="542" spans="1:11" ht="79" x14ac:dyDescent="0.25">
      <c r="A542" s="10">
        <v>74</v>
      </c>
      <c r="B542" s="10" t="s">
        <v>292</v>
      </c>
      <c r="C542" s="10" t="s">
        <v>111</v>
      </c>
      <c r="D542" s="12" t="s">
        <v>50</v>
      </c>
      <c r="E542" s="11">
        <v>0.09</v>
      </c>
      <c r="F542" s="14"/>
      <c r="G542" s="13"/>
      <c r="H542" s="11"/>
      <c r="I542" s="14"/>
      <c r="J542" s="11"/>
      <c r="K542" s="14"/>
    </row>
    <row r="543" spans="1:11" x14ac:dyDescent="0.25">
      <c r="C543" s="23" t="s">
        <v>379</v>
      </c>
    </row>
    <row r="544" spans="1:11" ht="14.5" x14ac:dyDescent="0.25">
      <c r="A544" s="10"/>
      <c r="B544" s="10"/>
      <c r="C544" s="10" t="s">
        <v>256</v>
      </c>
      <c r="D544" s="12"/>
      <c r="E544" s="11"/>
      <c r="F544" s="14">
        <v>330.18</v>
      </c>
      <c r="G544" s="15" t="s">
        <v>13</v>
      </c>
      <c r="H544" s="11">
        <v>1</v>
      </c>
      <c r="I544" s="14">
        <v>35.659999999999997</v>
      </c>
      <c r="J544" s="11">
        <v>57.05</v>
      </c>
      <c r="K544" s="14">
        <v>2034.4</v>
      </c>
    </row>
    <row r="545" spans="1:11" ht="14.5" x14ac:dyDescent="0.25">
      <c r="A545" s="10"/>
      <c r="B545" s="10"/>
      <c r="C545" s="10" t="s">
        <v>257</v>
      </c>
      <c r="D545" s="12"/>
      <c r="E545" s="11"/>
      <c r="F545" s="14">
        <v>526.80999999999995</v>
      </c>
      <c r="G545" s="15" t="s">
        <v>13</v>
      </c>
      <c r="H545" s="11">
        <v>1</v>
      </c>
      <c r="I545" s="14">
        <v>56.9</v>
      </c>
      <c r="J545" s="11">
        <v>31.49</v>
      </c>
      <c r="K545" s="14">
        <v>1791.78</v>
      </c>
    </row>
    <row r="546" spans="1:11" ht="14.5" x14ac:dyDescent="0.25">
      <c r="A546" s="10"/>
      <c r="B546" s="10"/>
      <c r="C546" s="10" t="s">
        <v>258</v>
      </c>
      <c r="D546" s="12"/>
      <c r="E546" s="11"/>
      <c r="F546" s="14">
        <v>226.28</v>
      </c>
      <c r="G546" s="15" t="s">
        <v>13</v>
      </c>
      <c r="H546" s="11">
        <v>1</v>
      </c>
      <c r="I546" s="16">
        <v>24.44</v>
      </c>
      <c r="J546" s="11">
        <v>57.05</v>
      </c>
      <c r="K546" s="16">
        <v>1394.3</v>
      </c>
    </row>
    <row r="547" spans="1:11" ht="14.5" x14ac:dyDescent="0.25">
      <c r="A547" s="10"/>
      <c r="B547" s="10"/>
      <c r="C547" s="10" t="s">
        <v>259</v>
      </c>
      <c r="D547" s="12"/>
      <c r="E547" s="11"/>
      <c r="F547" s="14">
        <v>288.57</v>
      </c>
      <c r="G547" s="15" t="s">
        <v>1</v>
      </c>
      <c r="H547" s="11">
        <v>1</v>
      </c>
      <c r="I547" s="14">
        <v>25.97</v>
      </c>
      <c r="J547" s="11">
        <v>5.41</v>
      </c>
      <c r="K547" s="14">
        <v>140.5</v>
      </c>
    </row>
    <row r="548" spans="1:11" ht="42" x14ac:dyDescent="0.25">
      <c r="A548" s="10" t="s">
        <v>112</v>
      </c>
      <c r="B548" s="10" t="s">
        <v>113</v>
      </c>
      <c r="C548" s="10" t="s">
        <v>114</v>
      </c>
      <c r="D548" s="12" t="s">
        <v>52</v>
      </c>
      <c r="E548" s="11">
        <v>9.27</v>
      </c>
      <c r="F548" s="14">
        <v>29.76</v>
      </c>
      <c r="G548" s="15" t="s">
        <v>1</v>
      </c>
      <c r="H548" s="11">
        <v>1</v>
      </c>
      <c r="I548" s="14">
        <v>275.88</v>
      </c>
      <c r="J548" s="11">
        <v>3.93</v>
      </c>
      <c r="K548" s="14">
        <v>1084.21</v>
      </c>
    </row>
    <row r="549" spans="1:11" ht="42" x14ac:dyDescent="0.25">
      <c r="A549" s="10" t="s">
        <v>115</v>
      </c>
      <c r="B549" s="10" t="s">
        <v>116</v>
      </c>
      <c r="C549" s="10" t="s">
        <v>117</v>
      </c>
      <c r="D549" s="12" t="s">
        <v>34</v>
      </c>
      <c r="E549" s="11">
        <v>5.8500000000000003E-2</v>
      </c>
      <c r="F549" s="14">
        <v>226.5</v>
      </c>
      <c r="G549" s="15" t="s">
        <v>1</v>
      </c>
      <c r="H549" s="11">
        <v>1</v>
      </c>
      <c r="I549" s="14">
        <v>13.25</v>
      </c>
      <c r="J549" s="11">
        <v>8.93</v>
      </c>
      <c r="K549" s="14">
        <v>118.32</v>
      </c>
    </row>
    <row r="550" spans="1:11" ht="14.5" x14ac:dyDescent="0.25">
      <c r="A550" s="10"/>
      <c r="B550" s="10"/>
      <c r="C550" s="10" t="s">
        <v>260</v>
      </c>
      <c r="D550" s="12" t="s">
        <v>261</v>
      </c>
      <c r="E550" s="11">
        <v>97</v>
      </c>
      <c r="F550" s="14"/>
      <c r="G550" s="13"/>
      <c r="H550" s="11"/>
      <c r="I550" s="14">
        <v>58.3</v>
      </c>
      <c r="J550" s="11">
        <v>97</v>
      </c>
      <c r="K550" s="14">
        <v>3325.84</v>
      </c>
    </row>
    <row r="551" spans="1:11" ht="14.5" x14ac:dyDescent="0.25">
      <c r="A551" s="10"/>
      <c r="B551" s="10"/>
      <c r="C551" s="10" t="s">
        <v>262</v>
      </c>
      <c r="D551" s="12" t="s">
        <v>261</v>
      </c>
      <c r="E551" s="11">
        <v>51</v>
      </c>
      <c r="F551" s="14"/>
      <c r="G551" s="13"/>
      <c r="H551" s="11"/>
      <c r="I551" s="14">
        <v>30.65</v>
      </c>
      <c r="J551" s="11">
        <v>51</v>
      </c>
      <c r="K551" s="14">
        <v>1748.64</v>
      </c>
    </row>
    <row r="552" spans="1:11" ht="14.5" x14ac:dyDescent="0.25">
      <c r="A552" s="17"/>
      <c r="B552" s="17"/>
      <c r="C552" s="17" t="s">
        <v>263</v>
      </c>
      <c r="D552" s="18" t="s">
        <v>264</v>
      </c>
      <c r="E552" s="19">
        <v>26.8</v>
      </c>
      <c r="F552" s="20"/>
      <c r="G552" s="21" t="s">
        <v>13</v>
      </c>
      <c r="H552" s="19">
        <v>1</v>
      </c>
      <c r="I552" s="20">
        <v>2.89</v>
      </c>
      <c r="J552" s="19"/>
      <c r="K552" s="20"/>
    </row>
    <row r="553" spans="1:11" ht="14" x14ac:dyDescent="0.25">
      <c r="C553" s="22" t="s">
        <v>265</v>
      </c>
      <c r="H553" s="143">
        <v>496.61</v>
      </c>
      <c r="I553" s="143"/>
      <c r="J553" s="143">
        <v>10243.69</v>
      </c>
      <c r="K553" s="143"/>
    </row>
    <row r="554" spans="1:11" ht="14" x14ac:dyDescent="0.25">
      <c r="C554" s="22" t="s">
        <v>267</v>
      </c>
      <c r="H554" s="141">
        <v>496.61</v>
      </c>
      <c r="I554" s="141"/>
      <c r="J554" s="141">
        <v>10243.69</v>
      </c>
      <c r="K554" s="141"/>
    </row>
    <row r="556" spans="1:11" ht="79" x14ac:dyDescent="0.25">
      <c r="A556" s="10">
        <v>75</v>
      </c>
      <c r="B556" s="10" t="s">
        <v>293</v>
      </c>
      <c r="C556" s="10" t="s">
        <v>118</v>
      </c>
      <c r="D556" s="12" t="s">
        <v>50</v>
      </c>
      <c r="E556" s="11">
        <v>0.09</v>
      </c>
      <c r="F556" s="14"/>
      <c r="G556" s="13"/>
      <c r="H556" s="11"/>
      <c r="I556" s="14"/>
      <c r="J556" s="11"/>
      <c r="K556" s="14"/>
    </row>
    <row r="557" spans="1:11" x14ac:dyDescent="0.25">
      <c r="C557" s="23" t="s">
        <v>379</v>
      </c>
    </row>
    <row r="558" spans="1:11" ht="14.5" x14ac:dyDescent="0.25">
      <c r="A558" s="10"/>
      <c r="B558" s="10"/>
      <c r="C558" s="10" t="s">
        <v>256</v>
      </c>
      <c r="D558" s="12"/>
      <c r="E558" s="11"/>
      <c r="F558" s="14">
        <v>444.75</v>
      </c>
      <c r="G558" s="15" t="s">
        <v>13</v>
      </c>
      <c r="H558" s="11">
        <v>1</v>
      </c>
      <c r="I558" s="14">
        <v>48.03</v>
      </c>
      <c r="J558" s="11">
        <v>57.05</v>
      </c>
      <c r="K558" s="14">
        <v>2740.11</v>
      </c>
    </row>
    <row r="559" spans="1:11" ht="14.5" x14ac:dyDescent="0.25">
      <c r="A559" s="10"/>
      <c r="B559" s="10"/>
      <c r="C559" s="10" t="s">
        <v>257</v>
      </c>
      <c r="D559" s="12"/>
      <c r="E559" s="11"/>
      <c r="F559" s="14">
        <v>752.34</v>
      </c>
      <c r="G559" s="15" t="s">
        <v>13</v>
      </c>
      <c r="H559" s="11">
        <v>1</v>
      </c>
      <c r="I559" s="14">
        <v>81.25</v>
      </c>
      <c r="J559" s="11">
        <v>30.09</v>
      </c>
      <c r="K559" s="14">
        <v>2444.81</v>
      </c>
    </row>
    <row r="560" spans="1:11" ht="14.5" x14ac:dyDescent="0.25">
      <c r="A560" s="10"/>
      <c r="B560" s="10"/>
      <c r="C560" s="10" t="s">
        <v>258</v>
      </c>
      <c r="D560" s="12"/>
      <c r="E560" s="11"/>
      <c r="F560" s="14">
        <v>305.02999999999997</v>
      </c>
      <c r="G560" s="15" t="s">
        <v>13</v>
      </c>
      <c r="H560" s="11">
        <v>1</v>
      </c>
      <c r="I560" s="16">
        <v>32.94</v>
      </c>
      <c r="J560" s="11">
        <v>57.05</v>
      </c>
      <c r="K560" s="16">
        <v>1879.23</v>
      </c>
    </row>
    <row r="561" spans="1:11" ht="14.5" x14ac:dyDescent="0.25">
      <c r="A561" s="10"/>
      <c r="B561" s="10"/>
      <c r="C561" s="10" t="s">
        <v>259</v>
      </c>
      <c r="D561" s="12"/>
      <c r="E561" s="11"/>
      <c r="F561" s="14">
        <v>293.14</v>
      </c>
      <c r="G561" s="15" t="s">
        <v>1</v>
      </c>
      <c r="H561" s="11">
        <v>1</v>
      </c>
      <c r="I561" s="14">
        <v>26.38</v>
      </c>
      <c r="J561" s="11">
        <v>5.58</v>
      </c>
      <c r="K561" s="14">
        <v>147.19999999999999</v>
      </c>
    </row>
    <row r="562" spans="1:11" ht="42" x14ac:dyDescent="0.25">
      <c r="A562" s="10" t="s">
        <v>119</v>
      </c>
      <c r="B562" s="10" t="s">
        <v>120</v>
      </c>
      <c r="C562" s="10" t="s">
        <v>121</v>
      </c>
      <c r="D562" s="12" t="s">
        <v>52</v>
      </c>
      <c r="E562" s="11">
        <v>9.27</v>
      </c>
      <c r="F562" s="14">
        <v>39.159999999999997</v>
      </c>
      <c r="G562" s="15" t="s">
        <v>1</v>
      </c>
      <c r="H562" s="11">
        <v>1</v>
      </c>
      <c r="I562" s="14">
        <v>363.01</v>
      </c>
      <c r="J562" s="11">
        <v>4.67</v>
      </c>
      <c r="K562" s="14">
        <v>1695.26</v>
      </c>
    </row>
    <row r="563" spans="1:11" ht="42" x14ac:dyDescent="0.25">
      <c r="A563" s="10" t="s">
        <v>122</v>
      </c>
      <c r="B563" s="10" t="s">
        <v>123</v>
      </c>
      <c r="C563" s="10" t="s">
        <v>124</v>
      </c>
      <c r="D563" s="12" t="s">
        <v>34</v>
      </c>
      <c r="E563" s="11">
        <v>5.8500000000000003E-2</v>
      </c>
      <c r="F563" s="14">
        <v>339.9</v>
      </c>
      <c r="G563" s="15" t="s">
        <v>1</v>
      </c>
      <c r="H563" s="11">
        <v>1</v>
      </c>
      <c r="I563" s="14">
        <v>19.88</v>
      </c>
      <c r="J563" s="11">
        <v>8.94</v>
      </c>
      <c r="K563" s="14">
        <v>177.73</v>
      </c>
    </row>
    <row r="564" spans="1:11" ht="14.5" x14ac:dyDescent="0.25">
      <c r="A564" s="10"/>
      <c r="B564" s="10"/>
      <c r="C564" s="10" t="s">
        <v>260</v>
      </c>
      <c r="D564" s="12" t="s">
        <v>261</v>
      </c>
      <c r="E564" s="11">
        <v>97</v>
      </c>
      <c r="F564" s="14"/>
      <c r="G564" s="13"/>
      <c r="H564" s="11"/>
      <c r="I564" s="14">
        <v>78.540000000000006</v>
      </c>
      <c r="J564" s="11">
        <v>97</v>
      </c>
      <c r="K564" s="14">
        <v>4480.76</v>
      </c>
    </row>
    <row r="565" spans="1:11" ht="14.5" x14ac:dyDescent="0.25">
      <c r="A565" s="10"/>
      <c r="B565" s="10"/>
      <c r="C565" s="10" t="s">
        <v>262</v>
      </c>
      <c r="D565" s="12" t="s">
        <v>261</v>
      </c>
      <c r="E565" s="11">
        <v>51</v>
      </c>
      <c r="F565" s="14"/>
      <c r="G565" s="13"/>
      <c r="H565" s="11"/>
      <c r="I565" s="14">
        <v>41.29</v>
      </c>
      <c r="J565" s="11">
        <v>51</v>
      </c>
      <c r="K565" s="14">
        <v>2355.86</v>
      </c>
    </row>
    <row r="566" spans="1:11" ht="14.5" x14ac:dyDescent="0.25">
      <c r="A566" s="17"/>
      <c r="B566" s="17"/>
      <c r="C566" s="17" t="s">
        <v>263</v>
      </c>
      <c r="D566" s="18" t="s">
        <v>264</v>
      </c>
      <c r="E566" s="19">
        <v>36.1</v>
      </c>
      <c r="F566" s="20"/>
      <c r="G566" s="21" t="s">
        <v>13</v>
      </c>
      <c r="H566" s="19">
        <v>1</v>
      </c>
      <c r="I566" s="20">
        <v>3.9</v>
      </c>
      <c r="J566" s="19"/>
      <c r="K566" s="20"/>
    </row>
    <row r="567" spans="1:11" ht="14" x14ac:dyDescent="0.25">
      <c r="C567" s="22" t="s">
        <v>265</v>
      </c>
      <c r="H567" s="143">
        <v>658.38</v>
      </c>
      <c r="I567" s="143"/>
      <c r="J567" s="143">
        <v>14041.73</v>
      </c>
      <c r="K567" s="143"/>
    </row>
    <row r="568" spans="1:11" ht="14" x14ac:dyDescent="0.25">
      <c r="C568" s="22" t="s">
        <v>267</v>
      </c>
      <c r="H568" s="141">
        <v>658.38</v>
      </c>
      <c r="I568" s="141"/>
      <c r="J568" s="141">
        <v>14041.73</v>
      </c>
      <c r="K568" s="141"/>
    </row>
    <row r="570" spans="1:11" ht="79" x14ac:dyDescent="0.25">
      <c r="A570" s="10">
        <v>76</v>
      </c>
      <c r="B570" s="10" t="s">
        <v>294</v>
      </c>
      <c r="C570" s="10" t="s">
        <v>125</v>
      </c>
      <c r="D570" s="12" t="s">
        <v>50</v>
      </c>
      <c r="E570" s="11">
        <v>0.09</v>
      </c>
      <c r="F570" s="14"/>
      <c r="G570" s="13"/>
      <c r="H570" s="11"/>
      <c r="I570" s="14"/>
      <c r="J570" s="11"/>
      <c r="K570" s="14"/>
    </row>
    <row r="571" spans="1:11" x14ac:dyDescent="0.25">
      <c r="C571" s="23" t="s">
        <v>379</v>
      </c>
    </row>
    <row r="572" spans="1:11" ht="14.5" x14ac:dyDescent="0.25">
      <c r="A572" s="10"/>
      <c r="B572" s="10"/>
      <c r="C572" s="10" t="s">
        <v>256</v>
      </c>
      <c r="D572" s="12"/>
      <c r="E572" s="11"/>
      <c r="F572" s="14">
        <v>989.3</v>
      </c>
      <c r="G572" s="15" t="s">
        <v>13</v>
      </c>
      <c r="H572" s="11">
        <v>1</v>
      </c>
      <c r="I572" s="14">
        <v>106.84</v>
      </c>
      <c r="J572" s="11">
        <v>57.05</v>
      </c>
      <c r="K572" s="14">
        <v>6095.22</v>
      </c>
    </row>
    <row r="573" spans="1:11" ht="14.5" x14ac:dyDescent="0.25">
      <c r="A573" s="10"/>
      <c r="B573" s="10"/>
      <c r="C573" s="10" t="s">
        <v>257</v>
      </c>
      <c r="D573" s="12"/>
      <c r="E573" s="11"/>
      <c r="F573" s="14">
        <v>1306.04</v>
      </c>
      <c r="G573" s="15" t="s">
        <v>13</v>
      </c>
      <c r="H573" s="11">
        <v>1</v>
      </c>
      <c r="I573" s="14">
        <v>141.05000000000001</v>
      </c>
      <c r="J573" s="11">
        <v>31.94</v>
      </c>
      <c r="K573" s="14">
        <v>4505.1400000000003</v>
      </c>
    </row>
    <row r="574" spans="1:11" ht="14.5" x14ac:dyDescent="0.25">
      <c r="A574" s="10"/>
      <c r="B574" s="10"/>
      <c r="C574" s="10" t="s">
        <v>258</v>
      </c>
      <c r="D574" s="12"/>
      <c r="E574" s="11"/>
      <c r="F574" s="14">
        <v>575.85</v>
      </c>
      <c r="G574" s="15" t="s">
        <v>13</v>
      </c>
      <c r="H574" s="11">
        <v>1</v>
      </c>
      <c r="I574" s="16">
        <v>62.19</v>
      </c>
      <c r="J574" s="11">
        <v>57.05</v>
      </c>
      <c r="K574" s="16">
        <v>3547.94</v>
      </c>
    </row>
    <row r="575" spans="1:11" ht="14.5" x14ac:dyDescent="0.25">
      <c r="A575" s="10"/>
      <c r="B575" s="10"/>
      <c r="C575" s="10" t="s">
        <v>259</v>
      </c>
      <c r="D575" s="12"/>
      <c r="E575" s="11"/>
      <c r="F575" s="14">
        <v>545.22</v>
      </c>
      <c r="G575" s="15" t="s">
        <v>1</v>
      </c>
      <c r="H575" s="11">
        <v>1</v>
      </c>
      <c r="I575" s="14">
        <v>49.07</v>
      </c>
      <c r="J575" s="11">
        <v>4.24</v>
      </c>
      <c r="K575" s="14">
        <v>208.06</v>
      </c>
    </row>
    <row r="576" spans="1:11" ht="42" x14ac:dyDescent="0.25">
      <c r="A576" s="10" t="s">
        <v>126</v>
      </c>
      <c r="B576" s="10" t="s">
        <v>127</v>
      </c>
      <c r="C576" s="10" t="s">
        <v>128</v>
      </c>
      <c r="D576" s="12" t="s">
        <v>52</v>
      </c>
      <c r="E576" s="11">
        <v>9.27</v>
      </c>
      <c r="F576" s="14">
        <v>70.16</v>
      </c>
      <c r="G576" s="15" t="s">
        <v>1</v>
      </c>
      <c r="H576" s="11">
        <v>1</v>
      </c>
      <c r="I576" s="14">
        <v>650.38</v>
      </c>
      <c r="J576" s="11">
        <v>8.68</v>
      </c>
      <c r="K576" s="14">
        <v>5645.3</v>
      </c>
    </row>
    <row r="577" spans="1:11" ht="42" x14ac:dyDescent="0.25">
      <c r="A577" s="10" t="s">
        <v>129</v>
      </c>
      <c r="B577" s="10" t="s">
        <v>130</v>
      </c>
      <c r="C577" s="10" t="s">
        <v>131</v>
      </c>
      <c r="D577" s="12" t="s">
        <v>34</v>
      </c>
      <c r="E577" s="11">
        <v>1.89E-2</v>
      </c>
      <c r="F577" s="14">
        <v>919.4</v>
      </c>
      <c r="G577" s="15" t="s">
        <v>1</v>
      </c>
      <c r="H577" s="11">
        <v>1</v>
      </c>
      <c r="I577" s="14">
        <v>17.38</v>
      </c>
      <c r="J577" s="11">
        <v>10.26</v>
      </c>
      <c r="K577" s="14">
        <v>178.32</v>
      </c>
    </row>
    <row r="578" spans="1:11" ht="14.5" x14ac:dyDescent="0.25">
      <c r="A578" s="10"/>
      <c r="B578" s="10"/>
      <c r="C578" s="10" t="s">
        <v>260</v>
      </c>
      <c r="D578" s="12" t="s">
        <v>261</v>
      </c>
      <c r="E578" s="11">
        <v>97</v>
      </c>
      <c r="F578" s="14"/>
      <c r="G578" s="13"/>
      <c r="H578" s="11"/>
      <c r="I578" s="14">
        <v>163.96</v>
      </c>
      <c r="J578" s="11">
        <v>97</v>
      </c>
      <c r="K578" s="14">
        <v>9353.8700000000008</v>
      </c>
    </row>
    <row r="579" spans="1:11" ht="14.5" x14ac:dyDescent="0.25">
      <c r="A579" s="10"/>
      <c r="B579" s="10"/>
      <c r="C579" s="10" t="s">
        <v>262</v>
      </c>
      <c r="D579" s="12" t="s">
        <v>261</v>
      </c>
      <c r="E579" s="11">
        <v>51</v>
      </c>
      <c r="F579" s="14"/>
      <c r="G579" s="13"/>
      <c r="H579" s="11"/>
      <c r="I579" s="14">
        <v>86.21</v>
      </c>
      <c r="J579" s="11">
        <v>51</v>
      </c>
      <c r="K579" s="14">
        <v>4918.01</v>
      </c>
    </row>
    <row r="580" spans="1:11" ht="14.5" x14ac:dyDescent="0.25">
      <c r="A580" s="17"/>
      <c r="B580" s="17"/>
      <c r="C580" s="17" t="s">
        <v>263</v>
      </c>
      <c r="D580" s="18" t="s">
        <v>264</v>
      </c>
      <c r="E580" s="19">
        <v>80.3</v>
      </c>
      <c r="F580" s="20"/>
      <c r="G580" s="21" t="s">
        <v>13</v>
      </c>
      <c r="H580" s="19">
        <v>1</v>
      </c>
      <c r="I580" s="20">
        <v>8.67</v>
      </c>
      <c r="J580" s="19"/>
      <c r="K580" s="20"/>
    </row>
    <row r="581" spans="1:11" ht="14" x14ac:dyDescent="0.25">
      <c r="C581" s="22" t="s">
        <v>265</v>
      </c>
      <c r="H581" s="143">
        <v>1214.8900000000001</v>
      </c>
      <c r="I581" s="143"/>
      <c r="J581" s="143">
        <v>30903.919999999998</v>
      </c>
      <c r="K581" s="143"/>
    </row>
    <row r="582" spans="1:11" ht="14" x14ac:dyDescent="0.25">
      <c r="C582" s="22" t="s">
        <v>267</v>
      </c>
      <c r="H582" s="141">
        <v>1214.8900000000001</v>
      </c>
      <c r="I582" s="141"/>
      <c r="J582" s="141">
        <v>30903.919999999998</v>
      </c>
      <c r="K582" s="141"/>
    </row>
    <row r="584" spans="1:11" ht="79" x14ac:dyDescent="0.25">
      <c r="A584" s="10">
        <v>77</v>
      </c>
      <c r="B584" s="10" t="s">
        <v>295</v>
      </c>
      <c r="C584" s="10" t="s">
        <v>132</v>
      </c>
      <c r="D584" s="12" t="s">
        <v>50</v>
      </c>
      <c r="E584" s="11">
        <v>2.8</v>
      </c>
      <c r="F584" s="14"/>
      <c r="G584" s="13"/>
      <c r="H584" s="11"/>
      <c r="I584" s="14"/>
      <c r="J584" s="11"/>
      <c r="K584" s="14"/>
    </row>
    <row r="585" spans="1:11" x14ac:dyDescent="0.25">
      <c r="C585" s="23" t="s">
        <v>380</v>
      </c>
    </row>
    <row r="586" spans="1:11" ht="14.5" x14ac:dyDescent="0.25">
      <c r="A586" s="10"/>
      <c r="B586" s="10"/>
      <c r="C586" s="10" t="s">
        <v>256</v>
      </c>
      <c r="D586" s="12"/>
      <c r="E586" s="11"/>
      <c r="F586" s="14">
        <v>405.5</v>
      </c>
      <c r="G586" s="15" t="s">
        <v>13</v>
      </c>
      <c r="H586" s="11">
        <v>1</v>
      </c>
      <c r="I586" s="14">
        <v>1362.48</v>
      </c>
      <c r="J586" s="11">
        <v>57.05</v>
      </c>
      <c r="K586" s="14">
        <v>77729.48</v>
      </c>
    </row>
    <row r="587" spans="1:11" ht="14.5" x14ac:dyDescent="0.25">
      <c r="A587" s="10"/>
      <c r="B587" s="10"/>
      <c r="C587" s="10" t="s">
        <v>257</v>
      </c>
      <c r="D587" s="12"/>
      <c r="E587" s="11"/>
      <c r="F587" s="14">
        <v>24.51</v>
      </c>
      <c r="G587" s="15" t="s">
        <v>13</v>
      </c>
      <c r="H587" s="11">
        <v>1</v>
      </c>
      <c r="I587" s="14">
        <v>82.35</v>
      </c>
      <c r="J587" s="11">
        <v>18.12</v>
      </c>
      <c r="K587" s="14">
        <v>1492.18</v>
      </c>
    </row>
    <row r="588" spans="1:11" ht="14.5" x14ac:dyDescent="0.25">
      <c r="A588" s="10"/>
      <c r="B588" s="10"/>
      <c r="C588" s="10" t="s">
        <v>258</v>
      </c>
      <c r="D588" s="12"/>
      <c r="E588" s="11"/>
      <c r="F588" s="14">
        <v>3.66</v>
      </c>
      <c r="G588" s="15" t="s">
        <v>13</v>
      </c>
      <c r="H588" s="11">
        <v>1</v>
      </c>
      <c r="I588" s="16">
        <v>12.3</v>
      </c>
      <c r="J588" s="11">
        <v>57.05</v>
      </c>
      <c r="K588" s="16">
        <v>701.72</v>
      </c>
    </row>
    <row r="589" spans="1:11" ht="14.5" x14ac:dyDescent="0.25">
      <c r="A589" s="10"/>
      <c r="B589" s="10"/>
      <c r="C589" s="10" t="s">
        <v>259</v>
      </c>
      <c r="D589" s="12"/>
      <c r="E589" s="11"/>
      <c r="F589" s="14">
        <v>1018.27</v>
      </c>
      <c r="G589" s="15" t="s">
        <v>1</v>
      </c>
      <c r="H589" s="11">
        <v>1</v>
      </c>
      <c r="I589" s="14">
        <v>2851.16</v>
      </c>
      <c r="J589" s="11">
        <v>10.18</v>
      </c>
      <c r="K589" s="14">
        <v>29024.81</v>
      </c>
    </row>
    <row r="590" spans="1:11" ht="55" x14ac:dyDescent="0.25">
      <c r="A590" s="10" t="s">
        <v>133</v>
      </c>
      <c r="B590" s="10" t="s">
        <v>409</v>
      </c>
      <c r="C590" s="10" t="s">
        <v>429</v>
      </c>
      <c r="D590" s="12" t="s">
        <v>52</v>
      </c>
      <c r="E590" s="11">
        <v>285.60000000000002</v>
      </c>
      <c r="F590" s="14">
        <v>43.36</v>
      </c>
      <c r="G590" s="15" t="s">
        <v>1</v>
      </c>
      <c r="H590" s="11">
        <v>1</v>
      </c>
      <c r="I590" s="14">
        <v>12383.62</v>
      </c>
      <c r="J590" s="11">
        <v>10.18</v>
      </c>
      <c r="K590" s="14">
        <v>126065.25</v>
      </c>
    </row>
    <row r="591" spans="1:11" ht="79" x14ac:dyDescent="0.25">
      <c r="A591" s="10" t="s">
        <v>134</v>
      </c>
      <c r="B591" s="10" t="s">
        <v>296</v>
      </c>
      <c r="C591" s="10" t="s">
        <v>135</v>
      </c>
      <c r="D591" s="12" t="s">
        <v>52</v>
      </c>
      <c r="E591" s="11">
        <v>285.60000000000002</v>
      </c>
      <c r="F591" s="14">
        <v>26.72</v>
      </c>
      <c r="G591" s="15" t="s">
        <v>1</v>
      </c>
      <c r="H591" s="11">
        <v>1</v>
      </c>
      <c r="I591" s="14">
        <v>7631.23</v>
      </c>
      <c r="J591" s="11">
        <v>8.68</v>
      </c>
      <c r="K591" s="14">
        <v>66239.08</v>
      </c>
    </row>
    <row r="592" spans="1:11" ht="69" x14ac:dyDescent="0.25">
      <c r="A592" s="10" t="s">
        <v>136</v>
      </c>
      <c r="B592" s="10" t="s">
        <v>409</v>
      </c>
      <c r="C592" s="10" t="s">
        <v>431</v>
      </c>
      <c r="D592" s="12" t="s">
        <v>11</v>
      </c>
      <c r="E592" s="11">
        <v>40</v>
      </c>
      <c r="F592" s="14">
        <v>4.45</v>
      </c>
      <c r="G592" s="15" t="s">
        <v>1</v>
      </c>
      <c r="H592" s="11">
        <v>1</v>
      </c>
      <c r="I592" s="14">
        <v>178</v>
      </c>
      <c r="J592" s="11">
        <v>10.18</v>
      </c>
      <c r="K592" s="14">
        <v>1812.04</v>
      </c>
    </row>
    <row r="593" spans="1:11" ht="55" x14ac:dyDescent="0.25">
      <c r="A593" s="10" t="s">
        <v>137</v>
      </c>
      <c r="B593" s="10" t="s">
        <v>409</v>
      </c>
      <c r="C593" s="10" t="s">
        <v>430</v>
      </c>
      <c r="D593" s="12" t="s">
        <v>11</v>
      </c>
      <c r="E593" s="11">
        <v>20</v>
      </c>
      <c r="F593" s="14">
        <v>5.89</v>
      </c>
      <c r="G593" s="15" t="s">
        <v>1</v>
      </c>
      <c r="H593" s="11">
        <v>1</v>
      </c>
      <c r="I593" s="14">
        <v>117.8</v>
      </c>
      <c r="J593" s="11">
        <v>10.18</v>
      </c>
      <c r="K593" s="14">
        <v>1199.2</v>
      </c>
    </row>
    <row r="594" spans="1:11" ht="79" x14ac:dyDescent="0.25">
      <c r="A594" s="10" t="s">
        <v>138</v>
      </c>
      <c r="B594" s="10" t="s">
        <v>297</v>
      </c>
      <c r="C594" s="10" t="s">
        <v>428</v>
      </c>
      <c r="D594" s="12" t="s">
        <v>38</v>
      </c>
      <c r="E594" s="11">
        <v>40</v>
      </c>
      <c r="F594" s="14">
        <v>101.55</v>
      </c>
      <c r="G594" s="15" t="s">
        <v>1</v>
      </c>
      <c r="H594" s="11">
        <v>1</v>
      </c>
      <c r="I594" s="14">
        <v>4062</v>
      </c>
      <c r="J594" s="11">
        <v>5.7</v>
      </c>
      <c r="K594" s="14">
        <v>23153.4</v>
      </c>
    </row>
    <row r="595" spans="1:11" ht="41" x14ac:dyDescent="0.25">
      <c r="A595" s="10" t="s">
        <v>139</v>
      </c>
      <c r="B595" s="10" t="s">
        <v>409</v>
      </c>
      <c r="C595" s="10" t="s">
        <v>298</v>
      </c>
      <c r="D595" s="12" t="s">
        <v>52</v>
      </c>
      <c r="E595" s="11">
        <v>285.60000000000002</v>
      </c>
      <c r="F595" s="14">
        <v>11.54</v>
      </c>
      <c r="G595" s="15" t="s">
        <v>1</v>
      </c>
      <c r="H595" s="11">
        <v>1</v>
      </c>
      <c r="I595" s="14">
        <v>3295.82</v>
      </c>
      <c r="J595" s="11">
        <v>10.18</v>
      </c>
      <c r="K595" s="14">
        <v>33551.449999999997</v>
      </c>
    </row>
    <row r="596" spans="1:11" ht="14.5" x14ac:dyDescent="0.25">
      <c r="A596" s="10"/>
      <c r="B596" s="10"/>
      <c r="C596" s="10" t="s">
        <v>260</v>
      </c>
      <c r="D596" s="12" t="s">
        <v>261</v>
      </c>
      <c r="E596" s="11">
        <v>97</v>
      </c>
      <c r="F596" s="14"/>
      <c r="G596" s="13"/>
      <c r="H596" s="11"/>
      <c r="I596" s="14">
        <v>1333.54</v>
      </c>
      <c r="J596" s="11">
        <v>97</v>
      </c>
      <c r="K596" s="14">
        <v>76078.259999999995</v>
      </c>
    </row>
    <row r="597" spans="1:11" ht="14.5" x14ac:dyDescent="0.25">
      <c r="A597" s="10"/>
      <c r="B597" s="10"/>
      <c r="C597" s="10" t="s">
        <v>262</v>
      </c>
      <c r="D597" s="12" t="s">
        <v>261</v>
      </c>
      <c r="E597" s="11">
        <v>51</v>
      </c>
      <c r="F597" s="14"/>
      <c r="G597" s="13"/>
      <c r="H597" s="11"/>
      <c r="I597" s="14">
        <v>701.14</v>
      </c>
      <c r="J597" s="11">
        <v>51</v>
      </c>
      <c r="K597" s="14">
        <v>39999.910000000003</v>
      </c>
    </row>
    <row r="598" spans="1:11" ht="14.5" x14ac:dyDescent="0.25">
      <c r="A598" s="17"/>
      <c r="B598" s="17"/>
      <c r="C598" s="17" t="s">
        <v>263</v>
      </c>
      <c r="D598" s="18" t="s">
        <v>264</v>
      </c>
      <c r="E598" s="19">
        <v>33.79</v>
      </c>
      <c r="F598" s="20"/>
      <c r="G598" s="21" t="s">
        <v>13</v>
      </c>
      <c r="H598" s="19">
        <v>1</v>
      </c>
      <c r="I598" s="20">
        <v>113.53</v>
      </c>
      <c r="J598" s="19"/>
      <c r="K598" s="20"/>
    </row>
    <row r="599" spans="1:11" ht="14" x14ac:dyDescent="0.25">
      <c r="C599" s="22" t="s">
        <v>265</v>
      </c>
      <c r="H599" s="143">
        <v>33999.14</v>
      </c>
      <c r="I599" s="143"/>
      <c r="J599" s="143">
        <v>476345.06</v>
      </c>
      <c r="K599" s="143"/>
    </row>
    <row r="600" spans="1:11" ht="14" x14ac:dyDescent="0.25">
      <c r="C600" s="22" t="s">
        <v>267</v>
      </c>
      <c r="H600" s="141">
        <v>33999.14</v>
      </c>
      <c r="I600" s="141"/>
      <c r="J600" s="141">
        <v>476345.06</v>
      </c>
      <c r="K600" s="141"/>
    </row>
    <row r="602" spans="1:11" ht="79" x14ac:dyDescent="0.25">
      <c r="A602" s="10">
        <v>78</v>
      </c>
      <c r="B602" s="10" t="s">
        <v>299</v>
      </c>
      <c r="C602" s="10" t="s">
        <v>141</v>
      </c>
      <c r="D602" s="12" t="s">
        <v>84</v>
      </c>
      <c r="E602" s="11">
        <v>3.21</v>
      </c>
      <c r="F602" s="14"/>
      <c r="G602" s="13"/>
      <c r="H602" s="11"/>
      <c r="I602" s="14"/>
      <c r="J602" s="11"/>
      <c r="K602" s="14"/>
    </row>
    <row r="603" spans="1:11" x14ac:dyDescent="0.25">
      <c r="C603" s="23" t="s">
        <v>381</v>
      </c>
    </row>
    <row r="604" spans="1:11" ht="14.5" x14ac:dyDescent="0.25">
      <c r="A604" s="10"/>
      <c r="B604" s="10"/>
      <c r="C604" s="10" t="s">
        <v>256</v>
      </c>
      <c r="D604" s="12"/>
      <c r="E604" s="11"/>
      <c r="F604" s="14">
        <v>206.17</v>
      </c>
      <c r="G604" s="15" t="s">
        <v>13</v>
      </c>
      <c r="H604" s="11">
        <v>1</v>
      </c>
      <c r="I604" s="14">
        <v>794.17</v>
      </c>
      <c r="J604" s="11">
        <v>57.05</v>
      </c>
      <c r="K604" s="14">
        <v>45307.4</v>
      </c>
    </row>
    <row r="605" spans="1:11" ht="14.5" x14ac:dyDescent="0.25">
      <c r="A605" s="10"/>
      <c r="B605" s="10"/>
      <c r="C605" s="10" t="s">
        <v>257</v>
      </c>
      <c r="D605" s="12"/>
      <c r="E605" s="11"/>
      <c r="F605" s="14">
        <v>6.67</v>
      </c>
      <c r="G605" s="15" t="s">
        <v>13</v>
      </c>
      <c r="H605" s="11">
        <v>1</v>
      </c>
      <c r="I605" s="14">
        <v>25.69</v>
      </c>
      <c r="J605" s="11">
        <v>19.37</v>
      </c>
      <c r="K605" s="14">
        <v>497.62</v>
      </c>
    </row>
    <row r="606" spans="1:11" ht="14.5" x14ac:dyDescent="0.25">
      <c r="A606" s="10"/>
      <c r="B606" s="10"/>
      <c r="C606" s="10" t="s">
        <v>258</v>
      </c>
      <c r="D606" s="12"/>
      <c r="E606" s="11"/>
      <c r="F606" s="14">
        <v>1.2</v>
      </c>
      <c r="G606" s="15" t="s">
        <v>13</v>
      </c>
      <c r="H606" s="11">
        <v>1</v>
      </c>
      <c r="I606" s="16">
        <v>4.62</v>
      </c>
      <c r="J606" s="11">
        <v>57.05</v>
      </c>
      <c r="K606" s="16">
        <v>263.57</v>
      </c>
    </row>
    <row r="607" spans="1:11" ht="14.5" x14ac:dyDescent="0.25">
      <c r="A607" s="10"/>
      <c r="B607" s="10"/>
      <c r="C607" s="10" t="s">
        <v>259</v>
      </c>
      <c r="D607" s="12"/>
      <c r="E607" s="11"/>
      <c r="F607" s="14">
        <v>11.34</v>
      </c>
      <c r="G607" s="15" t="s">
        <v>1</v>
      </c>
      <c r="H607" s="11">
        <v>1</v>
      </c>
      <c r="I607" s="14">
        <v>36.4</v>
      </c>
      <c r="J607" s="11">
        <v>8.1999999999999993</v>
      </c>
      <c r="K607" s="14">
        <v>298.48</v>
      </c>
    </row>
    <row r="608" spans="1:11" ht="42" x14ac:dyDescent="0.25">
      <c r="A608" s="10" t="s">
        <v>142</v>
      </c>
      <c r="B608" s="10" t="s">
        <v>143</v>
      </c>
      <c r="C608" s="10" t="s">
        <v>144</v>
      </c>
      <c r="D608" s="12" t="s">
        <v>28</v>
      </c>
      <c r="E608" s="11">
        <v>2.8022999999999999E-2</v>
      </c>
      <c r="F608" s="14">
        <v>33827.69</v>
      </c>
      <c r="G608" s="15" t="s">
        <v>1</v>
      </c>
      <c r="H608" s="11">
        <v>1</v>
      </c>
      <c r="I608" s="14">
        <v>947.95</v>
      </c>
      <c r="J608" s="11">
        <v>4.9000000000000004</v>
      </c>
      <c r="K608" s="14">
        <v>4644.96</v>
      </c>
    </row>
    <row r="609" spans="1:11" ht="14.5" x14ac:dyDescent="0.25">
      <c r="A609" s="10"/>
      <c r="B609" s="10"/>
      <c r="C609" s="10" t="s">
        <v>260</v>
      </c>
      <c r="D609" s="12" t="s">
        <v>261</v>
      </c>
      <c r="E609" s="11">
        <v>97</v>
      </c>
      <c r="F609" s="14"/>
      <c r="G609" s="13"/>
      <c r="H609" s="11"/>
      <c r="I609" s="14">
        <v>774.83</v>
      </c>
      <c r="J609" s="11">
        <v>97</v>
      </c>
      <c r="K609" s="14">
        <v>44203.839999999997</v>
      </c>
    </row>
    <row r="610" spans="1:11" ht="14.5" x14ac:dyDescent="0.25">
      <c r="A610" s="10"/>
      <c r="B610" s="10"/>
      <c r="C610" s="10" t="s">
        <v>262</v>
      </c>
      <c r="D610" s="12" t="s">
        <v>261</v>
      </c>
      <c r="E610" s="11">
        <v>51</v>
      </c>
      <c r="F610" s="14"/>
      <c r="G610" s="13"/>
      <c r="H610" s="11"/>
      <c r="I610" s="14">
        <v>407.38</v>
      </c>
      <c r="J610" s="11">
        <v>51</v>
      </c>
      <c r="K610" s="14">
        <v>23241.19</v>
      </c>
    </row>
    <row r="611" spans="1:11" ht="14.5" x14ac:dyDescent="0.25">
      <c r="A611" s="17"/>
      <c r="B611" s="17"/>
      <c r="C611" s="17" t="s">
        <v>263</v>
      </c>
      <c r="D611" s="18" t="s">
        <v>264</v>
      </c>
      <c r="E611" s="19">
        <v>18.14</v>
      </c>
      <c r="F611" s="20"/>
      <c r="G611" s="21" t="s">
        <v>13</v>
      </c>
      <c r="H611" s="19">
        <v>1</v>
      </c>
      <c r="I611" s="20">
        <v>69.88</v>
      </c>
      <c r="J611" s="19"/>
      <c r="K611" s="20"/>
    </row>
    <row r="612" spans="1:11" ht="14" x14ac:dyDescent="0.25">
      <c r="C612" s="22" t="s">
        <v>265</v>
      </c>
      <c r="H612" s="143">
        <v>2986.42</v>
      </c>
      <c r="I612" s="143"/>
      <c r="J612" s="143">
        <v>118193.49</v>
      </c>
      <c r="K612" s="143"/>
    </row>
    <row r="613" spans="1:11" ht="14" x14ac:dyDescent="0.25">
      <c r="C613" s="22" t="s">
        <v>267</v>
      </c>
      <c r="H613" s="141">
        <v>2986.42</v>
      </c>
      <c r="I613" s="141"/>
      <c r="J613" s="141">
        <v>118193.49</v>
      </c>
      <c r="K613" s="141"/>
    </row>
    <row r="615" spans="1:11" ht="56" x14ac:dyDescent="0.25">
      <c r="A615" s="17">
        <v>79</v>
      </c>
      <c r="B615" s="17" t="s">
        <v>145</v>
      </c>
      <c r="C615" s="17" t="s">
        <v>146</v>
      </c>
      <c r="D615" s="18" t="s">
        <v>38</v>
      </c>
      <c r="E615" s="19">
        <v>51</v>
      </c>
      <c r="F615" s="20">
        <v>550.04999999999995</v>
      </c>
      <c r="G615" s="21" t="s">
        <v>1</v>
      </c>
      <c r="H615" s="19">
        <v>1</v>
      </c>
      <c r="I615" s="20">
        <v>28052.55</v>
      </c>
      <c r="J615" s="19">
        <v>3.29</v>
      </c>
      <c r="K615" s="20">
        <v>92292.89</v>
      </c>
    </row>
    <row r="616" spans="1:11" ht="14" x14ac:dyDescent="0.25">
      <c r="C616" s="22" t="s">
        <v>267</v>
      </c>
      <c r="H616" s="143">
        <v>28052.55</v>
      </c>
      <c r="I616" s="143"/>
      <c r="J616" s="143">
        <v>92292.89</v>
      </c>
      <c r="K616" s="143"/>
    </row>
    <row r="618" spans="1:11" ht="56" x14ac:dyDescent="0.25">
      <c r="A618" s="17">
        <v>80</v>
      </c>
      <c r="B618" s="17" t="s">
        <v>147</v>
      </c>
      <c r="C618" s="17" t="s">
        <v>148</v>
      </c>
      <c r="D618" s="18" t="s">
        <v>38</v>
      </c>
      <c r="E618" s="19">
        <v>51</v>
      </c>
      <c r="F618" s="20">
        <v>1046.6400000000001</v>
      </c>
      <c r="G618" s="21" t="s">
        <v>1</v>
      </c>
      <c r="H618" s="19">
        <v>1</v>
      </c>
      <c r="I618" s="20">
        <v>53378.64</v>
      </c>
      <c r="J618" s="19">
        <v>3.36</v>
      </c>
      <c r="K618" s="20">
        <v>179352.23</v>
      </c>
    </row>
    <row r="619" spans="1:11" ht="14" x14ac:dyDescent="0.25">
      <c r="C619" s="22" t="s">
        <v>267</v>
      </c>
      <c r="H619" s="143">
        <v>53378.64</v>
      </c>
      <c r="I619" s="143"/>
      <c r="J619" s="143">
        <v>179352.23</v>
      </c>
      <c r="K619" s="143"/>
    </row>
    <row r="621" spans="1:11" ht="56" x14ac:dyDescent="0.25">
      <c r="A621" s="17">
        <v>81</v>
      </c>
      <c r="B621" s="17" t="s">
        <v>149</v>
      </c>
      <c r="C621" s="17" t="s">
        <v>150</v>
      </c>
      <c r="D621" s="18" t="s">
        <v>38</v>
      </c>
      <c r="E621" s="19">
        <v>5</v>
      </c>
      <c r="F621" s="20">
        <v>1603.84</v>
      </c>
      <c r="G621" s="21" t="s">
        <v>1</v>
      </c>
      <c r="H621" s="19">
        <v>1</v>
      </c>
      <c r="I621" s="20">
        <v>8019.2</v>
      </c>
      <c r="J621" s="19">
        <v>3.29</v>
      </c>
      <c r="K621" s="20">
        <v>26383.17</v>
      </c>
    </row>
    <row r="622" spans="1:11" ht="14" x14ac:dyDescent="0.25">
      <c r="C622" s="22" t="s">
        <v>267</v>
      </c>
      <c r="H622" s="143">
        <v>8019.2</v>
      </c>
      <c r="I622" s="143"/>
      <c r="J622" s="143">
        <v>26383.17</v>
      </c>
      <c r="K622" s="143"/>
    </row>
    <row r="624" spans="1:11" ht="79" x14ac:dyDescent="0.25">
      <c r="A624" s="10">
        <v>82</v>
      </c>
      <c r="B624" s="10" t="s">
        <v>300</v>
      </c>
      <c r="C624" s="10" t="s">
        <v>151</v>
      </c>
      <c r="D624" s="12" t="s">
        <v>84</v>
      </c>
      <c r="E624" s="11">
        <v>3.21</v>
      </c>
      <c r="F624" s="14"/>
      <c r="G624" s="13"/>
      <c r="H624" s="11"/>
      <c r="I624" s="14"/>
      <c r="J624" s="11"/>
      <c r="K624" s="14"/>
    </row>
    <row r="625" spans="1:11" x14ac:dyDescent="0.25">
      <c r="C625" s="23" t="s">
        <v>381</v>
      </c>
    </row>
    <row r="626" spans="1:11" ht="14.5" x14ac:dyDescent="0.25">
      <c r="A626" s="10"/>
      <c r="B626" s="10"/>
      <c r="C626" s="10" t="s">
        <v>256</v>
      </c>
      <c r="D626" s="12"/>
      <c r="E626" s="11"/>
      <c r="F626" s="14">
        <v>81.94</v>
      </c>
      <c r="G626" s="15" t="s">
        <v>13</v>
      </c>
      <c r="H626" s="11">
        <v>1</v>
      </c>
      <c r="I626" s="14">
        <v>315.63</v>
      </c>
      <c r="J626" s="11">
        <v>57.05</v>
      </c>
      <c r="K626" s="14">
        <v>18006.689999999999</v>
      </c>
    </row>
    <row r="627" spans="1:11" ht="14.5" x14ac:dyDescent="0.25">
      <c r="A627" s="10"/>
      <c r="B627" s="10"/>
      <c r="C627" s="10" t="s">
        <v>257</v>
      </c>
      <c r="D627" s="12"/>
      <c r="E627" s="11"/>
      <c r="F627" s="14">
        <v>5.74</v>
      </c>
      <c r="G627" s="15" t="s">
        <v>13</v>
      </c>
      <c r="H627" s="11">
        <v>1</v>
      </c>
      <c r="I627" s="14">
        <v>22.11</v>
      </c>
      <c r="J627" s="11">
        <v>19.649999999999999</v>
      </c>
      <c r="K627" s="14">
        <v>434.46</v>
      </c>
    </row>
    <row r="628" spans="1:11" ht="14.5" x14ac:dyDescent="0.25">
      <c r="A628" s="10"/>
      <c r="B628" s="10"/>
      <c r="C628" s="10" t="s">
        <v>258</v>
      </c>
      <c r="D628" s="12"/>
      <c r="E628" s="11"/>
      <c r="F628" s="14">
        <v>1.05</v>
      </c>
      <c r="G628" s="15" t="s">
        <v>13</v>
      </c>
      <c r="H628" s="11">
        <v>1</v>
      </c>
      <c r="I628" s="16">
        <v>4.04</v>
      </c>
      <c r="J628" s="11">
        <v>57.05</v>
      </c>
      <c r="K628" s="16">
        <v>230.48</v>
      </c>
    </row>
    <row r="629" spans="1:11" ht="14.5" x14ac:dyDescent="0.25">
      <c r="A629" s="10"/>
      <c r="B629" s="10"/>
      <c r="C629" s="10" t="s">
        <v>259</v>
      </c>
      <c r="D629" s="12"/>
      <c r="E629" s="11"/>
      <c r="F629" s="14">
        <v>16.46</v>
      </c>
      <c r="G629" s="15" t="s">
        <v>1</v>
      </c>
      <c r="H629" s="11">
        <v>1</v>
      </c>
      <c r="I629" s="14">
        <v>52.84</v>
      </c>
      <c r="J629" s="11">
        <v>7.04</v>
      </c>
      <c r="K629" s="14">
        <v>371.99</v>
      </c>
    </row>
    <row r="630" spans="1:11" ht="42" x14ac:dyDescent="0.25">
      <c r="A630" s="10" t="s">
        <v>152</v>
      </c>
      <c r="B630" s="10" t="s">
        <v>143</v>
      </c>
      <c r="C630" s="10" t="s">
        <v>144</v>
      </c>
      <c r="D630" s="12" t="s">
        <v>28</v>
      </c>
      <c r="E630" s="11">
        <v>2.761E-3</v>
      </c>
      <c r="F630" s="14">
        <v>33827.69</v>
      </c>
      <c r="G630" s="15" t="s">
        <v>1</v>
      </c>
      <c r="H630" s="11">
        <v>1</v>
      </c>
      <c r="I630" s="14">
        <v>93.4</v>
      </c>
      <c r="J630" s="11">
        <v>4.9000000000000004</v>
      </c>
      <c r="K630" s="14">
        <v>457.66</v>
      </c>
    </row>
    <row r="631" spans="1:11" ht="14.5" x14ac:dyDescent="0.25">
      <c r="A631" s="10"/>
      <c r="B631" s="10"/>
      <c r="C631" s="10" t="s">
        <v>260</v>
      </c>
      <c r="D631" s="12" t="s">
        <v>261</v>
      </c>
      <c r="E631" s="11">
        <v>97</v>
      </c>
      <c r="F631" s="14"/>
      <c r="G631" s="13"/>
      <c r="H631" s="11"/>
      <c r="I631" s="14">
        <v>310.08</v>
      </c>
      <c r="J631" s="11">
        <v>97</v>
      </c>
      <c r="K631" s="14">
        <v>17690.05</v>
      </c>
    </row>
    <row r="632" spans="1:11" ht="14.5" x14ac:dyDescent="0.25">
      <c r="A632" s="10"/>
      <c r="B632" s="10"/>
      <c r="C632" s="10" t="s">
        <v>262</v>
      </c>
      <c r="D632" s="12" t="s">
        <v>261</v>
      </c>
      <c r="E632" s="11">
        <v>51</v>
      </c>
      <c r="F632" s="14"/>
      <c r="G632" s="13"/>
      <c r="H632" s="11"/>
      <c r="I632" s="14">
        <v>163.03</v>
      </c>
      <c r="J632" s="11">
        <v>51</v>
      </c>
      <c r="K632" s="14">
        <v>9300.9599999999991</v>
      </c>
    </row>
    <row r="633" spans="1:11" ht="14.5" x14ac:dyDescent="0.25">
      <c r="A633" s="17"/>
      <c r="B633" s="17"/>
      <c r="C633" s="17" t="s">
        <v>263</v>
      </c>
      <c r="D633" s="18" t="s">
        <v>264</v>
      </c>
      <c r="E633" s="19">
        <v>7.27</v>
      </c>
      <c r="F633" s="20"/>
      <c r="G633" s="21" t="s">
        <v>13</v>
      </c>
      <c r="H633" s="19">
        <v>1</v>
      </c>
      <c r="I633" s="20">
        <v>28</v>
      </c>
      <c r="J633" s="19"/>
      <c r="K633" s="20"/>
    </row>
    <row r="634" spans="1:11" ht="14" x14ac:dyDescent="0.25">
      <c r="C634" s="22" t="s">
        <v>265</v>
      </c>
      <c r="H634" s="143">
        <v>957.09</v>
      </c>
      <c r="I634" s="143"/>
      <c r="J634" s="143">
        <v>46261.81</v>
      </c>
      <c r="K634" s="143"/>
    </row>
    <row r="635" spans="1:11" ht="14" x14ac:dyDescent="0.25">
      <c r="C635" s="22" t="s">
        <v>267</v>
      </c>
      <c r="H635" s="141">
        <v>957.09</v>
      </c>
      <c r="I635" s="141"/>
      <c r="J635" s="141">
        <v>46261.81</v>
      </c>
      <c r="K635" s="141"/>
    </row>
    <row r="637" spans="1:11" ht="42" x14ac:dyDescent="0.25">
      <c r="A637" s="17">
        <v>83</v>
      </c>
      <c r="B637" s="17" t="s">
        <v>153</v>
      </c>
      <c r="C637" s="17" t="s">
        <v>154</v>
      </c>
      <c r="D637" s="18" t="s">
        <v>38</v>
      </c>
      <c r="E637" s="19">
        <v>51</v>
      </c>
      <c r="F637" s="20">
        <v>153.37</v>
      </c>
      <c r="G637" s="21" t="s">
        <v>1</v>
      </c>
      <c r="H637" s="19">
        <v>1</v>
      </c>
      <c r="I637" s="20">
        <v>7821.87</v>
      </c>
      <c r="J637" s="19">
        <v>3.59</v>
      </c>
      <c r="K637" s="20">
        <v>28080.51</v>
      </c>
    </row>
    <row r="638" spans="1:11" ht="14" x14ac:dyDescent="0.25">
      <c r="C638" s="22" t="s">
        <v>267</v>
      </c>
      <c r="H638" s="143">
        <v>7821.87</v>
      </c>
      <c r="I638" s="143"/>
      <c r="J638" s="143">
        <v>28080.51</v>
      </c>
      <c r="K638" s="143"/>
    </row>
    <row r="640" spans="1:11" ht="42" x14ac:dyDescent="0.25">
      <c r="A640" s="17">
        <v>84</v>
      </c>
      <c r="B640" s="17" t="s">
        <v>155</v>
      </c>
      <c r="C640" s="17" t="s">
        <v>156</v>
      </c>
      <c r="D640" s="18" t="s">
        <v>38</v>
      </c>
      <c r="E640" s="19">
        <v>51</v>
      </c>
      <c r="F640" s="20">
        <v>236.74</v>
      </c>
      <c r="G640" s="21" t="s">
        <v>1</v>
      </c>
      <c r="H640" s="19">
        <v>1</v>
      </c>
      <c r="I640" s="20">
        <v>12073.74</v>
      </c>
      <c r="J640" s="19">
        <v>3.86</v>
      </c>
      <c r="K640" s="20">
        <v>46604.639999999999</v>
      </c>
    </row>
    <row r="641" spans="1:11" ht="14" x14ac:dyDescent="0.25">
      <c r="C641" s="22" t="s">
        <v>267</v>
      </c>
      <c r="H641" s="143">
        <v>12073.74</v>
      </c>
      <c r="I641" s="143"/>
      <c r="J641" s="143">
        <v>46604.639999999999</v>
      </c>
      <c r="K641" s="143"/>
    </row>
    <row r="643" spans="1:11" ht="42" x14ac:dyDescent="0.25">
      <c r="A643" s="17">
        <v>85</v>
      </c>
      <c r="B643" s="17" t="s">
        <v>157</v>
      </c>
      <c r="C643" s="17" t="s">
        <v>158</v>
      </c>
      <c r="D643" s="18" t="s">
        <v>38</v>
      </c>
      <c r="E643" s="19">
        <v>5</v>
      </c>
      <c r="F643" s="20">
        <v>437.14</v>
      </c>
      <c r="G643" s="21" t="s">
        <v>1</v>
      </c>
      <c r="H643" s="19">
        <v>1</v>
      </c>
      <c r="I643" s="20">
        <v>2185.6999999999998</v>
      </c>
      <c r="J643" s="19">
        <v>4.91</v>
      </c>
      <c r="K643" s="20">
        <v>10731.79</v>
      </c>
    </row>
    <row r="644" spans="1:11" ht="14" x14ac:dyDescent="0.25">
      <c r="C644" s="22" t="s">
        <v>267</v>
      </c>
      <c r="H644" s="143">
        <v>2185.6999999999998</v>
      </c>
      <c r="I644" s="143"/>
      <c r="J644" s="143">
        <v>10731.79</v>
      </c>
      <c r="K644" s="143"/>
    </row>
    <row r="646" spans="1:11" ht="79" x14ac:dyDescent="0.25">
      <c r="A646" s="10">
        <v>86</v>
      </c>
      <c r="B646" s="10" t="s">
        <v>301</v>
      </c>
      <c r="C646" s="10" t="s">
        <v>159</v>
      </c>
      <c r="D646" s="12" t="s">
        <v>84</v>
      </c>
      <c r="E646" s="11">
        <v>1</v>
      </c>
      <c r="F646" s="14"/>
      <c r="G646" s="13"/>
      <c r="H646" s="11"/>
      <c r="I646" s="14"/>
      <c r="J646" s="11"/>
      <c r="K646" s="14"/>
    </row>
    <row r="647" spans="1:11" x14ac:dyDescent="0.25">
      <c r="C647" s="23" t="s">
        <v>382</v>
      </c>
    </row>
    <row r="648" spans="1:11" ht="14.5" x14ac:dyDescent="0.25">
      <c r="A648" s="10"/>
      <c r="B648" s="10"/>
      <c r="C648" s="10" t="s">
        <v>256</v>
      </c>
      <c r="D648" s="12"/>
      <c r="E648" s="11"/>
      <c r="F648" s="14">
        <v>284.81</v>
      </c>
      <c r="G648" s="15" t="s">
        <v>13</v>
      </c>
      <c r="H648" s="11">
        <v>1</v>
      </c>
      <c r="I648" s="14">
        <v>341.77</v>
      </c>
      <c r="J648" s="11">
        <v>57.05</v>
      </c>
      <c r="K648" s="14">
        <v>19497.98</v>
      </c>
    </row>
    <row r="649" spans="1:11" ht="14.5" x14ac:dyDescent="0.25">
      <c r="A649" s="10"/>
      <c r="B649" s="10"/>
      <c r="C649" s="10" t="s">
        <v>257</v>
      </c>
      <c r="D649" s="12"/>
      <c r="E649" s="11"/>
      <c r="F649" s="14">
        <v>8.2100000000000009</v>
      </c>
      <c r="G649" s="15" t="s">
        <v>13</v>
      </c>
      <c r="H649" s="11">
        <v>1</v>
      </c>
      <c r="I649" s="14">
        <v>9.85</v>
      </c>
      <c r="J649" s="11">
        <v>18.45</v>
      </c>
      <c r="K649" s="14">
        <v>181.73</v>
      </c>
    </row>
    <row r="650" spans="1:11" ht="14.5" x14ac:dyDescent="0.25">
      <c r="A650" s="10"/>
      <c r="B650" s="10"/>
      <c r="C650" s="10" t="s">
        <v>258</v>
      </c>
      <c r="D650" s="12"/>
      <c r="E650" s="11"/>
      <c r="F650" s="14">
        <v>1.2</v>
      </c>
      <c r="G650" s="15" t="s">
        <v>13</v>
      </c>
      <c r="H650" s="11">
        <v>1</v>
      </c>
      <c r="I650" s="16">
        <v>1.44</v>
      </c>
      <c r="J650" s="11">
        <v>57.05</v>
      </c>
      <c r="K650" s="16">
        <v>82.15</v>
      </c>
    </row>
    <row r="651" spans="1:11" ht="14.5" x14ac:dyDescent="0.25">
      <c r="A651" s="10"/>
      <c r="B651" s="10"/>
      <c r="C651" s="10" t="s">
        <v>259</v>
      </c>
      <c r="D651" s="12"/>
      <c r="E651" s="11"/>
      <c r="F651" s="14">
        <v>104.09</v>
      </c>
      <c r="G651" s="15" t="s">
        <v>1</v>
      </c>
      <c r="H651" s="11">
        <v>1</v>
      </c>
      <c r="I651" s="14">
        <v>104.09</v>
      </c>
      <c r="J651" s="11">
        <v>4.28</v>
      </c>
      <c r="K651" s="14">
        <v>445.51</v>
      </c>
    </row>
    <row r="652" spans="1:11" ht="42" x14ac:dyDescent="0.25">
      <c r="A652" s="10" t="s">
        <v>160</v>
      </c>
      <c r="B652" s="10" t="s">
        <v>143</v>
      </c>
      <c r="C652" s="10" t="s">
        <v>144</v>
      </c>
      <c r="D652" s="12" t="s">
        <v>28</v>
      </c>
      <c r="E652" s="11">
        <v>8.7299999999999999E-3</v>
      </c>
      <c r="F652" s="14">
        <v>33827.69</v>
      </c>
      <c r="G652" s="15" t="s">
        <v>1</v>
      </c>
      <c r="H652" s="11">
        <v>1</v>
      </c>
      <c r="I652" s="14">
        <v>295.32</v>
      </c>
      <c r="J652" s="11">
        <v>4.9000000000000004</v>
      </c>
      <c r="K652" s="14">
        <v>1447.07</v>
      </c>
    </row>
    <row r="653" spans="1:11" ht="14.5" x14ac:dyDescent="0.25">
      <c r="A653" s="10"/>
      <c r="B653" s="10"/>
      <c r="C653" s="10" t="s">
        <v>260</v>
      </c>
      <c r="D653" s="12" t="s">
        <v>261</v>
      </c>
      <c r="E653" s="11">
        <v>97</v>
      </c>
      <c r="F653" s="14"/>
      <c r="G653" s="13"/>
      <c r="H653" s="11"/>
      <c r="I653" s="14">
        <v>332.91</v>
      </c>
      <c r="J653" s="11">
        <v>97</v>
      </c>
      <c r="K653" s="14">
        <v>18992.73</v>
      </c>
    </row>
    <row r="654" spans="1:11" ht="14.5" x14ac:dyDescent="0.25">
      <c r="A654" s="10"/>
      <c r="B654" s="10"/>
      <c r="C654" s="10" t="s">
        <v>262</v>
      </c>
      <c r="D654" s="12" t="s">
        <v>261</v>
      </c>
      <c r="E654" s="11">
        <v>51</v>
      </c>
      <c r="F654" s="14"/>
      <c r="G654" s="13"/>
      <c r="H654" s="11"/>
      <c r="I654" s="14">
        <v>175.04</v>
      </c>
      <c r="J654" s="11">
        <v>51</v>
      </c>
      <c r="K654" s="14">
        <v>9985.8700000000008</v>
      </c>
    </row>
    <row r="655" spans="1:11" ht="14.5" x14ac:dyDescent="0.25">
      <c r="A655" s="17"/>
      <c r="B655" s="17"/>
      <c r="C655" s="17" t="s">
        <v>263</v>
      </c>
      <c r="D655" s="18" t="s">
        <v>264</v>
      </c>
      <c r="E655" s="19">
        <v>25.03</v>
      </c>
      <c r="F655" s="20"/>
      <c r="G655" s="21" t="s">
        <v>13</v>
      </c>
      <c r="H655" s="19">
        <v>1</v>
      </c>
      <c r="I655" s="20">
        <v>30.04</v>
      </c>
      <c r="J655" s="19"/>
      <c r="K655" s="20"/>
    </row>
    <row r="656" spans="1:11" ht="14" x14ac:dyDescent="0.25">
      <c r="C656" s="22" t="s">
        <v>265</v>
      </c>
      <c r="H656" s="143">
        <v>1258.98</v>
      </c>
      <c r="I656" s="143"/>
      <c r="J656" s="143">
        <v>50550.89</v>
      </c>
      <c r="K656" s="143"/>
    </row>
    <row r="657" spans="1:11" ht="14" x14ac:dyDescent="0.25">
      <c r="C657" s="22" t="s">
        <v>267</v>
      </c>
      <c r="H657" s="141">
        <v>1258.98</v>
      </c>
      <c r="I657" s="141"/>
      <c r="J657" s="141">
        <v>50550.89</v>
      </c>
      <c r="K657" s="141"/>
    </row>
    <row r="659" spans="1:11" ht="56" x14ac:dyDescent="0.25">
      <c r="A659" s="17">
        <v>87</v>
      </c>
      <c r="B659" s="17" t="s">
        <v>161</v>
      </c>
      <c r="C659" s="17" t="s">
        <v>437</v>
      </c>
      <c r="D659" s="18" t="s">
        <v>38</v>
      </c>
      <c r="E659" s="19">
        <v>50</v>
      </c>
      <c r="F659" s="20">
        <v>313.41000000000003</v>
      </c>
      <c r="G659" s="21" t="s">
        <v>1</v>
      </c>
      <c r="H659" s="19">
        <v>1</v>
      </c>
      <c r="I659" s="20">
        <v>15670.5</v>
      </c>
      <c r="J659" s="19">
        <v>5.03</v>
      </c>
      <c r="K659" s="20">
        <v>78822.62</v>
      </c>
    </row>
    <row r="660" spans="1:11" ht="14" x14ac:dyDescent="0.25">
      <c r="C660" s="22" t="s">
        <v>267</v>
      </c>
      <c r="H660" s="143">
        <v>15670.5</v>
      </c>
      <c r="I660" s="143"/>
      <c r="J660" s="143">
        <v>78822.62</v>
      </c>
      <c r="K660" s="143"/>
    </row>
    <row r="662" spans="1:11" ht="56" x14ac:dyDescent="0.25">
      <c r="A662" s="17">
        <v>88</v>
      </c>
      <c r="B662" s="17" t="s">
        <v>162</v>
      </c>
      <c r="C662" s="17" t="s">
        <v>163</v>
      </c>
      <c r="D662" s="18" t="s">
        <v>38</v>
      </c>
      <c r="E662" s="19">
        <v>50</v>
      </c>
      <c r="F662" s="20">
        <v>726.25</v>
      </c>
      <c r="G662" s="21" t="s">
        <v>1</v>
      </c>
      <c r="H662" s="19">
        <v>1</v>
      </c>
      <c r="I662" s="20">
        <v>36312.5</v>
      </c>
      <c r="J662" s="19">
        <v>3.48</v>
      </c>
      <c r="K662" s="20">
        <v>126367.5</v>
      </c>
    </row>
    <row r="663" spans="1:11" ht="14" x14ac:dyDescent="0.25">
      <c r="C663" s="22" t="s">
        <v>267</v>
      </c>
      <c r="H663" s="143">
        <v>36312.5</v>
      </c>
      <c r="I663" s="143"/>
      <c r="J663" s="143">
        <v>126367.5</v>
      </c>
      <c r="K663" s="143"/>
    </row>
    <row r="665" spans="1:11" ht="79" x14ac:dyDescent="0.25">
      <c r="A665" s="10">
        <v>89</v>
      </c>
      <c r="B665" s="10" t="s">
        <v>300</v>
      </c>
      <c r="C665" s="10" t="s">
        <v>151</v>
      </c>
      <c r="D665" s="12" t="s">
        <v>84</v>
      </c>
      <c r="E665" s="11">
        <v>3</v>
      </c>
      <c r="F665" s="14"/>
      <c r="G665" s="13"/>
      <c r="H665" s="11"/>
      <c r="I665" s="14"/>
      <c r="J665" s="11"/>
      <c r="K665" s="14"/>
    </row>
    <row r="666" spans="1:11" x14ac:dyDescent="0.25">
      <c r="C666" s="23" t="s">
        <v>383</v>
      </c>
    </row>
    <row r="667" spans="1:11" ht="14.5" x14ac:dyDescent="0.25">
      <c r="A667" s="10"/>
      <c r="B667" s="10"/>
      <c r="C667" s="10" t="s">
        <v>256</v>
      </c>
      <c r="D667" s="12"/>
      <c r="E667" s="11"/>
      <c r="F667" s="14">
        <v>81.94</v>
      </c>
      <c r="G667" s="15" t="s">
        <v>13</v>
      </c>
      <c r="H667" s="11">
        <v>1</v>
      </c>
      <c r="I667" s="14">
        <v>294.98</v>
      </c>
      <c r="J667" s="11">
        <v>57.05</v>
      </c>
      <c r="K667" s="14">
        <v>16828.61</v>
      </c>
    </row>
    <row r="668" spans="1:11" ht="14.5" x14ac:dyDescent="0.25">
      <c r="A668" s="10"/>
      <c r="B668" s="10"/>
      <c r="C668" s="10" t="s">
        <v>257</v>
      </c>
      <c r="D668" s="12"/>
      <c r="E668" s="11"/>
      <c r="F668" s="14">
        <v>5.74</v>
      </c>
      <c r="G668" s="15" t="s">
        <v>13</v>
      </c>
      <c r="H668" s="11">
        <v>1</v>
      </c>
      <c r="I668" s="14">
        <v>20.66</v>
      </c>
      <c r="J668" s="11">
        <v>19.649999999999999</v>
      </c>
      <c r="K668" s="14">
        <v>405.97</v>
      </c>
    </row>
    <row r="669" spans="1:11" ht="14.5" x14ac:dyDescent="0.25">
      <c r="A669" s="10"/>
      <c r="B669" s="10"/>
      <c r="C669" s="10" t="s">
        <v>258</v>
      </c>
      <c r="D669" s="12"/>
      <c r="E669" s="11"/>
      <c r="F669" s="14">
        <v>1.05</v>
      </c>
      <c r="G669" s="15" t="s">
        <v>13</v>
      </c>
      <c r="H669" s="11">
        <v>1</v>
      </c>
      <c r="I669" s="16">
        <v>3.78</v>
      </c>
      <c r="J669" s="11">
        <v>57.05</v>
      </c>
      <c r="K669" s="16">
        <v>215.65</v>
      </c>
    </row>
    <row r="670" spans="1:11" ht="14.5" x14ac:dyDescent="0.25">
      <c r="A670" s="10"/>
      <c r="B670" s="10"/>
      <c r="C670" s="10" t="s">
        <v>259</v>
      </c>
      <c r="D670" s="12"/>
      <c r="E670" s="11"/>
      <c r="F670" s="14">
        <v>16.46</v>
      </c>
      <c r="G670" s="15" t="s">
        <v>1</v>
      </c>
      <c r="H670" s="11">
        <v>1</v>
      </c>
      <c r="I670" s="14">
        <v>49.38</v>
      </c>
      <c r="J670" s="11">
        <v>7.04</v>
      </c>
      <c r="K670" s="14">
        <v>347.64</v>
      </c>
    </row>
    <row r="671" spans="1:11" ht="42" x14ac:dyDescent="0.25">
      <c r="A671" s="10" t="s">
        <v>164</v>
      </c>
      <c r="B671" s="10" t="s">
        <v>143</v>
      </c>
      <c r="C671" s="10" t="s">
        <v>144</v>
      </c>
      <c r="D671" s="12" t="s">
        <v>28</v>
      </c>
      <c r="E671" s="11">
        <v>2.5799999999999998E-3</v>
      </c>
      <c r="F671" s="14">
        <v>33827.69</v>
      </c>
      <c r="G671" s="15" t="s">
        <v>1</v>
      </c>
      <c r="H671" s="11">
        <v>1</v>
      </c>
      <c r="I671" s="14">
        <v>87.28</v>
      </c>
      <c r="J671" s="11">
        <v>4.9000000000000004</v>
      </c>
      <c r="K671" s="14">
        <v>427.67</v>
      </c>
    </row>
    <row r="672" spans="1:11" ht="14.5" x14ac:dyDescent="0.25">
      <c r="A672" s="10"/>
      <c r="B672" s="10"/>
      <c r="C672" s="10" t="s">
        <v>260</v>
      </c>
      <c r="D672" s="12" t="s">
        <v>261</v>
      </c>
      <c r="E672" s="11">
        <v>97</v>
      </c>
      <c r="F672" s="14"/>
      <c r="G672" s="13"/>
      <c r="H672" s="11"/>
      <c r="I672" s="14">
        <v>289.8</v>
      </c>
      <c r="J672" s="11">
        <v>97</v>
      </c>
      <c r="K672" s="14">
        <v>16532.93</v>
      </c>
    </row>
    <row r="673" spans="1:11" ht="14.5" x14ac:dyDescent="0.25">
      <c r="A673" s="10"/>
      <c r="B673" s="10"/>
      <c r="C673" s="10" t="s">
        <v>262</v>
      </c>
      <c r="D673" s="12" t="s">
        <v>261</v>
      </c>
      <c r="E673" s="11">
        <v>51</v>
      </c>
      <c r="F673" s="14"/>
      <c r="G673" s="13"/>
      <c r="H673" s="11"/>
      <c r="I673" s="14">
        <v>152.37</v>
      </c>
      <c r="J673" s="11">
        <v>51</v>
      </c>
      <c r="K673" s="14">
        <v>8692.57</v>
      </c>
    </row>
    <row r="674" spans="1:11" ht="14.5" x14ac:dyDescent="0.25">
      <c r="A674" s="17"/>
      <c r="B674" s="17"/>
      <c r="C674" s="17" t="s">
        <v>263</v>
      </c>
      <c r="D674" s="18" t="s">
        <v>264</v>
      </c>
      <c r="E674" s="19">
        <v>7.27</v>
      </c>
      <c r="F674" s="20"/>
      <c r="G674" s="21" t="s">
        <v>13</v>
      </c>
      <c r="H674" s="19">
        <v>1</v>
      </c>
      <c r="I674" s="20">
        <v>26.17</v>
      </c>
      <c r="J674" s="19"/>
      <c r="K674" s="20"/>
    </row>
    <row r="675" spans="1:11" ht="14" x14ac:dyDescent="0.25">
      <c r="C675" s="22" t="s">
        <v>265</v>
      </c>
      <c r="H675" s="143">
        <v>894.47</v>
      </c>
      <c r="I675" s="143"/>
      <c r="J675" s="143">
        <v>43235.39</v>
      </c>
      <c r="K675" s="143"/>
    </row>
    <row r="676" spans="1:11" ht="14" x14ac:dyDescent="0.25">
      <c r="C676" s="22" t="s">
        <v>267</v>
      </c>
      <c r="H676" s="141">
        <v>894.47</v>
      </c>
      <c r="I676" s="141"/>
      <c r="J676" s="141">
        <v>43235.39</v>
      </c>
      <c r="K676" s="141"/>
    </row>
    <row r="678" spans="1:11" ht="42" x14ac:dyDescent="0.25">
      <c r="A678" s="17">
        <v>90</v>
      </c>
      <c r="B678" s="17" t="s">
        <v>153</v>
      </c>
      <c r="C678" s="17" t="s">
        <v>154</v>
      </c>
      <c r="D678" s="18" t="s">
        <v>38</v>
      </c>
      <c r="E678" s="19">
        <v>50</v>
      </c>
      <c r="F678" s="20">
        <v>153.37</v>
      </c>
      <c r="G678" s="21" t="s">
        <v>1</v>
      </c>
      <c r="H678" s="19">
        <v>1</v>
      </c>
      <c r="I678" s="20">
        <v>7668.5</v>
      </c>
      <c r="J678" s="19">
        <v>3.59</v>
      </c>
      <c r="K678" s="20">
        <v>27529.919999999998</v>
      </c>
    </row>
    <row r="679" spans="1:11" ht="14" x14ac:dyDescent="0.25">
      <c r="C679" s="22" t="s">
        <v>267</v>
      </c>
      <c r="H679" s="143">
        <v>7668.5</v>
      </c>
      <c r="I679" s="143"/>
      <c r="J679" s="143">
        <v>27529.919999999998</v>
      </c>
      <c r="K679" s="143"/>
    </row>
    <row r="681" spans="1:11" ht="42" x14ac:dyDescent="0.25">
      <c r="A681" s="17">
        <v>91</v>
      </c>
      <c r="B681" s="17" t="s">
        <v>155</v>
      </c>
      <c r="C681" s="17" t="s">
        <v>156</v>
      </c>
      <c r="D681" s="18" t="s">
        <v>38</v>
      </c>
      <c r="E681" s="19">
        <v>50</v>
      </c>
      <c r="F681" s="20">
        <v>236.74</v>
      </c>
      <c r="G681" s="21" t="s">
        <v>1</v>
      </c>
      <c r="H681" s="19">
        <v>1</v>
      </c>
      <c r="I681" s="20">
        <v>11837</v>
      </c>
      <c r="J681" s="19">
        <v>3.86</v>
      </c>
      <c r="K681" s="20">
        <v>45690.82</v>
      </c>
    </row>
    <row r="682" spans="1:11" ht="14" x14ac:dyDescent="0.25">
      <c r="C682" s="22" t="s">
        <v>267</v>
      </c>
      <c r="H682" s="143">
        <v>11837</v>
      </c>
      <c r="I682" s="143"/>
      <c r="J682" s="143">
        <v>45690.82</v>
      </c>
      <c r="K682" s="143"/>
    </row>
    <row r="684" spans="1:11" ht="79" x14ac:dyDescent="0.25">
      <c r="A684" s="10">
        <v>92</v>
      </c>
      <c r="B684" s="10" t="s">
        <v>302</v>
      </c>
      <c r="C684" s="10" t="s">
        <v>165</v>
      </c>
      <c r="D684" s="12" t="s">
        <v>34</v>
      </c>
      <c r="E684" s="11">
        <v>1.61</v>
      </c>
      <c r="F684" s="14"/>
      <c r="G684" s="13"/>
      <c r="H684" s="11"/>
      <c r="I684" s="14"/>
      <c r="J684" s="11"/>
      <c r="K684" s="14"/>
    </row>
    <row r="685" spans="1:11" x14ac:dyDescent="0.25">
      <c r="C685" s="23" t="s">
        <v>384</v>
      </c>
    </row>
    <row r="686" spans="1:11" ht="14.5" x14ac:dyDescent="0.25">
      <c r="A686" s="10"/>
      <c r="B686" s="10"/>
      <c r="C686" s="10" t="s">
        <v>256</v>
      </c>
      <c r="D686" s="12"/>
      <c r="E686" s="11"/>
      <c r="F686" s="14">
        <v>247.61</v>
      </c>
      <c r="G686" s="15" t="s">
        <v>13</v>
      </c>
      <c r="H686" s="11">
        <v>1</v>
      </c>
      <c r="I686" s="14">
        <v>478.38</v>
      </c>
      <c r="J686" s="11">
        <v>57.05</v>
      </c>
      <c r="K686" s="14">
        <v>27291.58</v>
      </c>
    </row>
    <row r="687" spans="1:11" ht="14.5" x14ac:dyDescent="0.25">
      <c r="A687" s="10"/>
      <c r="B687" s="10"/>
      <c r="C687" s="10" t="s">
        <v>257</v>
      </c>
      <c r="D687" s="12"/>
      <c r="E687" s="11"/>
      <c r="F687" s="14">
        <v>9.42</v>
      </c>
      <c r="G687" s="15" t="s">
        <v>13</v>
      </c>
      <c r="H687" s="11">
        <v>1</v>
      </c>
      <c r="I687" s="14">
        <v>18.2</v>
      </c>
      <c r="J687" s="11">
        <v>15.48</v>
      </c>
      <c r="K687" s="14">
        <v>281.74</v>
      </c>
    </row>
    <row r="688" spans="1:11" ht="14.5" x14ac:dyDescent="0.25">
      <c r="A688" s="10"/>
      <c r="B688" s="10"/>
      <c r="C688" s="10" t="s">
        <v>258</v>
      </c>
      <c r="D688" s="12"/>
      <c r="E688" s="11"/>
      <c r="F688" s="14">
        <v>1.01</v>
      </c>
      <c r="G688" s="15" t="s">
        <v>13</v>
      </c>
      <c r="H688" s="11">
        <v>1</v>
      </c>
      <c r="I688" s="16">
        <v>1.95</v>
      </c>
      <c r="J688" s="11">
        <v>57.05</v>
      </c>
      <c r="K688" s="16">
        <v>111.25</v>
      </c>
    </row>
    <row r="689" spans="1:11" ht="14.5" x14ac:dyDescent="0.25">
      <c r="A689" s="10"/>
      <c r="B689" s="10"/>
      <c r="C689" s="10" t="s">
        <v>259</v>
      </c>
      <c r="D689" s="12"/>
      <c r="E689" s="11"/>
      <c r="F689" s="14">
        <v>3.84</v>
      </c>
      <c r="G689" s="15" t="s">
        <v>1</v>
      </c>
      <c r="H689" s="11">
        <v>1</v>
      </c>
      <c r="I689" s="14">
        <v>6.18</v>
      </c>
      <c r="J689" s="11">
        <v>11.66</v>
      </c>
      <c r="K689" s="14">
        <v>72.06</v>
      </c>
    </row>
    <row r="690" spans="1:11" ht="84" x14ac:dyDescent="0.25">
      <c r="A690" s="10" t="s">
        <v>166</v>
      </c>
      <c r="B690" s="10" t="s">
        <v>167</v>
      </c>
      <c r="C690" s="10" t="s">
        <v>168</v>
      </c>
      <c r="D690" s="12" t="s">
        <v>38</v>
      </c>
      <c r="E690" s="11">
        <v>325.22000000000003</v>
      </c>
      <c r="F690" s="14">
        <v>3.55</v>
      </c>
      <c r="G690" s="15" t="s">
        <v>1</v>
      </c>
      <c r="H690" s="11">
        <v>1</v>
      </c>
      <c r="I690" s="14">
        <v>1154.53</v>
      </c>
      <c r="J690" s="11">
        <v>2.86</v>
      </c>
      <c r="K690" s="14">
        <v>3301.96</v>
      </c>
    </row>
    <row r="691" spans="1:11" ht="14.5" x14ac:dyDescent="0.25">
      <c r="A691" s="10"/>
      <c r="B691" s="10"/>
      <c r="C691" s="10" t="s">
        <v>260</v>
      </c>
      <c r="D691" s="12" t="s">
        <v>261</v>
      </c>
      <c r="E691" s="11">
        <v>97</v>
      </c>
      <c r="F691" s="14"/>
      <c r="G691" s="13"/>
      <c r="H691" s="11"/>
      <c r="I691" s="14">
        <v>465.92</v>
      </c>
      <c r="J691" s="11">
        <v>97</v>
      </c>
      <c r="K691" s="14">
        <v>26580.75</v>
      </c>
    </row>
    <row r="692" spans="1:11" ht="14.5" x14ac:dyDescent="0.25">
      <c r="A692" s="10"/>
      <c r="B692" s="10"/>
      <c r="C692" s="10" t="s">
        <v>262</v>
      </c>
      <c r="D692" s="12" t="s">
        <v>261</v>
      </c>
      <c r="E692" s="11">
        <v>51</v>
      </c>
      <c r="F692" s="14"/>
      <c r="G692" s="13"/>
      <c r="H692" s="11"/>
      <c r="I692" s="14">
        <v>244.97</v>
      </c>
      <c r="J692" s="11">
        <v>51</v>
      </c>
      <c r="K692" s="14">
        <v>13975.44</v>
      </c>
    </row>
    <row r="693" spans="1:11" ht="14.5" x14ac:dyDescent="0.25">
      <c r="A693" s="17"/>
      <c r="B693" s="17"/>
      <c r="C693" s="17" t="s">
        <v>263</v>
      </c>
      <c r="D693" s="18" t="s">
        <v>264</v>
      </c>
      <c r="E693" s="19">
        <v>21.71</v>
      </c>
      <c r="F693" s="20"/>
      <c r="G693" s="21" t="s">
        <v>13</v>
      </c>
      <c r="H693" s="19">
        <v>1</v>
      </c>
      <c r="I693" s="20">
        <v>41.94</v>
      </c>
      <c r="J693" s="19"/>
      <c r="K693" s="20"/>
    </row>
    <row r="694" spans="1:11" ht="14" x14ac:dyDescent="0.25">
      <c r="C694" s="22" t="s">
        <v>265</v>
      </c>
      <c r="H694" s="143">
        <v>2368.1799999999998</v>
      </c>
      <c r="I694" s="143"/>
      <c r="J694" s="143">
        <v>71503.53</v>
      </c>
      <c r="K694" s="143"/>
    </row>
    <row r="695" spans="1:11" ht="14" x14ac:dyDescent="0.25">
      <c r="C695" s="22" t="s">
        <v>267</v>
      </c>
      <c r="H695" s="141">
        <v>2368.1799999999998</v>
      </c>
      <c r="I695" s="141"/>
      <c r="J695" s="141">
        <v>71503.53</v>
      </c>
      <c r="K695" s="141"/>
    </row>
    <row r="697" spans="1:11" ht="28" x14ac:dyDescent="0.25">
      <c r="A697" s="17">
        <v>93</v>
      </c>
      <c r="B697" s="17" t="s">
        <v>169</v>
      </c>
      <c r="C697" s="17" t="s">
        <v>170</v>
      </c>
      <c r="D697" s="18" t="s">
        <v>38</v>
      </c>
      <c r="E697" s="19">
        <v>6</v>
      </c>
      <c r="F697" s="20">
        <v>54.72</v>
      </c>
      <c r="G697" s="21" t="s">
        <v>1</v>
      </c>
      <c r="H697" s="19">
        <v>1</v>
      </c>
      <c r="I697" s="20">
        <v>328.32</v>
      </c>
      <c r="J697" s="19">
        <v>6.55</v>
      </c>
      <c r="K697" s="20">
        <v>2150.5</v>
      </c>
    </row>
    <row r="698" spans="1:11" ht="14" x14ac:dyDescent="0.25">
      <c r="C698" s="22" t="s">
        <v>267</v>
      </c>
      <c r="H698" s="143">
        <v>328.32</v>
      </c>
      <c r="I698" s="143"/>
      <c r="J698" s="143">
        <v>2150.5</v>
      </c>
      <c r="K698" s="143"/>
    </row>
    <row r="700" spans="1:11" ht="28" x14ac:dyDescent="0.25">
      <c r="A700" s="17">
        <v>94</v>
      </c>
      <c r="B700" s="17" t="s">
        <v>171</v>
      </c>
      <c r="C700" s="17" t="s">
        <v>172</v>
      </c>
      <c r="D700" s="18" t="s">
        <v>38</v>
      </c>
      <c r="E700" s="19">
        <v>155</v>
      </c>
      <c r="F700" s="20">
        <v>69.42</v>
      </c>
      <c r="G700" s="21" t="s">
        <v>1</v>
      </c>
      <c r="H700" s="19">
        <v>1</v>
      </c>
      <c r="I700" s="20">
        <v>10760.1</v>
      </c>
      <c r="J700" s="19">
        <v>2.38</v>
      </c>
      <c r="K700" s="20">
        <v>25609.040000000001</v>
      </c>
    </row>
    <row r="701" spans="1:11" ht="14" x14ac:dyDescent="0.25">
      <c r="C701" s="22" t="s">
        <v>267</v>
      </c>
      <c r="H701" s="143">
        <v>10760.1</v>
      </c>
      <c r="I701" s="143"/>
      <c r="J701" s="143">
        <v>25609.040000000001</v>
      </c>
      <c r="K701" s="143"/>
    </row>
    <row r="703" spans="1:11" ht="79" x14ac:dyDescent="0.25">
      <c r="A703" s="10">
        <v>95</v>
      </c>
      <c r="B703" s="10" t="s">
        <v>303</v>
      </c>
      <c r="C703" s="10" t="s">
        <v>173</v>
      </c>
      <c r="D703" s="12" t="s">
        <v>34</v>
      </c>
      <c r="E703" s="11">
        <v>1.55</v>
      </c>
      <c r="F703" s="14"/>
      <c r="G703" s="13"/>
      <c r="H703" s="11"/>
      <c r="I703" s="14"/>
      <c r="J703" s="11"/>
      <c r="K703" s="14"/>
    </row>
    <row r="704" spans="1:11" x14ac:dyDescent="0.25">
      <c r="C704" s="23" t="s">
        <v>385</v>
      </c>
    </row>
    <row r="705" spans="1:11" ht="14.5" x14ac:dyDescent="0.25">
      <c r="A705" s="10"/>
      <c r="B705" s="10"/>
      <c r="C705" s="10" t="s">
        <v>256</v>
      </c>
      <c r="D705" s="12"/>
      <c r="E705" s="11"/>
      <c r="F705" s="14">
        <v>259.16000000000003</v>
      </c>
      <c r="G705" s="15" t="s">
        <v>13</v>
      </c>
      <c r="H705" s="11">
        <v>1</v>
      </c>
      <c r="I705" s="14">
        <v>482.04</v>
      </c>
      <c r="J705" s="11">
        <v>57.05</v>
      </c>
      <c r="K705" s="14">
        <v>27500.38</v>
      </c>
    </row>
    <row r="706" spans="1:11" ht="14.5" x14ac:dyDescent="0.25">
      <c r="A706" s="10"/>
      <c r="B706" s="10"/>
      <c r="C706" s="10" t="s">
        <v>257</v>
      </c>
      <c r="D706" s="12"/>
      <c r="E706" s="11"/>
      <c r="F706" s="14">
        <v>18.03</v>
      </c>
      <c r="G706" s="15" t="s">
        <v>13</v>
      </c>
      <c r="H706" s="11">
        <v>1</v>
      </c>
      <c r="I706" s="14">
        <v>33.54</v>
      </c>
      <c r="J706" s="11">
        <v>15.45</v>
      </c>
      <c r="K706" s="14">
        <v>518.19000000000005</v>
      </c>
    </row>
    <row r="707" spans="1:11" ht="14.5" x14ac:dyDescent="0.25">
      <c r="A707" s="10"/>
      <c r="B707" s="10"/>
      <c r="C707" s="10" t="s">
        <v>258</v>
      </c>
      <c r="D707" s="12"/>
      <c r="E707" s="11"/>
      <c r="F707" s="14">
        <v>1.77</v>
      </c>
      <c r="G707" s="15" t="s">
        <v>13</v>
      </c>
      <c r="H707" s="11">
        <v>1</v>
      </c>
      <c r="I707" s="16">
        <v>3.29</v>
      </c>
      <c r="J707" s="11">
        <v>57.05</v>
      </c>
      <c r="K707" s="16">
        <v>187.69</v>
      </c>
    </row>
    <row r="708" spans="1:11" ht="14.5" x14ac:dyDescent="0.25">
      <c r="A708" s="10"/>
      <c r="B708" s="10"/>
      <c r="C708" s="10" t="s">
        <v>259</v>
      </c>
      <c r="D708" s="12"/>
      <c r="E708" s="11"/>
      <c r="F708" s="14">
        <v>12.94</v>
      </c>
      <c r="G708" s="15" t="s">
        <v>1</v>
      </c>
      <c r="H708" s="11">
        <v>1</v>
      </c>
      <c r="I708" s="14">
        <v>20.059999999999999</v>
      </c>
      <c r="J708" s="11">
        <v>11.66</v>
      </c>
      <c r="K708" s="14">
        <v>233.9</v>
      </c>
    </row>
    <row r="709" spans="1:11" ht="42" x14ac:dyDescent="0.25">
      <c r="A709" s="10" t="s">
        <v>174</v>
      </c>
      <c r="B709" s="10" t="s">
        <v>175</v>
      </c>
      <c r="C709" s="10" t="s">
        <v>176</v>
      </c>
      <c r="D709" s="12" t="s">
        <v>88</v>
      </c>
      <c r="E709" s="11">
        <v>0.155</v>
      </c>
      <c r="F709" s="14">
        <v>22264.59</v>
      </c>
      <c r="G709" s="15" t="s">
        <v>1</v>
      </c>
      <c r="H709" s="11">
        <v>1</v>
      </c>
      <c r="I709" s="14">
        <v>3451.01</v>
      </c>
      <c r="J709" s="11">
        <v>12.52</v>
      </c>
      <c r="K709" s="14">
        <v>43206.65</v>
      </c>
    </row>
    <row r="710" spans="1:11" ht="84" x14ac:dyDescent="0.25">
      <c r="A710" s="10" t="s">
        <v>177</v>
      </c>
      <c r="B710" s="10" t="s">
        <v>167</v>
      </c>
      <c r="C710" s="10" t="s">
        <v>168</v>
      </c>
      <c r="D710" s="12" t="s">
        <v>38</v>
      </c>
      <c r="E710" s="11">
        <v>626.20000000000005</v>
      </c>
      <c r="F710" s="14">
        <v>3.55</v>
      </c>
      <c r="G710" s="15" t="s">
        <v>1</v>
      </c>
      <c r="H710" s="11">
        <v>1</v>
      </c>
      <c r="I710" s="14">
        <v>2223.0100000000002</v>
      </c>
      <c r="J710" s="11">
        <v>2.86</v>
      </c>
      <c r="K710" s="14">
        <v>6357.81</v>
      </c>
    </row>
    <row r="711" spans="1:11" ht="14.5" x14ac:dyDescent="0.25">
      <c r="A711" s="10"/>
      <c r="B711" s="10"/>
      <c r="C711" s="10" t="s">
        <v>260</v>
      </c>
      <c r="D711" s="12" t="s">
        <v>261</v>
      </c>
      <c r="E711" s="11">
        <v>97</v>
      </c>
      <c r="F711" s="14"/>
      <c r="G711" s="13"/>
      <c r="H711" s="11"/>
      <c r="I711" s="14">
        <v>470.77</v>
      </c>
      <c r="J711" s="11">
        <v>97</v>
      </c>
      <c r="K711" s="14">
        <v>26857.43</v>
      </c>
    </row>
    <row r="712" spans="1:11" ht="14.5" x14ac:dyDescent="0.25">
      <c r="A712" s="10"/>
      <c r="B712" s="10"/>
      <c r="C712" s="10" t="s">
        <v>262</v>
      </c>
      <c r="D712" s="12" t="s">
        <v>261</v>
      </c>
      <c r="E712" s="11">
        <v>51</v>
      </c>
      <c r="F712" s="14"/>
      <c r="G712" s="13"/>
      <c r="H712" s="11"/>
      <c r="I712" s="14">
        <v>247.52</v>
      </c>
      <c r="J712" s="11">
        <v>51</v>
      </c>
      <c r="K712" s="14">
        <v>14120.92</v>
      </c>
    </row>
    <row r="713" spans="1:11" ht="14.5" x14ac:dyDescent="0.25">
      <c r="A713" s="17"/>
      <c r="B713" s="17"/>
      <c r="C713" s="17" t="s">
        <v>263</v>
      </c>
      <c r="D713" s="18" t="s">
        <v>264</v>
      </c>
      <c r="E713" s="19">
        <v>20.75</v>
      </c>
      <c r="F713" s="20"/>
      <c r="G713" s="21" t="s">
        <v>13</v>
      </c>
      <c r="H713" s="19">
        <v>1</v>
      </c>
      <c r="I713" s="20">
        <v>38.6</v>
      </c>
      <c r="J713" s="19"/>
      <c r="K713" s="20"/>
    </row>
    <row r="714" spans="1:11" ht="14" x14ac:dyDescent="0.25">
      <c r="C714" s="22" t="s">
        <v>265</v>
      </c>
      <c r="H714" s="143">
        <v>6927.95</v>
      </c>
      <c r="I714" s="143"/>
      <c r="J714" s="143">
        <v>118795.28</v>
      </c>
      <c r="K714" s="143"/>
    </row>
    <row r="715" spans="1:11" ht="14" x14ac:dyDescent="0.25">
      <c r="C715" s="22" t="s">
        <v>267</v>
      </c>
      <c r="H715" s="141">
        <v>6927.95</v>
      </c>
      <c r="I715" s="141"/>
      <c r="J715" s="141">
        <v>118795.28</v>
      </c>
      <c r="K715" s="141"/>
    </row>
    <row r="717" spans="1:11" ht="79" x14ac:dyDescent="0.25">
      <c r="A717" s="10">
        <v>96</v>
      </c>
      <c r="B717" s="10" t="s">
        <v>304</v>
      </c>
      <c r="C717" s="10" t="s">
        <v>178</v>
      </c>
      <c r="D717" s="12" t="s">
        <v>34</v>
      </c>
      <c r="E717" s="11">
        <v>1.53</v>
      </c>
      <c r="F717" s="14"/>
      <c r="G717" s="13"/>
      <c r="H717" s="11"/>
      <c r="I717" s="14"/>
      <c r="J717" s="11"/>
      <c r="K717" s="14"/>
    </row>
    <row r="718" spans="1:11" x14ac:dyDescent="0.25">
      <c r="C718" s="23" t="s">
        <v>386</v>
      </c>
    </row>
    <row r="719" spans="1:11" ht="14.5" x14ac:dyDescent="0.25">
      <c r="A719" s="10"/>
      <c r="B719" s="10"/>
      <c r="C719" s="10" t="s">
        <v>256</v>
      </c>
      <c r="D719" s="12"/>
      <c r="E719" s="11"/>
      <c r="F719" s="14">
        <v>411.93</v>
      </c>
      <c r="G719" s="15" t="s">
        <v>13</v>
      </c>
      <c r="H719" s="11">
        <v>1</v>
      </c>
      <c r="I719" s="14">
        <v>756.3</v>
      </c>
      <c r="J719" s="11">
        <v>57.05</v>
      </c>
      <c r="K719" s="14">
        <v>43146.92</v>
      </c>
    </row>
    <row r="720" spans="1:11" ht="14.5" x14ac:dyDescent="0.25">
      <c r="A720" s="10"/>
      <c r="B720" s="10"/>
      <c r="C720" s="10" t="s">
        <v>257</v>
      </c>
      <c r="D720" s="12"/>
      <c r="E720" s="11"/>
      <c r="F720" s="14">
        <v>19.79</v>
      </c>
      <c r="G720" s="15" t="s">
        <v>13</v>
      </c>
      <c r="H720" s="11">
        <v>1</v>
      </c>
      <c r="I720" s="14">
        <v>36.33</v>
      </c>
      <c r="J720" s="11">
        <v>16.149999999999999</v>
      </c>
      <c r="K720" s="14">
        <v>586.73</v>
      </c>
    </row>
    <row r="721" spans="1:11" ht="14.5" x14ac:dyDescent="0.25">
      <c r="A721" s="10"/>
      <c r="B721" s="10"/>
      <c r="C721" s="10" t="s">
        <v>258</v>
      </c>
      <c r="D721" s="12"/>
      <c r="E721" s="11"/>
      <c r="F721" s="14">
        <v>2.4</v>
      </c>
      <c r="G721" s="15" t="s">
        <v>13</v>
      </c>
      <c r="H721" s="11">
        <v>1</v>
      </c>
      <c r="I721" s="16">
        <v>4.41</v>
      </c>
      <c r="J721" s="11">
        <v>57.05</v>
      </c>
      <c r="K721" s="16">
        <v>251.59</v>
      </c>
    </row>
    <row r="722" spans="1:11" ht="14.5" x14ac:dyDescent="0.25">
      <c r="A722" s="10"/>
      <c r="B722" s="10"/>
      <c r="C722" s="10" t="s">
        <v>259</v>
      </c>
      <c r="D722" s="12"/>
      <c r="E722" s="11"/>
      <c r="F722" s="14">
        <v>22.18</v>
      </c>
      <c r="G722" s="15" t="s">
        <v>1</v>
      </c>
      <c r="H722" s="11">
        <v>1</v>
      </c>
      <c r="I722" s="14">
        <v>33.94</v>
      </c>
      <c r="J722" s="11">
        <v>5.0199999999999996</v>
      </c>
      <c r="K722" s="14">
        <v>170.38</v>
      </c>
    </row>
    <row r="723" spans="1:11" ht="42" x14ac:dyDescent="0.25">
      <c r="A723" s="10" t="s">
        <v>179</v>
      </c>
      <c r="B723" s="10" t="s">
        <v>180</v>
      </c>
      <c r="C723" s="10" t="s">
        <v>181</v>
      </c>
      <c r="D723" s="12" t="s">
        <v>28</v>
      </c>
      <c r="E723" s="11">
        <v>1.2347E-2</v>
      </c>
      <c r="F723" s="14">
        <v>37835.07</v>
      </c>
      <c r="G723" s="15" t="s">
        <v>1</v>
      </c>
      <c r="H723" s="11">
        <v>1</v>
      </c>
      <c r="I723" s="14">
        <v>467.15</v>
      </c>
      <c r="J723" s="11">
        <v>2.46</v>
      </c>
      <c r="K723" s="14">
        <v>1149.19</v>
      </c>
    </row>
    <row r="724" spans="1:11" ht="84" x14ac:dyDescent="0.25">
      <c r="A724" s="10" t="s">
        <v>182</v>
      </c>
      <c r="B724" s="10" t="s">
        <v>167</v>
      </c>
      <c r="C724" s="10" t="s">
        <v>168</v>
      </c>
      <c r="D724" s="12" t="s">
        <v>38</v>
      </c>
      <c r="E724" s="11">
        <v>413.1</v>
      </c>
      <c r="F724" s="14">
        <v>3.55</v>
      </c>
      <c r="G724" s="15" t="s">
        <v>1</v>
      </c>
      <c r="H724" s="11">
        <v>1</v>
      </c>
      <c r="I724" s="14">
        <v>1466.51</v>
      </c>
      <c r="J724" s="11">
        <v>2.86</v>
      </c>
      <c r="K724" s="14">
        <v>4194.22</v>
      </c>
    </row>
    <row r="725" spans="1:11" ht="14.5" x14ac:dyDescent="0.25">
      <c r="A725" s="10"/>
      <c r="B725" s="10"/>
      <c r="C725" s="10" t="s">
        <v>260</v>
      </c>
      <c r="D725" s="12" t="s">
        <v>261</v>
      </c>
      <c r="E725" s="11">
        <v>97</v>
      </c>
      <c r="F725" s="14"/>
      <c r="G725" s="13"/>
      <c r="H725" s="11"/>
      <c r="I725" s="14">
        <v>737.89</v>
      </c>
      <c r="J725" s="11">
        <v>97</v>
      </c>
      <c r="K725" s="14">
        <v>42096.55</v>
      </c>
    </row>
    <row r="726" spans="1:11" ht="14.5" x14ac:dyDescent="0.25">
      <c r="A726" s="10"/>
      <c r="B726" s="10"/>
      <c r="C726" s="10" t="s">
        <v>262</v>
      </c>
      <c r="D726" s="12" t="s">
        <v>261</v>
      </c>
      <c r="E726" s="11">
        <v>51</v>
      </c>
      <c r="F726" s="14"/>
      <c r="G726" s="13"/>
      <c r="H726" s="11"/>
      <c r="I726" s="14">
        <v>387.96</v>
      </c>
      <c r="J726" s="11">
        <v>51</v>
      </c>
      <c r="K726" s="14">
        <v>22133.24</v>
      </c>
    </row>
    <row r="727" spans="1:11" ht="14.5" x14ac:dyDescent="0.25">
      <c r="A727" s="17"/>
      <c r="B727" s="17"/>
      <c r="C727" s="17" t="s">
        <v>263</v>
      </c>
      <c r="D727" s="18" t="s">
        <v>264</v>
      </c>
      <c r="E727" s="19">
        <v>36.79</v>
      </c>
      <c r="F727" s="20"/>
      <c r="G727" s="21" t="s">
        <v>13</v>
      </c>
      <c r="H727" s="19">
        <v>1</v>
      </c>
      <c r="I727" s="20">
        <v>67.55</v>
      </c>
      <c r="J727" s="19"/>
      <c r="K727" s="20"/>
    </row>
    <row r="728" spans="1:11" ht="14" x14ac:dyDescent="0.25">
      <c r="C728" s="22" t="s">
        <v>265</v>
      </c>
      <c r="H728" s="143">
        <v>3886.08</v>
      </c>
      <c r="I728" s="143"/>
      <c r="J728" s="143">
        <v>113477.23</v>
      </c>
      <c r="K728" s="143"/>
    </row>
    <row r="729" spans="1:11" ht="14" x14ac:dyDescent="0.25">
      <c r="C729" s="22" t="s">
        <v>267</v>
      </c>
      <c r="H729" s="141">
        <v>3886.08</v>
      </c>
      <c r="I729" s="141"/>
      <c r="J729" s="141">
        <v>113477.23</v>
      </c>
      <c r="K729" s="141"/>
    </row>
    <row r="731" spans="1:11" ht="27" x14ac:dyDescent="0.25">
      <c r="A731" s="17">
        <v>97</v>
      </c>
      <c r="B731" s="17" t="s">
        <v>409</v>
      </c>
      <c r="C731" s="17" t="s">
        <v>305</v>
      </c>
      <c r="D731" s="18" t="s">
        <v>11</v>
      </c>
      <c r="E731" s="19">
        <v>153</v>
      </c>
      <c r="F731" s="20">
        <v>31.48</v>
      </c>
      <c r="G731" s="21" t="s">
        <v>1</v>
      </c>
      <c r="H731" s="19">
        <v>1</v>
      </c>
      <c r="I731" s="20">
        <v>4816.4399999999996</v>
      </c>
      <c r="J731" s="19">
        <v>10.18</v>
      </c>
      <c r="K731" s="20">
        <v>49031.360000000001</v>
      </c>
    </row>
    <row r="732" spans="1:11" ht="14" x14ac:dyDescent="0.25">
      <c r="C732" s="22" t="s">
        <v>267</v>
      </c>
      <c r="H732" s="143">
        <v>4816.4399999999996</v>
      </c>
      <c r="I732" s="143"/>
      <c r="J732" s="143">
        <v>49031.360000000001</v>
      </c>
      <c r="K732" s="143"/>
    </row>
    <row r="734" spans="1:11" ht="70" x14ac:dyDescent="0.25">
      <c r="A734" s="17">
        <v>98</v>
      </c>
      <c r="B734" s="17" t="s">
        <v>183</v>
      </c>
      <c r="C734" s="17" t="s">
        <v>436</v>
      </c>
      <c r="D734" s="18" t="s">
        <v>38</v>
      </c>
      <c r="E734" s="19">
        <v>153</v>
      </c>
      <c r="F734" s="20">
        <v>33.549999999999997</v>
      </c>
      <c r="G734" s="21" t="s">
        <v>1</v>
      </c>
      <c r="H734" s="19">
        <v>1</v>
      </c>
      <c r="I734" s="20">
        <v>5133.1499999999996</v>
      </c>
      <c r="J734" s="19">
        <v>9.8800000000000008</v>
      </c>
      <c r="K734" s="20">
        <v>50715.519999999997</v>
      </c>
    </row>
    <row r="735" spans="1:11" ht="14" x14ac:dyDescent="0.25">
      <c r="C735" s="22" t="s">
        <v>267</v>
      </c>
      <c r="H735" s="143">
        <v>5133.1499999999996</v>
      </c>
      <c r="I735" s="143"/>
      <c r="J735" s="143">
        <v>50715.519999999997</v>
      </c>
      <c r="K735" s="143"/>
    </row>
    <row r="738" spans="1:11" ht="14" x14ac:dyDescent="0.3">
      <c r="A738" s="140" t="s">
        <v>387</v>
      </c>
      <c r="B738" s="140"/>
      <c r="C738" s="140"/>
      <c r="D738" s="140"/>
      <c r="E738" s="140"/>
      <c r="F738" s="140"/>
      <c r="G738" s="140"/>
      <c r="H738" s="141">
        <v>336295.04</v>
      </c>
      <c r="I738" s="142"/>
      <c r="J738" s="141">
        <v>4021788.16</v>
      </c>
      <c r="K738" s="142"/>
    </row>
    <row r="740" spans="1:11" ht="16.5" x14ac:dyDescent="0.25">
      <c r="A740" s="144" t="s">
        <v>388</v>
      </c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</row>
    <row r="741" spans="1:11" ht="79" x14ac:dyDescent="0.25">
      <c r="A741" s="10">
        <v>99</v>
      </c>
      <c r="B741" s="10" t="s">
        <v>306</v>
      </c>
      <c r="C741" s="10" t="s">
        <v>184</v>
      </c>
      <c r="D741" s="12" t="s">
        <v>34</v>
      </c>
      <c r="E741" s="11">
        <v>0.49</v>
      </c>
      <c r="F741" s="14"/>
      <c r="G741" s="13"/>
      <c r="H741" s="11"/>
      <c r="I741" s="14"/>
      <c r="J741" s="11"/>
      <c r="K741" s="14"/>
    </row>
    <row r="742" spans="1:11" x14ac:dyDescent="0.25">
      <c r="C742" s="23" t="s">
        <v>389</v>
      </c>
    </row>
    <row r="743" spans="1:11" ht="14.5" x14ac:dyDescent="0.25">
      <c r="A743" s="10"/>
      <c r="B743" s="10"/>
      <c r="C743" s="10" t="s">
        <v>256</v>
      </c>
      <c r="D743" s="12"/>
      <c r="E743" s="11"/>
      <c r="F743" s="14">
        <v>205.64</v>
      </c>
      <c r="G743" s="15" t="s">
        <v>13</v>
      </c>
      <c r="H743" s="11">
        <v>1</v>
      </c>
      <c r="I743" s="14">
        <v>120.92</v>
      </c>
      <c r="J743" s="11">
        <v>57.05</v>
      </c>
      <c r="K743" s="14">
        <v>6898.49</v>
      </c>
    </row>
    <row r="744" spans="1:11" ht="14.5" x14ac:dyDescent="0.25">
      <c r="A744" s="10"/>
      <c r="B744" s="10"/>
      <c r="C744" s="10" t="s">
        <v>257</v>
      </c>
      <c r="D744" s="12"/>
      <c r="E744" s="11"/>
      <c r="F744" s="14">
        <v>0.83</v>
      </c>
      <c r="G744" s="15" t="s">
        <v>13</v>
      </c>
      <c r="H744" s="11">
        <v>1</v>
      </c>
      <c r="I744" s="14">
        <v>0.49</v>
      </c>
      <c r="J744" s="11">
        <v>17.47</v>
      </c>
      <c r="K744" s="14">
        <v>8.56</v>
      </c>
    </row>
    <row r="745" spans="1:11" ht="14.5" x14ac:dyDescent="0.25">
      <c r="A745" s="10"/>
      <c r="B745" s="10"/>
      <c r="C745" s="10" t="s">
        <v>258</v>
      </c>
      <c r="D745" s="12"/>
      <c r="E745" s="11"/>
      <c r="F745" s="14">
        <v>0.13</v>
      </c>
      <c r="G745" s="15" t="s">
        <v>13</v>
      </c>
      <c r="H745" s="11">
        <v>1</v>
      </c>
      <c r="I745" s="16">
        <v>0.08</v>
      </c>
      <c r="J745" s="11">
        <v>57.05</v>
      </c>
      <c r="K745" s="16">
        <v>4.5599999999999996</v>
      </c>
    </row>
    <row r="746" spans="1:11" ht="98" x14ac:dyDescent="0.25">
      <c r="A746" s="10" t="s">
        <v>185</v>
      </c>
      <c r="B746" s="10" t="s">
        <v>186</v>
      </c>
      <c r="C746" s="10" t="s">
        <v>187</v>
      </c>
      <c r="D746" s="12" t="s">
        <v>38</v>
      </c>
      <c r="E746" s="11">
        <v>49</v>
      </c>
      <c r="F746" s="14">
        <v>20</v>
      </c>
      <c r="G746" s="15" t="s">
        <v>1</v>
      </c>
      <c r="H746" s="11">
        <v>1</v>
      </c>
      <c r="I746" s="14">
        <v>980</v>
      </c>
      <c r="J746" s="11">
        <v>8.8800000000000008</v>
      </c>
      <c r="K746" s="14">
        <v>8702.4</v>
      </c>
    </row>
    <row r="747" spans="1:11" ht="14.5" x14ac:dyDescent="0.25">
      <c r="A747" s="10"/>
      <c r="B747" s="10"/>
      <c r="C747" s="10" t="s">
        <v>260</v>
      </c>
      <c r="D747" s="12" t="s">
        <v>261</v>
      </c>
      <c r="E747" s="11">
        <v>97</v>
      </c>
      <c r="F747" s="14"/>
      <c r="G747" s="13"/>
      <c r="H747" s="11"/>
      <c r="I747" s="14">
        <v>117.37</v>
      </c>
      <c r="J747" s="11">
        <v>97</v>
      </c>
      <c r="K747" s="14">
        <v>6695.96</v>
      </c>
    </row>
    <row r="748" spans="1:11" ht="14.5" x14ac:dyDescent="0.25">
      <c r="A748" s="10"/>
      <c r="B748" s="10"/>
      <c r="C748" s="10" t="s">
        <v>262</v>
      </c>
      <c r="D748" s="12" t="s">
        <v>261</v>
      </c>
      <c r="E748" s="11">
        <v>51</v>
      </c>
      <c r="F748" s="14"/>
      <c r="G748" s="13"/>
      <c r="H748" s="11"/>
      <c r="I748" s="14">
        <v>61.71</v>
      </c>
      <c r="J748" s="11">
        <v>51</v>
      </c>
      <c r="K748" s="14">
        <v>3520.56</v>
      </c>
    </row>
    <row r="749" spans="1:11" ht="14.5" x14ac:dyDescent="0.25">
      <c r="A749" s="17"/>
      <c r="B749" s="17"/>
      <c r="C749" s="17" t="s">
        <v>263</v>
      </c>
      <c r="D749" s="18" t="s">
        <v>264</v>
      </c>
      <c r="E749" s="19">
        <v>18.399999999999999</v>
      </c>
      <c r="F749" s="20"/>
      <c r="G749" s="21" t="s">
        <v>13</v>
      </c>
      <c r="H749" s="19">
        <v>1</v>
      </c>
      <c r="I749" s="20">
        <v>10.82</v>
      </c>
      <c r="J749" s="19"/>
      <c r="K749" s="20"/>
    </row>
    <row r="750" spans="1:11" ht="14" x14ac:dyDescent="0.25">
      <c r="C750" s="22" t="s">
        <v>265</v>
      </c>
      <c r="H750" s="143">
        <v>1280.49</v>
      </c>
      <c r="I750" s="143"/>
      <c r="J750" s="143">
        <v>25825.97</v>
      </c>
      <c r="K750" s="143"/>
    </row>
    <row r="751" spans="1:11" ht="14" x14ac:dyDescent="0.25">
      <c r="C751" s="22" t="s">
        <v>267</v>
      </c>
      <c r="H751" s="141">
        <v>1280.49</v>
      </c>
      <c r="I751" s="141"/>
      <c r="J751" s="141">
        <v>25825.97</v>
      </c>
      <c r="K751" s="141"/>
    </row>
    <row r="753" spans="1:11" ht="79" x14ac:dyDescent="0.25">
      <c r="A753" s="10">
        <v>100</v>
      </c>
      <c r="B753" s="10" t="s">
        <v>307</v>
      </c>
      <c r="C753" s="10" t="s">
        <v>188</v>
      </c>
      <c r="D753" s="12" t="s">
        <v>34</v>
      </c>
      <c r="E753" s="11">
        <v>0.08</v>
      </c>
      <c r="F753" s="14"/>
      <c r="G753" s="13"/>
      <c r="H753" s="11"/>
      <c r="I753" s="14"/>
      <c r="J753" s="11"/>
      <c r="K753" s="14"/>
    </row>
    <row r="754" spans="1:11" x14ac:dyDescent="0.25">
      <c r="C754" s="23" t="s">
        <v>390</v>
      </c>
    </row>
    <row r="755" spans="1:11" ht="14.5" x14ac:dyDescent="0.25">
      <c r="A755" s="10"/>
      <c r="B755" s="10"/>
      <c r="C755" s="10" t="s">
        <v>256</v>
      </c>
      <c r="D755" s="12"/>
      <c r="E755" s="11"/>
      <c r="F755" s="14">
        <v>256.23</v>
      </c>
      <c r="G755" s="15" t="s">
        <v>13</v>
      </c>
      <c r="H755" s="11">
        <v>1</v>
      </c>
      <c r="I755" s="14">
        <v>24.6</v>
      </c>
      <c r="J755" s="11">
        <v>57.05</v>
      </c>
      <c r="K755" s="14">
        <v>1403.43</v>
      </c>
    </row>
    <row r="756" spans="1:11" ht="14.5" x14ac:dyDescent="0.25">
      <c r="A756" s="10"/>
      <c r="B756" s="10"/>
      <c r="C756" s="10" t="s">
        <v>257</v>
      </c>
      <c r="D756" s="12"/>
      <c r="E756" s="11"/>
      <c r="F756" s="14">
        <v>0.83</v>
      </c>
      <c r="G756" s="15" t="s">
        <v>13</v>
      </c>
      <c r="H756" s="11">
        <v>1</v>
      </c>
      <c r="I756" s="14">
        <v>0.08</v>
      </c>
      <c r="J756" s="11">
        <v>17.47</v>
      </c>
      <c r="K756" s="14">
        <v>1.4</v>
      </c>
    </row>
    <row r="757" spans="1:11" ht="14.5" x14ac:dyDescent="0.25">
      <c r="A757" s="10"/>
      <c r="B757" s="10"/>
      <c r="C757" s="10" t="s">
        <v>258</v>
      </c>
      <c r="D757" s="12"/>
      <c r="E757" s="11"/>
      <c r="F757" s="14">
        <v>0.13</v>
      </c>
      <c r="G757" s="15" t="s">
        <v>13</v>
      </c>
      <c r="H757" s="11">
        <v>1</v>
      </c>
      <c r="I757" s="16">
        <v>0.01</v>
      </c>
      <c r="J757" s="11">
        <v>57.05</v>
      </c>
      <c r="K757" s="16">
        <v>0.56999999999999995</v>
      </c>
    </row>
    <row r="758" spans="1:11" ht="70" x14ac:dyDescent="0.25">
      <c r="A758" s="10" t="s">
        <v>189</v>
      </c>
      <c r="B758" s="10" t="s">
        <v>190</v>
      </c>
      <c r="C758" s="10" t="s">
        <v>191</v>
      </c>
      <c r="D758" s="12" t="s">
        <v>38</v>
      </c>
      <c r="E758" s="11">
        <v>8</v>
      </c>
      <c r="F758" s="14">
        <v>28.3</v>
      </c>
      <c r="G758" s="15" t="s">
        <v>1</v>
      </c>
      <c r="H758" s="11">
        <v>1</v>
      </c>
      <c r="I758" s="14">
        <v>226.4</v>
      </c>
      <c r="J758" s="11">
        <v>14.41</v>
      </c>
      <c r="K758" s="14">
        <v>3262.42</v>
      </c>
    </row>
    <row r="759" spans="1:11" ht="70" x14ac:dyDescent="0.25">
      <c r="A759" s="10" t="s">
        <v>192</v>
      </c>
      <c r="B759" s="10" t="s">
        <v>193</v>
      </c>
      <c r="C759" s="10" t="s">
        <v>194</v>
      </c>
      <c r="D759" s="12" t="s">
        <v>38</v>
      </c>
      <c r="E759" s="11">
        <v>8</v>
      </c>
      <c r="F759" s="14">
        <v>8.02</v>
      </c>
      <c r="G759" s="15" t="s">
        <v>1</v>
      </c>
      <c r="H759" s="11">
        <v>1</v>
      </c>
      <c r="I759" s="14">
        <v>64.16</v>
      </c>
      <c r="J759" s="11">
        <v>9.86</v>
      </c>
      <c r="K759" s="14">
        <v>632.62</v>
      </c>
    </row>
    <row r="760" spans="1:11" ht="14.5" x14ac:dyDescent="0.25">
      <c r="A760" s="10"/>
      <c r="B760" s="10"/>
      <c r="C760" s="10" t="s">
        <v>260</v>
      </c>
      <c r="D760" s="12" t="s">
        <v>261</v>
      </c>
      <c r="E760" s="11">
        <v>97</v>
      </c>
      <c r="F760" s="14"/>
      <c r="G760" s="13"/>
      <c r="H760" s="11"/>
      <c r="I760" s="14">
        <v>23.87</v>
      </c>
      <c r="J760" s="11">
        <v>97</v>
      </c>
      <c r="K760" s="14">
        <v>1361.88</v>
      </c>
    </row>
    <row r="761" spans="1:11" ht="14.5" x14ac:dyDescent="0.25">
      <c r="A761" s="10"/>
      <c r="B761" s="10"/>
      <c r="C761" s="10" t="s">
        <v>262</v>
      </c>
      <c r="D761" s="12" t="s">
        <v>261</v>
      </c>
      <c r="E761" s="11">
        <v>51</v>
      </c>
      <c r="F761" s="14"/>
      <c r="G761" s="13"/>
      <c r="H761" s="11"/>
      <c r="I761" s="14">
        <v>12.55</v>
      </c>
      <c r="J761" s="11">
        <v>51</v>
      </c>
      <c r="K761" s="14">
        <v>716.04</v>
      </c>
    </row>
    <row r="762" spans="1:11" ht="14.5" x14ac:dyDescent="0.25">
      <c r="A762" s="17"/>
      <c r="B762" s="17"/>
      <c r="C762" s="17" t="s">
        <v>263</v>
      </c>
      <c r="D762" s="18" t="s">
        <v>264</v>
      </c>
      <c r="E762" s="19">
        <v>22.92</v>
      </c>
      <c r="F762" s="20"/>
      <c r="G762" s="21" t="s">
        <v>13</v>
      </c>
      <c r="H762" s="19">
        <v>1</v>
      </c>
      <c r="I762" s="20">
        <v>2.2000000000000002</v>
      </c>
      <c r="J762" s="19"/>
      <c r="K762" s="20"/>
    </row>
    <row r="763" spans="1:11" ht="14" x14ac:dyDescent="0.25">
      <c r="C763" s="22" t="s">
        <v>265</v>
      </c>
      <c r="H763" s="143">
        <v>351.66</v>
      </c>
      <c r="I763" s="143"/>
      <c r="J763" s="143">
        <v>7377.79</v>
      </c>
      <c r="K763" s="143"/>
    </row>
    <row r="764" spans="1:11" ht="14" x14ac:dyDescent="0.25">
      <c r="C764" s="22" t="s">
        <v>267</v>
      </c>
      <c r="H764" s="141">
        <v>351.66</v>
      </c>
      <c r="I764" s="141"/>
      <c r="J764" s="141">
        <v>7377.79</v>
      </c>
      <c r="K764" s="141"/>
    </row>
    <row r="766" spans="1:11" ht="79" x14ac:dyDescent="0.25">
      <c r="A766" s="10">
        <v>101</v>
      </c>
      <c r="B766" s="10" t="s">
        <v>308</v>
      </c>
      <c r="C766" s="10" t="s">
        <v>195</v>
      </c>
      <c r="D766" s="12" t="s">
        <v>34</v>
      </c>
      <c r="E766" s="11">
        <v>0.6</v>
      </c>
      <c r="F766" s="14"/>
      <c r="G766" s="13"/>
      <c r="H766" s="11"/>
      <c r="I766" s="14"/>
      <c r="J766" s="11"/>
      <c r="K766" s="14"/>
    </row>
    <row r="767" spans="1:11" x14ac:dyDescent="0.25">
      <c r="C767" s="23" t="s">
        <v>391</v>
      </c>
    </row>
    <row r="768" spans="1:11" ht="14.5" x14ac:dyDescent="0.25">
      <c r="A768" s="10"/>
      <c r="B768" s="10"/>
      <c r="C768" s="10" t="s">
        <v>256</v>
      </c>
      <c r="D768" s="12"/>
      <c r="E768" s="11"/>
      <c r="F768" s="14">
        <v>138.38</v>
      </c>
      <c r="G768" s="15" t="s">
        <v>13</v>
      </c>
      <c r="H768" s="11">
        <v>1</v>
      </c>
      <c r="I768" s="14">
        <v>99.63</v>
      </c>
      <c r="J768" s="11">
        <v>57.05</v>
      </c>
      <c r="K768" s="14">
        <v>5683.89</v>
      </c>
    </row>
    <row r="769" spans="1:11" ht="14.5" x14ac:dyDescent="0.25">
      <c r="A769" s="10"/>
      <c r="B769" s="10"/>
      <c r="C769" s="10" t="s">
        <v>257</v>
      </c>
      <c r="D769" s="12"/>
      <c r="E769" s="11"/>
      <c r="F769" s="14">
        <v>0.42</v>
      </c>
      <c r="G769" s="15" t="s">
        <v>13</v>
      </c>
      <c r="H769" s="11">
        <v>1</v>
      </c>
      <c r="I769" s="14">
        <v>0.3</v>
      </c>
      <c r="J769" s="11">
        <v>17.260000000000002</v>
      </c>
      <c r="K769" s="14">
        <v>5.18</v>
      </c>
    </row>
    <row r="770" spans="1:11" ht="14.5" x14ac:dyDescent="0.25">
      <c r="A770" s="10"/>
      <c r="B770" s="10"/>
      <c r="C770" s="10" t="s">
        <v>258</v>
      </c>
      <c r="D770" s="12"/>
      <c r="E770" s="11"/>
      <c r="F770" s="14">
        <v>0.06</v>
      </c>
      <c r="G770" s="15" t="s">
        <v>13</v>
      </c>
      <c r="H770" s="11">
        <v>1</v>
      </c>
      <c r="I770" s="16">
        <v>0.04</v>
      </c>
      <c r="J770" s="11">
        <v>57.05</v>
      </c>
      <c r="K770" s="16">
        <v>2.2799999999999998</v>
      </c>
    </row>
    <row r="771" spans="1:11" ht="14.5" x14ac:dyDescent="0.25">
      <c r="A771" s="10"/>
      <c r="B771" s="10"/>
      <c r="C771" s="10" t="s">
        <v>260</v>
      </c>
      <c r="D771" s="12" t="s">
        <v>261</v>
      </c>
      <c r="E771" s="11">
        <v>97</v>
      </c>
      <c r="F771" s="14"/>
      <c r="G771" s="13"/>
      <c r="H771" s="11"/>
      <c r="I771" s="14">
        <v>96.68</v>
      </c>
      <c r="J771" s="11">
        <v>97</v>
      </c>
      <c r="K771" s="14">
        <v>5515.58</v>
      </c>
    </row>
    <row r="772" spans="1:11" ht="14.5" x14ac:dyDescent="0.25">
      <c r="A772" s="10"/>
      <c r="B772" s="10"/>
      <c r="C772" s="10" t="s">
        <v>262</v>
      </c>
      <c r="D772" s="12" t="s">
        <v>261</v>
      </c>
      <c r="E772" s="11">
        <v>51</v>
      </c>
      <c r="F772" s="14"/>
      <c r="G772" s="13"/>
      <c r="H772" s="11"/>
      <c r="I772" s="14">
        <v>50.83</v>
      </c>
      <c r="J772" s="11">
        <v>51</v>
      </c>
      <c r="K772" s="14">
        <v>2899.95</v>
      </c>
    </row>
    <row r="773" spans="1:11" ht="14.5" x14ac:dyDescent="0.25">
      <c r="A773" s="17"/>
      <c r="B773" s="17"/>
      <c r="C773" s="17" t="s">
        <v>263</v>
      </c>
      <c r="D773" s="18" t="s">
        <v>264</v>
      </c>
      <c r="E773" s="19">
        <v>12.38</v>
      </c>
      <c r="F773" s="20"/>
      <c r="G773" s="21" t="s">
        <v>13</v>
      </c>
      <c r="H773" s="19">
        <v>1</v>
      </c>
      <c r="I773" s="20">
        <v>8.91</v>
      </c>
      <c r="J773" s="19"/>
      <c r="K773" s="20"/>
    </row>
    <row r="774" spans="1:11" ht="14" x14ac:dyDescent="0.25">
      <c r="C774" s="22" t="s">
        <v>265</v>
      </c>
      <c r="H774" s="143">
        <v>247.44</v>
      </c>
      <c r="I774" s="143"/>
      <c r="J774" s="143">
        <v>14104.6</v>
      </c>
      <c r="K774" s="143"/>
    </row>
    <row r="775" spans="1:11" ht="14" x14ac:dyDescent="0.25">
      <c r="C775" s="22" t="s">
        <v>267</v>
      </c>
      <c r="H775" s="141">
        <v>247.44</v>
      </c>
      <c r="I775" s="141"/>
      <c r="J775" s="141">
        <v>14104.6</v>
      </c>
      <c r="K775" s="141"/>
    </row>
    <row r="777" spans="1:11" ht="41" x14ac:dyDescent="0.25">
      <c r="A777" s="17">
        <v>102</v>
      </c>
      <c r="B777" s="17" t="s">
        <v>409</v>
      </c>
      <c r="C777" s="17" t="s">
        <v>309</v>
      </c>
      <c r="D777" s="18" t="s">
        <v>11</v>
      </c>
      <c r="E777" s="19">
        <v>60</v>
      </c>
      <c r="F777" s="20">
        <v>40.15</v>
      </c>
      <c r="G777" s="21" t="s">
        <v>1</v>
      </c>
      <c r="H777" s="19">
        <v>1</v>
      </c>
      <c r="I777" s="20">
        <v>2409</v>
      </c>
      <c r="J777" s="19">
        <v>10.18</v>
      </c>
      <c r="K777" s="20">
        <v>24523.62</v>
      </c>
    </row>
    <row r="778" spans="1:11" ht="14" x14ac:dyDescent="0.25">
      <c r="C778" s="22" t="s">
        <v>267</v>
      </c>
      <c r="H778" s="143">
        <v>2409</v>
      </c>
      <c r="I778" s="143"/>
      <c r="J778" s="143">
        <v>24523.62</v>
      </c>
      <c r="K778" s="143"/>
    </row>
    <row r="780" spans="1:11" ht="79" x14ac:dyDescent="0.25">
      <c r="A780" s="10">
        <v>103</v>
      </c>
      <c r="B780" s="10" t="s">
        <v>308</v>
      </c>
      <c r="C780" s="10" t="s">
        <v>195</v>
      </c>
      <c r="D780" s="12" t="s">
        <v>34</v>
      </c>
      <c r="E780" s="11">
        <v>0.2</v>
      </c>
      <c r="F780" s="14"/>
      <c r="G780" s="13"/>
      <c r="H780" s="11"/>
      <c r="I780" s="14"/>
      <c r="J780" s="11"/>
      <c r="K780" s="14"/>
    </row>
    <row r="781" spans="1:11" x14ac:dyDescent="0.25">
      <c r="C781" s="23" t="s">
        <v>392</v>
      </c>
    </row>
    <row r="782" spans="1:11" ht="14.5" x14ac:dyDescent="0.25">
      <c r="A782" s="10"/>
      <c r="B782" s="10"/>
      <c r="C782" s="10" t="s">
        <v>256</v>
      </c>
      <c r="D782" s="12"/>
      <c r="E782" s="11"/>
      <c r="F782" s="14">
        <v>138.38</v>
      </c>
      <c r="G782" s="15" t="s">
        <v>13</v>
      </c>
      <c r="H782" s="11">
        <v>1</v>
      </c>
      <c r="I782" s="14">
        <v>33.21</v>
      </c>
      <c r="J782" s="11">
        <v>57.05</v>
      </c>
      <c r="K782" s="14">
        <v>1894.63</v>
      </c>
    </row>
    <row r="783" spans="1:11" ht="14.5" x14ac:dyDescent="0.25">
      <c r="A783" s="10"/>
      <c r="B783" s="10"/>
      <c r="C783" s="10" t="s">
        <v>257</v>
      </c>
      <c r="D783" s="12"/>
      <c r="E783" s="11"/>
      <c r="F783" s="14">
        <v>0.42</v>
      </c>
      <c r="G783" s="15" t="s">
        <v>13</v>
      </c>
      <c r="H783" s="11">
        <v>1</v>
      </c>
      <c r="I783" s="14">
        <v>0.1</v>
      </c>
      <c r="J783" s="11">
        <v>17.260000000000002</v>
      </c>
      <c r="K783" s="14">
        <v>1.73</v>
      </c>
    </row>
    <row r="784" spans="1:11" ht="14.5" x14ac:dyDescent="0.25">
      <c r="A784" s="10"/>
      <c r="B784" s="10"/>
      <c r="C784" s="10" t="s">
        <v>258</v>
      </c>
      <c r="D784" s="12"/>
      <c r="E784" s="11"/>
      <c r="F784" s="14">
        <v>0.06</v>
      </c>
      <c r="G784" s="15" t="s">
        <v>13</v>
      </c>
      <c r="H784" s="11">
        <v>1</v>
      </c>
      <c r="I784" s="16">
        <v>0.01</v>
      </c>
      <c r="J784" s="11">
        <v>57.05</v>
      </c>
      <c r="K784" s="16">
        <v>0.56999999999999995</v>
      </c>
    </row>
    <row r="785" spans="1:11" ht="14.5" x14ac:dyDescent="0.25">
      <c r="A785" s="10"/>
      <c r="B785" s="10"/>
      <c r="C785" s="10" t="s">
        <v>260</v>
      </c>
      <c r="D785" s="12" t="s">
        <v>261</v>
      </c>
      <c r="E785" s="11">
        <v>97</v>
      </c>
      <c r="F785" s="14"/>
      <c r="G785" s="13"/>
      <c r="H785" s="11"/>
      <c r="I785" s="14">
        <v>32.22</v>
      </c>
      <c r="J785" s="11">
        <v>97</v>
      </c>
      <c r="K785" s="14">
        <v>1838.34</v>
      </c>
    </row>
    <row r="786" spans="1:11" ht="14.5" x14ac:dyDescent="0.25">
      <c r="A786" s="10"/>
      <c r="B786" s="10"/>
      <c r="C786" s="10" t="s">
        <v>262</v>
      </c>
      <c r="D786" s="12" t="s">
        <v>261</v>
      </c>
      <c r="E786" s="11">
        <v>51</v>
      </c>
      <c r="F786" s="14"/>
      <c r="G786" s="13"/>
      <c r="H786" s="11"/>
      <c r="I786" s="14">
        <v>16.940000000000001</v>
      </c>
      <c r="J786" s="11">
        <v>51</v>
      </c>
      <c r="K786" s="14">
        <v>966.55</v>
      </c>
    </row>
    <row r="787" spans="1:11" ht="14.5" x14ac:dyDescent="0.25">
      <c r="A787" s="17"/>
      <c r="B787" s="17"/>
      <c r="C787" s="17" t="s">
        <v>263</v>
      </c>
      <c r="D787" s="18" t="s">
        <v>264</v>
      </c>
      <c r="E787" s="19">
        <v>12.38</v>
      </c>
      <c r="F787" s="20"/>
      <c r="G787" s="21" t="s">
        <v>13</v>
      </c>
      <c r="H787" s="19">
        <v>1</v>
      </c>
      <c r="I787" s="20">
        <v>2.97</v>
      </c>
      <c r="J787" s="19"/>
      <c r="K787" s="20"/>
    </row>
    <row r="788" spans="1:11" ht="14" x14ac:dyDescent="0.25">
      <c r="C788" s="22" t="s">
        <v>265</v>
      </c>
      <c r="H788" s="143">
        <v>82.47</v>
      </c>
      <c r="I788" s="143"/>
      <c r="J788" s="143">
        <v>4701.25</v>
      </c>
      <c r="K788" s="143"/>
    </row>
    <row r="789" spans="1:11" ht="14" x14ac:dyDescent="0.25">
      <c r="C789" s="22" t="s">
        <v>267</v>
      </c>
      <c r="H789" s="141">
        <v>82.47</v>
      </c>
      <c r="I789" s="141"/>
      <c r="J789" s="141">
        <v>4701.25</v>
      </c>
      <c r="K789" s="141"/>
    </row>
    <row r="791" spans="1:11" ht="69" x14ac:dyDescent="0.25">
      <c r="A791" s="17">
        <v>104</v>
      </c>
      <c r="B791" s="17" t="s">
        <v>409</v>
      </c>
      <c r="C791" s="17" t="s">
        <v>2110</v>
      </c>
      <c r="D791" s="18" t="s">
        <v>11</v>
      </c>
      <c r="E791" s="19">
        <v>20</v>
      </c>
      <c r="F791" s="20">
        <v>90.18</v>
      </c>
      <c r="G791" s="21" t="s">
        <v>1</v>
      </c>
      <c r="H791" s="19">
        <v>1</v>
      </c>
      <c r="I791" s="20">
        <v>1803.6</v>
      </c>
      <c r="J791" s="19">
        <v>10.18</v>
      </c>
      <c r="K791" s="20">
        <v>18360.650000000001</v>
      </c>
    </row>
    <row r="792" spans="1:11" ht="14" x14ac:dyDescent="0.25">
      <c r="C792" s="22" t="s">
        <v>267</v>
      </c>
      <c r="H792" s="143">
        <v>1803.6</v>
      </c>
      <c r="I792" s="143"/>
      <c r="J792" s="143">
        <v>18360.650000000001</v>
      </c>
      <c r="K792" s="143"/>
    </row>
    <row r="794" spans="1:11" ht="79" x14ac:dyDescent="0.25">
      <c r="A794" s="10">
        <v>105</v>
      </c>
      <c r="B794" s="10" t="s">
        <v>308</v>
      </c>
      <c r="C794" s="10" t="s">
        <v>195</v>
      </c>
      <c r="D794" s="12" t="s">
        <v>34</v>
      </c>
      <c r="E794" s="11">
        <v>0.6</v>
      </c>
      <c r="F794" s="14"/>
      <c r="G794" s="13"/>
      <c r="H794" s="11"/>
      <c r="I794" s="14"/>
      <c r="J794" s="11"/>
      <c r="K794" s="14"/>
    </row>
    <row r="795" spans="1:11" x14ac:dyDescent="0.25">
      <c r="C795" s="23" t="s">
        <v>378</v>
      </c>
    </row>
    <row r="796" spans="1:11" ht="14.5" x14ac:dyDescent="0.25">
      <c r="A796" s="10"/>
      <c r="B796" s="10"/>
      <c r="C796" s="10" t="s">
        <v>256</v>
      </c>
      <c r="D796" s="12"/>
      <c r="E796" s="11"/>
      <c r="F796" s="14">
        <v>138.38</v>
      </c>
      <c r="G796" s="15" t="s">
        <v>13</v>
      </c>
      <c r="H796" s="11">
        <v>1</v>
      </c>
      <c r="I796" s="14">
        <v>99.63</v>
      </c>
      <c r="J796" s="11">
        <v>57.05</v>
      </c>
      <c r="K796" s="14">
        <v>5683.89</v>
      </c>
    </row>
    <row r="797" spans="1:11" ht="14.5" x14ac:dyDescent="0.25">
      <c r="A797" s="10"/>
      <c r="B797" s="10"/>
      <c r="C797" s="10" t="s">
        <v>257</v>
      </c>
      <c r="D797" s="12"/>
      <c r="E797" s="11"/>
      <c r="F797" s="14">
        <v>0.42</v>
      </c>
      <c r="G797" s="15" t="s">
        <v>13</v>
      </c>
      <c r="H797" s="11">
        <v>1</v>
      </c>
      <c r="I797" s="14">
        <v>0.3</v>
      </c>
      <c r="J797" s="11">
        <v>17.260000000000002</v>
      </c>
      <c r="K797" s="14">
        <v>5.18</v>
      </c>
    </row>
    <row r="798" spans="1:11" ht="14.5" x14ac:dyDescent="0.25">
      <c r="A798" s="10"/>
      <c r="B798" s="10"/>
      <c r="C798" s="10" t="s">
        <v>258</v>
      </c>
      <c r="D798" s="12"/>
      <c r="E798" s="11"/>
      <c r="F798" s="14">
        <v>0.06</v>
      </c>
      <c r="G798" s="15" t="s">
        <v>13</v>
      </c>
      <c r="H798" s="11">
        <v>1</v>
      </c>
      <c r="I798" s="16">
        <v>0.04</v>
      </c>
      <c r="J798" s="11">
        <v>57.05</v>
      </c>
      <c r="K798" s="16">
        <v>2.2799999999999998</v>
      </c>
    </row>
    <row r="799" spans="1:11" ht="14.5" x14ac:dyDescent="0.25">
      <c r="A799" s="10"/>
      <c r="B799" s="10"/>
      <c r="C799" s="10" t="s">
        <v>260</v>
      </c>
      <c r="D799" s="12" t="s">
        <v>261</v>
      </c>
      <c r="E799" s="11">
        <v>97</v>
      </c>
      <c r="F799" s="14"/>
      <c r="G799" s="13"/>
      <c r="H799" s="11"/>
      <c r="I799" s="14">
        <v>96.68</v>
      </c>
      <c r="J799" s="11">
        <v>97</v>
      </c>
      <c r="K799" s="14">
        <v>5515.58</v>
      </c>
    </row>
    <row r="800" spans="1:11" ht="14.5" x14ac:dyDescent="0.25">
      <c r="A800" s="10"/>
      <c r="B800" s="10"/>
      <c r="C800" s="10" t="s">
        <v>262</v>
      </c>
      <c r="D800" s="12" t="s">
        <v>261</v>
      </c>
      <c r="E800" s="11">
        <v>51</v>
      </c>
      <c r="F800" s="14"/>
      <c r="G800" s="13"/>
      <c r="H800" s="11"/>
      <c r="I800" s="14">
        <v>50.83</v>
      </c>
      <c r="J800" s="11">
        <v>51</v>
      </c>
      <c r="K800" s="14">
        <v>2899.95</v>
      </c>
    </row>
    <row r="801" spans="1:11" ht="14.5" x14ac:dyDescent="0.25">
      <c r="A801" s="17"/>
      <c r="B801" s="17"/>
      <c r="C801" s="17" t="s">
        <v>263</v>
      </c>
      <c r="D801" s="18" t="s">
        <v>264</v>
      </c>
      <c r="E801" s="19">
        <v>12.38</v>
      </c>
      <c r="F801" s="20"/>
      <c r="G801" s="21" t="s">
        <v>13</v>
      </c>
      <c r="H801" s="19">
        <v>1</v>
      </c>
      <c r="I801" s="20">
        <v>8.91</v>
      </c>
      <c r="J801" s="19"/>
      <c r="K801" s="20"/>
    </row>
    <row r="802" spans="1:11" ht="14" x14ac:dyDescent="0.25">
      <c r="C802" s="22" t="s">
        <v>265</v>
      </c>
      <c r="H802" s="143">
        <v>247.44</v>
      </c>
      <c r="I802" s="143"/>
      <c r="J802" s="143">
        <v>14104.6</v>
      </c>
      <c r="K802" s="143"/>
    </row>
    <row r="803" spans="1:11" ht="14" x14ac:dyDescent="0.25">
      <c r="C803" s="22" t="s">
        <v>267</v>
      </c>
      <c r="H803" s="141">
        <v>247.44</v>
      </c>
      <c r="I803" s="141"/>
      <c r="J803" s="141">
        <v>14104.6</v>
      </c>
      <c r="K803" s="141"/>
    </row>
    <row r="805" spans="1:11" ht="55" x14ac:dyDescent="0.25">
      <c r="A805" s="17">
        <v>106</v>
      </c>
      <c r="B805" s="17" t="s">
        <v>409</v>
      </c>
      <c r="C805" s="17" t="s">
        <v>310</v>
      </c>
      <c r="D805" s="18" t="s">
        <v>11</v>
      </c>
      <c r="E805" s="19">
        <v>60</v>
      </c>
      <c r="F805" s="20">
        <v>326.54000000000002</v>
      </c>
      <c r="G805" s="21" t="s">
        <v>1</v>
      </c>
      <c r="H805" s="19">
        <v>1</v>
      </c>
      <c r="I805" s="20">
        <v>19592.400000000001</v>
      </c>
      <c r="J805" s="19">
        <v>10.18</v>
      </c>
      <c r="K805" s="20">
        <v>199450.63</v>
      </c>
    </row>
    <row r="806" spans="1:11" ht="14" x14ac:dyDescent="0.25">
      <c r="C806" s="22" t="s">
        <v>267</v>
      </c>
      <c r="H806" s="143">
        <v>19592.400000000001</v>
      </c>
      <c r="I806" s="143"/>
      <c r="J806" s="143">
        <v>199450.63</v>
      </c>
      <c r="K806" s="143"/>
    </row>
    <row r="808" spans="1:11" ht="79" x14ac:dyDescent="0.25">
      <c r="A808" s="10">
        <v>107</v>
      </c>
      <c r="B808" s="10" t="s">
        <v>308</v>
      </c>
      <c r="C808" s="10" t="s">
        <v>195</v>
      </c>
      <c r="D808" s="12" t="s">
        <v>34</v>
      </c>
      <c r="E808" s="11">
        <v>0.04</v>
      </c>
      <c r="F808" s="14"/>
      <c r="G808" s="13"/>
      <c r="H808" s="11"/>
      <c r="I808" s="14"/>
      <c r="J808" s="11"/>
      <c r="K808" s="14"/>
    </row>
    <row r="809" spans="1:11" x14ac:dyDescent="0.25">
      <c r="C809" s="23" t="s">
        <v>393</v>
      </c>
    </row>
    <row r="810" spans="1:11" ht="14.5" x14ac:dyDescent="0.25">
      <c r="A810" s="10"/>
      <c r="B810" s="10"/>
      <c r="C810" s="10" t="s">
        <v>256</v>
      </c>
      <c r="D810" s="12"/>
      <c r="E810" s="11"/>
      <c r="F810" s="14">
        <v>138.38</v>
      </c>
      <c r="G810" s="15" t="s">
        <v>13</v>
      </c>
      <c r="H810" s="11">
        <v>1</v>
      </c>
      <c r="I810" s="14">
        <v>6.64</v>
      </c>
      <c r="J810" s="11">
        <v>57.05</v>
      </c>
      <c r="K810" s="14">
        <v>378.81</v>
      </c>
    </row>
    <row r="811" spans="1:11" ht="14.5" x14ac:dyDescent="0.25">
      <c r="A811" s="10"/>
      <c r="B811" s="10"/>
      <c r="C811" s="10" t="s">
        <v>257</v>
      </c>
      <c r="D811" s="12"/>
      <c r="E811" s="11"/>
      <c r="F811" s="14">
        <v>0.42</v>
      </c>
      <c r="G811" s="15" t="s">
        <v>13</v>
      </c>
      <c r="H811" s="11">
        <v>1</v>
      </c>
      <c r="I811" s="14">
        <v>0.02</v>
      </c>
      <c r="J811" s="11">
        <v>17.260000000000002</v>
      </c>
      <c r="K811" s="14">
        <v>0.35</v>
      </c>
    </row>
    <row r="812" spans="1:11" ht="14.5" x14ac:dyDescent="0.25">
      <c r="A812" s="10"/>
      <c r="B812" s="10"/>
      <c r="C812" s="10" t="s">
        <v>260</v>
      </c>
      <c r="D812" s="12" t="s">
        <v>261</v>
      </c>
      <c r="E812" s="11">
        <v>97</v>
      </c>
      <c r="F812" s="14"/>
      <c r="G812" s="13"/>
      <c r="H812" s="11"/>
      <c r="I812" s="14">
        <v>6.44</v>
      </c>
      <c r="J812" s="11">
        <v>97</v>
      </c>
      <c r="K812" s="14">
        <v>367.45</v>
      </c>
    </row>
    <row r="813" spans="1:11" ht="14.5" x14ac:dyDescent="0.25">
      <c r="A813" s="10"/>
      <c r="B813" s="10"/>
      <c r="C813" s="10" t="s">
        <v>262</v>
      </c>
      <c r="D813" s="12" t="s">
        <v>261</v>
      </c>
      <c r="E813" s="11">
        <v>51</v>
      </c>
      <c r="F813" s="14"/>
      <c r="G813" s="13"/>
      <c r="H813" s="11"/>
      <c r="I813" s="14">
        <v>3.39</v>
      </c>
      <c r="J813" s="11">
        <v>51</v>
      </c>
      <c r="K813" s="14">
        <v>193.19</v>
      </c>
    </row>
    <row r="814" spans="1:11" ht="14.5" x14ac:dyDescent="0.25">
      <c r="A814" s="17"/>
      <c r="B814" s="17"/>
      <c r="C814" s="17" t="s">
        <v>263</v>
      </c>
      <c r="D814" s="18" t="s">
        <v>264</v>
      </c>
      <c r="E814" s="19">
        <v>12.38</v>
      </c>
      <c r="F814" s="20"/>
      <c r="G814" s="21" t="s">
        <v>13</v>
      </c>
      <c r="H814" s="19">
        <v>1</v>
      </c>
      <c r="I814" s="20">
        <v>0.59</v>
      </c>
      <c r="J814" s="19"/>
      <c r="K814" s="20"/>
    </row>
    <row r="815" spans="1:11" ht="14" x14ac:dyDescent="0.25">
      <c r="C815" s="22" t="s">
        <v>265</v>
      </c>
      <c r="H815" s="143">
        <v>16.489999999999998</v>
      </c>
      <c r="I815" s="143"/>
      <c r="J815" s="143">
        <v>939.8</v>
      </c>
      <c r="K815" s="143"/>
    </row>
    <row r="816" spans="1:11" ht="14" x14ac:dyDescent="0.25">
      <c r="C816" s="22" t="s">
        <v>267</v>
      </c>
      <c r="H816" s="141">
        <v>16.489999999999998</v>
      </c>
      <c r="I816" s="141"/>
      <c r="J816" s="141">
        <v>939.8</v>
      </c>
      <c r="K816" s="141"/>
    </row>
    <row r="818" spans="1:11" ht="41" x14ac:dyDescent="0.25">
      <c r="A818" s="17">
        <v>108</v>
      </c>
      <c r="B818" s="17" t="s">
        <v>409</v>
      </c>
      <c r="C818" s="17" t="s">
        <v>311</v>
      </c>
      <c r="D818" s="18" t="s">
        <v>11</v>
      </c>
      <c r="E818" s="19">
        <v>4</v>
      </c>
      <c r="F818" s="20">
        <v>26.83</v>
      </c>
      <c r="G818" s="21" t="s">
        <v>1</v>
      </c>
      <c r="H818" s="19">
        <v>1</v>
      </c>
      <c r="I818" s="20">
        <v>107.32</v>
      </c>
      <c r="J818" s="19">
        <v>10.18</v>
      </c>
      <c r="K818" s="20">
        <v>1092.52</v>
      </c>
    </row>
    <row r="819" spans="1:11" ht="14" x14ac:dyDescent="0.25">
      <c r="C819" s="22" t="s">
        <v>267</v>
      </c>
      <c r="H819" s="143">
        <v>107.32</v>
      </c>
      <c r="I819" s="143"/>
      <c r="J819" s="143">
        <v>1092.52</v>
      </c>
      <c r="K819" s="143"/>
    </row>
    <row r="821" spans="1:11" ht="79" x14ac:dyDescent="0.25">
      <c r="A821" s="10">
        <v>109</v>
      </c>
      <c r="B821" s="10" t="s">
        <v>308</v>
      </c>
      <c r="C821" s="10" t="s">
        <v>195</v>
      </c>
      <c r="D821" s="12" t="s">
        <v>34</v>
      </c>
      <c r="E821" s="11">
        <v>0.04</v>
      </c>
      <c r="F821" s="14"/>
      <c r="G821" s="13"/>
      <c r="H821" s="11"/>
      <c r="I821" s="14"/>
      <c r="J821" s="11"/>
      <c r="K821" s="14"/>
    </row>
    <row r="822" spans="1:11" x14ac:dyDescent="0.25">
      <c r="C822" s="23" t="s">
        <v>393</v>
      </c>
    </row>
    <row r="823" spans="1:11" ht="14.5" x14ac:dyDescent="0.25">
      <c r="A823" s="10"/>
      <c r="B823" s="10"/>
      <c r="C823" s="10" t="s">
        <v>256</v>
      </c>
      <c r="D823" s="12"/>
      <c r="E823" s="11"/>
      <c r="F823" s="14">
        <v>138.38</v>
      </c>
      <c r="G823" s="15" t="s">
        <v>13</v>
      </c>
      <c r="H823" s="11">
        <v>1</v>
      </c>
      <c r="I823" s="14">
        <v>6.64</v>
      </c>
      <c r="J823" s="11">
        <v>57.05</v>
      </c>
      <c r="K823" s="14">
        <v>378.81</v>
      </c>
    </row>
    <row r="824" spans="1:11" ht="14.5" x14ac:dyDescent="0.25">
      <c r="A824" s="10"/>
      <c r="B824" s="10"/>
      <c r="C824" s="10" t="s">
        <v>257</v>
      </c>
      <c r="D824" s="12"/>
      <c r="E824" s="11"/>
      <c r="F824" s="14">
        <v>0.42</v>
      </c>
      <c r="G824" s="15" t="s">
        <v>13</v>
      </c>
      <c r="H824" s="11">
        <v>1</v>
      </c>
      <c r="I824" s="14">
        <v>0.02</v>
      </c>
      <c r="J824" s="11">
        <v>17.260000000000002</v>
      </c>
      <c r="K824" s="14">
        <v>0.35</v>
      </c>
    </row>
    <row r="825" spans="1:11" ht="14.5" x14ac:dyDescent="0.25">
      <c r="A825" s="10"/>
      <c r="B825" s="10"/>
      <c r="C825" s="10" t="s">
        <v>260</v>
      </c>
      <c r="D825" s="12" t="s">
        <v>261</v>
      </c>
      <c r="E825" s="11">
        <v>97</v>
      </c>
      <c r="F825" s="14"/>
      <c r="G825" s="13"/>
      <c r="H825" s="11"/>
      <c r="I825" s="14">
        <v>6.44</v>
      </c>
      <c r="J825" s="11">
        <v>97</v>
      </c>
      <c r="K825" s="14">
        <v>367.45</v>
      </c>
    </row>
    <row r="826" spans="1:11" ht="14.5" x14ac:dyDescent="0.25">
      <c r="A826" s="10"/>
      <c r="B826" s="10"/>
      <c r="C826" s="10" t="s">
        <v>262</v>
      </c>
      <c r="D826" s="12" t="s">
        <v>261</v>
      </c>
      <c r="E826" s="11">
        <v>51</v>
      </c>
      <c r="F826" s="14"/>
      <c r="G826" s="13"/>
      <c r="H826" s="11"/>
      <c r="I826" s="14">
        <v>3.39</v>
      </c>
      <c r="J826" s="11">
        <v>51</v>
      </c>
      <c r="K826" s="14">
        <v>193.19</v>
      </c>
    </row>
    <row r="827" spans="1:11" ht="14.5" x14ac:dyDescent="0.25">
      <c r="A827" s="17"/>
      <c r="B827" s="17"/>
      <c r="C827" s="17" t="s">
        <v>263</v>
      </c>
      <c r="D827" s="18" t="s">
        <v>264</v>
      </c>
      <c r="E827" s="19">
        <v>12.38</v>
      </c>
      <c r="F827" s="20"/>
      <c r="G827" s="21" t="s">
        <v>13</v>
      </c>
      <c r="H827" s="19">
        <v>1</v>
      </c>
      <c r="I827" s="20">
        <v>0.59</v>
      </c>
      <c r="J827" s="19"/>
      <c r="K827" s="20"/>
    </row>
    <row r="828" spans="1:11" ht="14" x14ac:dyDescent="0.25">
      <c r="C828" s="22" t="s">
        <v>265</v>
      </c>
      <c r="H828" s="143">
        <v>16.489999999999998</v>
      </c>
      <c r="I828" s="143"/>
      <c r="J828" s="143">
        <v>939.8</v>
      </c>
      <c r="K828" s="143"/>
    </row>
    <row r="829" spans="1:11" ht="14" x14ac:dyDescent="0.25">
      <c r="C829" s="22" t="s">
        <v>267</v>
      </c>
      <c r="H829" s="141">
        <v>16.489999999999998</v>
      </c>
      <c r="I829" s="141"/>
      <c r="J829" s="141">
        <v>939.8</v>
      </c>
      <c r="K829" s="141"/>
    </row>
    <row r="831" spans="1:11" ht="27" x14ac:dyDescent="0.25">
      <c r="A831" s="17">
        <v>110</v>
      </c>
      <c r="B831" s="17" t="s">
        <v>409</v>
      </c>
      <c r="C831" s="17" t="s">
        <v>312</v>
      </c>
      <c r="D831" s="18" t="s">
        <v>11</v>
      </c>
      <c r="E831" s="19">
        <v>4</v>
      </c>
      <c r="F831" s="20">
        <v>32.36</v>
      </c>
      <c r="G831" s="21" t="s">
        <v>1</v>
      </c>
      <c r="H831" s="19">
        <v>1</v>
      </c>
      <c r="I831" s="20">
        <v>129.44</v>
      </c>
      <c r="J831" s="19">
        <v>10.18</v>
      </c>
      <c r="K831" s="20">
        <v>1317.7</v>
      </c>
    </row>
    <row r="832" spans="1:11" ht="14" x14ac:dyDescent="0.25">
      <c r="C832" s="22" t="s">
        <v>267</v>
      </c>
      <c r="H832" s="143">
        <v>129.44</v>
      </c>
      <c r="I832" s="143"/>
      <c r="J832" s="143">
        <v>1317.7</v>
      </c>
      <c r="K832" s="143"/>
    </row>
    <row r="834" spans="1:11" ht="42" x14ac:dyDescent="0.25">
      <c r="A834" s="17">
        <v>111</v>
      </c>
      <c r="B834" s="17" t="s">
        <v>196</v>
      </c>
      <c r="C834" s="17" t="s">
        <v>197</v>
      </c>
      <c r="D834" s="18" t="s">
        <v>38</v>
      </c>
      <c r="E834" s="19">
        <v>61</v>
      </c>
      <c r="F834" s="20">
        <v>1.06</v>
      </c>
      <c r="G834" s="21" t="s">
        <v>1</v>
      </c>
      <c r="H834" s="19">
        <v>1</v>
      </c>
      <c r="I834" s="20">
        <v>64.66</v>
      </c>
      <c r="J834" s="19">
        <v>5.97</v>
      </c>
      <c r="K834" s="20">
        <v>386.02</v>
      </c>
    </row>
    <row r="835" spans="1:11" ht="14" x14ac:dyDescent="0.25">
      <c r="C835" s="22" t="s">
        <v>267</v>
      </c>
      <c r="H835" s="143">
        <v>64.66</v>
      </c>
      <c r="I835" s="143"/>
      <c r="J835" s="143">
        <v>386.02</v>
      </c>
      <c r="K835" s="143"/>
    </row>
    <row r="837" spans="1:11" ht="27" x14ac:dyDescent="0.25">
      <c r="A837" s="17">
        <v>112</v>
      </c>
      <c r="B837" s="17" t="s">
        <v>409</v>
      </c>
      <c r="C837" s="17" t="s">
        <v>313</v>
      </c>
      <c r="D837" s="18" t="s">
        <v>11</v>
      </c>
      <c r="E837" s="19">
        <v>140</v>
      </c>
      <c r="F837" s="20">
        <v>17.239999999999998</v>
      </c>
      <c r="G837" s="21" t="s">
        <v>1</v>
      </c>
      <c r="H837" s="19">
        <v>1</v>
      </c>
      <c r="I837" s="20">
        <v>2413.6</v>
      </c>
      <c r="J837" s="19">
        <v>10.18</v>
      </c>
      <c r="K837" s="20">
        <v>24570.45</v>
      </c>
    </row>
    <row r="838" spans="1:11" ht="14" x14ac:dyDescent="0.25">
      <c r="C838" s="22" t="s">
        <v>267</v>
      </c>
      <c r="H838" s="143">
        <v>2413.6</v>
      </c>
      <c r="I838" s="143"/>
      <c r="J838" s="143">
        <v>24570.45</v>
      </c>
      <c r="K838" s="143"/>
    </row>
    <row r="840" spans="1:11" ht="79" x14ac:dyDescent="0.25">
      <c r="A840" s="10">
        <v>113</v>
      </c>
      <c r="B840" s="10" t="s">
        <v>314</v>
      </c>
      <c r="C840" s="10" t="s">
        <v>198</v>
      </c>
      <c r="D840" s="12" t="s">
        <v>34</v>
      </c>
      <c r="E840" s="11">
        <v>1.2</v>
      </c>
      <c r="F840" s="14"/>
      <c r="G840" s="13"/>
      <c r="H840" s="11"/>
      <c r="I840" s="14"/>
      <c r="J840" s="11"/>
      <c r="K840" s="14"/>
    </row>
    <row r="841" spans="1:11" x14ac:dyDescent="0.25">
      <c r="C841" s="23" t="s">
        <v>377</v>
      </c>
    </row>
    <row r="842" spans="1:11" ht="14.5" x14ac:dyDescent="0.25">
      <c r="A842" s="10"/>
      <c r="B842" s="10"/>
      <c r="C842" s="10" t="s">
        <v>256</v>
      </c>
      <c r="D842" s="12"/>
      <c r="E842" s="11"/>
      <c r="F842" s="14">
        <v>79.099999999999994</v>
      </c>
      <c r="G842" s="15" t="s">
        <v>13</v>
      </c>
      <c r="H842" s="11">
        <v>1</v>
      </c>
      <c r="I842" s="14">
        <v>113.9</v>
      </c>
      <c r="J842" s="11">
        <v>57.05</v>
      </c>
      <c r="K842" s="14">
        <v>6498</v>
      </c>
    </row>
    <row r="843" spans="1:11" ht="14.5" x14ac:dyDescent="0.25">
      <c r="A843" s="10"/>
      <c r="B843" s="10"/>
      <c r="C843" s="10" t="s">
        <v>257</v>
      </c>
      <c r="D843" s="12"/>
      <c r="E843" s="11"/>
      <c r="F843" s="14">
        <v>1.47</v>
      </c>
      <c r="G843" s="15" t="s">
        <v>13</v>
      </c>
      <c r="H843" s="11">
        <v>1</v>
      </c>
      <c r="I843" s="14">
        <v>2.12</v>
      </c>
      <c r="J843" s="11">
        <v>14.32</v>
      </c>
      <c r="K843" s="14">
        <v>30.36</v>
      </c>
    </row>
    <row r="844" spans="1:11" ht="14.5" x14ac:dyDescent="0.25">
      <c r="A844" s="10"/>
      <c r="B844" s="10"/>
      <c r="C844" s="10" t="s">
        <v>258</v>
      </c>
      <c r="D844" s="12"/>
      <c r="E844" s="11"/>
      <c r="F844" s="14">
        <v>0.06</v>
      </c>
      <c r="G844" s="15" t="s">
        <v>13</v>
      </c>
      <c r="H844" s="11">
        <v>1</v>
      </c>
      <c r="I844" s="16">
        <v>0.09</v>
      </c>
      <c r="J844" s="11">
        <v>57.05</v>
      </c>
      <c r="K844" s="16">
        <v>5.13</v>
      </c>
    </row>
    <row r="845" spans="1:11" ht="14.5" x14ac:dyDescent="0.25">
      <c r="A845" s="10"/>
      <c r="B845" s="10"/>
      <c r="C845" s="10" t="s">
        <v>260</v>
      </c>
      <c r="D845" s="12" t="s">
        <v>261</v>
      </c>
      <c r="E845" s="11">
        <v>97</v>
      </c>
      <c r="F845" s="14"/>
      <c r="G845" s="13"/>
      <c r="H845" s="11"/>
      <c r="I845" s="14">
        <v>110.57</v>
      </c>
      <c r="J845" s="11">
        <v>97</v>
      </c>
      <c r="K845" s="14">
        <v>6308.04</v>
      </c>
    </row>
    <row r="846" spans="1:11" ht="14.5" x14ac:dyDescent="0.25">
      <c r="A846" s="10"/>
      <c r="B846" s="10"/>
      <c r="C846" s="10" t="s">
        <v>262</v>
      </c>
      <c r="D846" s="12" t="s">
        <v>261</v>
      </c>
      <c r="E846" s="11">
        <v>51</v>
      </c>
      <c r="F846" s="14"/>
      <c r="G846" s="13"/>
      <c r="H846" s="11"/>
      <c r="I846" s="14">
        <v>58.13</v>
      </c>
      <c r="J846" s="11">
        <v>51</v>
      </c>
      <c r="K846" s="14">
        <v>3316.6</v>
      </c>
    </row>
    <row r="847" spans="1:11" ht="14.5" x14ac:dyDescent="0.25">
      <c r="A847" s="17"/>
      <c r="B847" s="17"/>
      <c r="C847" s="17" t="s">
        <v>263</v>
      </c>
      <c r="D847" s="18" t="s">
        <v>264</v>
      </c>
      <c r="E847" s="19">
        <v>7.08</v>
      </c>
      <c r="F847" s="20"/>
      <c r="G847" s="21" t="s">
        <v>13</v>
      </c>
      <c r="H847" s="19">
        <v>1</v>
      </c>
      <c r="I847" s="20">
        <v>10.199999999999999</v>
      </c>
      <c r="J847" s="19"/>
      <c r="K847" s="20"/>
    </row>
    <row r="848" spans="1:11" ht="14" x14ac:dyDescent="0.25">
      <c r="C848" s="22" t="s">
        <v>265</v>
      </c>
      <c r="H848" s="143">
        <v>284.72000000000003</v>
      </c>
      <c r="I848" s="143"/>
      <c r="J848" s="143">
        <v>16153</v>
      </c>
      <c r="K848" s="143"/>
    </row>
    <row r="849" spans="1:11" ht="14" x14ac:dyDescent="0.25">
      <c r="C849" s="22" t="s">
        <v>267</v>
      </c>
      <c r="H849" s="141">
        <v>284.72000000000003</v>
      </c>
      <c r="I849" s="141"/>
      <c r="J849" s="141">
        <v>16153</v>
      </c>
      <c r="K849" s="141"/>
    </row>
    <row r="851" spans="1:11" ht="70" x14ac:dyDescent="0.25">
      <c r="A851" s="17">
        <v>114</v>
      </c>
      <c r="B851" s="17" t="s">
        <v>199</v>
      </c>
      <c r="C851" s="17" t="s">
        <v>200</v>
      </c>
      <c r="D851" s="18" t="s">
        <v>38</v>
      </c>
      <c r="E851" s="19">
        <v>120</v>
      </c>
      <c r="F851" s="20">
        <v>15.27</v>
      </c>
      <c r="G851" s="21" t="s">
        <v>1</v>
      </c>
      <c r="H851" s="19">
        <v>1</v>
      </c>
      <c r="I851" s="20">
        <v>1832.4</v>
      </c>
      <c r="J851" s="19">
        <v>9.86</v>
      </c>
      <c r="K851" s="20">
        <v>18067.46</v>
      </c>
    </row>
    <row r="852" spans="1:11" ht="14" x14ac:dyDescent="0.25">
      <c r="C852" s="22" t="s">
        <v>267</v>
      </c>
      <c r="H852" s="143">
        <v>1832.4</v>
      </c>
      <c r="I852" s="143"/>
      <c r="J852" s="143">
        <v>18067.46</v>
      </c>
      <c r="K852" s="143"/>
    </row>
    <row r="854" spans="1:11" ht="56" x14ac:dyDescent="0.25">
      <c r="A854" s="17">
        <v>115</v>
      </c>
      <c r="B854" s="17" t="s">
        <v>201</v>
      </c>
      <c r="C854" s="17" t="s">
        <v>202</v>
      </c>
      <c r="D854" s="18" t="s">
        <v>38</v>
      </c>
      <c r="E854" s="19">
        <v>800</v>
      </c>
      <c r="F854" s="20">
        <v>10.01</v>
      </c>
      <c r="G854" s="21" t="s">
        <v>1</v>
      </c>
      <c r="H854" s="19">
        <v>1</v>
      </c>
      <c r="I854" s="20">
        <v>8008</v>
      </c>
      <c r="J854" s="19">
        <v>3.91</v>
      </c>
      <c r="K854" s="20">
        <v>31311.279999999999</v>
      </c>
    </row>
    <row r="855" spans="1:11" ht="14" x14ac:dyDescent="0.25">
      <c r="C855" s="22" t="s">
        <v>267</v>
      </c>
      <c r="H855" s="143">
        <v>8008</v>
      </c>
      <c r="I855" s="143"/>
      <c r="J855" s="143">
        <v>31311.279999999999</v>
      </c>
      <c r="K855" s="143"/>
    </row>
    <row r="857" spans="1:11" ht="42" x14ac:dyDescent="0.25">
      <c r="A857" s="17">
        <v>116</v>
      </c>
      <c r="B857" s="17" t="s">
        <v>203</v>
      </c>
      <c r="C857" s="17" t="s">
        <v>204</v>
      </c>
      <c r="D857" s="18" t="s">
        <v>38</v>
      </c>
      <c r="E857" s="19">
        <v>50</v>
      </c>
      <c r="F857" s="20">
        <v>34.520000000000003</v>
      </c>
      <c r="G857" s="21" t="s">
        <v>1</v>
      </c>
      <c r="H857" s="19">
        <v>1</v>
      </c>
      <c r="I857" s="20">
        <v>1726</v>
      </c>
      <c r="J857" s="19">
        <v>6.22</v>
      </c>
      <c r="K857" s="20">
        <v>10735.72</v>
      </c>
    </row>
    <row r="858" spans="1:11" ht="14" x14ac:dyDescent="0.25">
      <c r="C858" s="22" t="s">
        <v>267</v>
      </c>
      <c r="H858" s="143">
        <v>1726</v>
      </c>
      <c r="I858" s="143"/>
      <c r="J858" s="143">
        <v>10735.72</v>
      </c>
      <c r="K858" s="143"/>
    </row>
    <row r="860" spans="1:11" ht="70" x14ac:dyDescent="0.25">
      <c r="A860" s="17">
        <v>117</v>
      </c>
      <c r="B860" s="17" t="s">
        <v>205</v>
      </c>
      <c r="C860" s="17" t="s">
        <v>206</v>
      </c>
      <c r="D860" s="18" t="s">
        <v>38</v>
      </c>
      <c r="E860" s="19">
        <v>100</v>
      </c>
      <c r="F860" s="20">
        <v>16.260000000000002</v>
      </c>
      <c r="G860" s="21" t="s">
        <v>1</v>
      </c>
      <c r="H860" s="19">
        <v>1</v>
      </c>
      <c r="I860" s="20">
        <v>1626</v>
      </c>
      <c r="J860" s="19">
        <v>5.24</v>
      </c>
      <c r="K860" s="20">
        <v>8520.24</v>
      </c>
    </row>
    <row r="861" spans="1:11" ht="14" x14ac:dyDescent="0.25">
      <c r="C861" s="22" t="s">
        <v>267</v>
      </c>
      <c r="H861" s="143">
        <v>1626</v>
      </c>
      <c r="I861" s="143"/>
      <c r="J861" s="143">
        <v>8520.24</v>
      </c>
      <c r="K861" s="143"/>
    </row>
    <row r="863" spans="1:11" ht="54" x14ac:dyDescent="0.25">
      <c r="A863" s="17">
        <v>118</v>
      </c>
      <c r="B863" s="17" t="s">
        <v>409</v>
      </c>
      <c r="C863" s="17" t="s">
        <v>315</v>
      </c>
      <c r="D863" s="18" t="s">
        <v>11</v>
      </c>
      <c r="E863" s="19">
        <v>8</v>
      </c>
      <c r="F863" s="20">
        <v>257.48</v>
      </c>
      <c r="G863" s="21" t="s">
        <v>1</v>
      </c>
      <c r="H863" s="19">
        <v>1</v>
      </c>
      <c r="I863" s="20">
        <v>2059.84</v>
      </c>
      <c r="J863" s="19">
        <v>10.18</v>
      </c>
      <c r="K863" s="20">
        <v>20969.169999999998</v>
      </c>
    </row>
    <row r="864" spans="1:11" ht="14" x14ac:dyDescent="0.25">
      <c r="C864" s="22" t="s">
        <v>267</v>
      </c>
      <c r="H864" s="143">
        <v>2059.84</v>
      </c>
      <c r="I864" s="143"/>
      <c r="J864" s="143">
        <v>20969.169999999998</v>
      </c>
      <c r="K864" s="143"/>
    </row>
    <row r="866" spans="1:11" ht="56" x14ac:dyDescent="0.25">
      <c r="A866" s="17">
        <v>119</v>
      </c>
      <c r="B866" s="17" t="s">
        <v>201</v>
      </c>
      <c r="C866" s="17" t="s">
        <v>202</v>
      </c>
      <c r="D866" s="18" t="s">
        <v>38</v>
      </c>
      <c r="E866" s="19">
        <v>1</v>
      </c>
      <c r="F866" s="20">
        <v>10.01</v>
      </c>
      <c r="G866" s="21" t="s">
        <v>1</v>
      </c>
      <c r="H866" s="19">
        <v>1</v>
      </c>
      <c r="I866" s="20">
        <v>10.01</v>
      </c>
      <c r="J866" s="19">
        <v>3.91</v>
      </c>
      <c r="K866" s="20">
        <v>39.14</v>
      </c>
    </row>
    <row r="867" spans="1:11" ht="14" x14ac:dyDescent="0.25">
      <c r="C867" s="22" t="s">
        <v>267</v>
      </c>
      <c r="H867" s="143">
        <v>10.01</v>
      </c>
      <c r="I867" s="143"/>
      <c r="J867" s="143">
        <v>39.14</v>
      </c>
      <c r="K867" s="143"/>
    </row>
    <row r="869" spans="1:11" ht="79" x14ac:dyDescent="0.25">
      <c r="A869" s="10">
        <v>120</v>
      </c>
      <c r="B869" s="10" t="s">
        <v>316</v>
      </c>
      <c r="C869" s="10" t="s">
        <v>207</v>
      </c>
      <c r="D869" s="12" t="s">
        <v>208</v>
      </c>
      <c r="E869" s="11">
        <v>50</v>
      </c>
      <c r="F869" s="14"/>
      <c r="G869" s="13"/>
      <c r="H869" s="11"/>
      <c r="I869" s="14"/>
      <c r="J869" s="11"/>
      <c r="K869" s="14"/>
    </row>
    <row r="870" spans="1:11" ht="14.5" x14ac:dyDescent="0.25">
      <c r="A870" s="10"/>
      <c r="B870" s="10"/>
      <c r="C870" s="10" t="s">
        <v>256</v>
      </c>
      <c r="D870" s="12"/>
      <c r="E870" s="11"/>
      <c r="F870" s="14">
        <v>5.79</v>
      </c>
      <c r="G870" s="15" t="s">
        <v>13</v>
      </c>
      <c r="H870" s="11">
        <v>1</v>
      </c>
      <c r="I870" s="14">
        <v>347.4</v>
      </c>
      <c r="J870" s="11">
        <v>57.05</v>
      </c>
      <c r="K870" s="14">
        <v>19819.169999999998</v>
      </c>
    </row>
    <row r="871" spans="1:11" ht="14.5" x14ac:dyDescent="0.25">
      <c r="A871" s="10"/>
      <c r="B871" s="10"/>
      <c r="C871" s="10" t="s">
        <v>259</v>
      </c>
      <c r="D871" s="12"/>
      <c r="E871" s="11"/>
      <c r="F871" s="14">
        <v>59.19</v>
      </c>
      <c r="G871" s="15" t="s">
        <v>1</v>
      </c>
      <c r="H871" s="11">
        <v>1</v>
      </c>
      <c r="I871" s="14">
        <v>2959.5</v>
      </c>
      <c r="J871" s="11">
        <v>8.2799999999999994</v>
      </c>
      <c r="K871" s="14">
        <v>24504.66</v>
      </c>
    </row>
    <row r="872" spans="1:11" ht="14.5" x14ac:dyDescent="0.25">
      <c r="A872" s="10"/>
      <c r="B872" s="10"/>
      <c r="C872" s="10" t="s">
        <v>260</v>
      </c>
      <c r="D872" s="12" t="s">
        <v>261</v>
      </c>
      <c r="E872" s="11">
        <v>97</v>
      </c>
      <c r="F872" s="14"/>
      <c r="G872" s="13"/>
      <c r="H872" s="11"/>
      <c r="I872" s="14">
        <v>336.98</v>
      </c>
      <c r="J872" s="11">
        <v>97</v>
      </c>
      <c r="K872" s="14">
        <v>19224.59</v>
      </c>
    </row>
    <row r="873" spans="1:11" ht="14.5" x14ac:dyDescent="0.25">
      <c r="A873" s="10"/>
      <c r="B873" s="10"/>
      <c r="C873" s="10" t="s">
        <v>262</v>
      </c>
      <c r="D873" s="12" t="s">
        <v>261</v>
      </c>
      <c r="E873" s="11">
        <v>51</v>
      </c>
      <c r="F873" s="14"/>
      <c r="G873" s="13"/>
      <c r="H873" s="11"/>
      <c r="I873" s="14">
        <v>177.17</v>
      </c>
      <c r="J873" s="11">
        <v>51</v>
      </c>
      <c r="K873" s="14">
        <v>10107.780000000001</v>
      </c>
    </row>
    <row r="874" spans="1:11" ht="14.5" x14ac:dyDescent="0.25">
      <c r="A874" s="17"/>
      <c r="B874" s="17"/>
      <c r="C874" s="17" t="s">
        <v>263</v>
      </c>
      <c r="D874" s="18" t="s">
        <v>264</v>
      </c>
      <c r="E874" s="19">
        <v>0.47</v>
      </c>
      <c r="F874" s="20"/>
      <c r="G874" s="21" t="s">
        <v>13</v>
      </c>
      <c r="H874" s="19">
        <v>1</v>
      </c>
      <c r="I874" s="20">
        <v>28.2</v>
      </c>
      <c r="J874" s="19"/>
      <c r="K874" s="20"/>
    </row>
    <row r="875" spans="1:11" ht="14" x14ac:dyDescent="0.25">
      <c r="C875" s="22" t="s">
        <v>265</v>
      </c>
      <c r="H875" s="143">
        <v>3821.05</v>
      </c>
      <c r="I875" s="143"/>
      <c r="J875" s="143">
        <v>73656.2</v>
      </c>
      <c r="K875" s="143"/>
    </row>
    <row r="876" spans="1:11" ht="14" x14ac:dyDescent="0.25">
      <c r="C876" s="22" t="s">
        <v>267</v>
      </c>
      <c r="H876" s="141">
        <v>3821.05</v>
      </c>
      <c r="I876" s="141"/>
      <c r="J876" s="141">
        <v>73656.2</v>
      </c>
      <c r="K876" s="141"/>
    </row>
    <row r="879" spans="1:11" ht="14" x14ac:dyDescent="0.3">
      <c r="A879" s="140" t="s">
        <v>394</v>
      </c>
      <c r="B879" s="140"/>
      <c r="C879" s="140"/>
      <c r="D879" s="140"/>
      <c r="E879" s="140"/>
      <c r="F879" s="140"/>
      <c r="G879" s="140"/>
      <c r="H879" s="141">
        <v>48130.52</v>
      </c>
      <c r="I879" s="142"/>
      <c r="J879" s="141">
        <v>517147.61</v>
      </c>
      <c r="K879" s="142"/>
    </row>
    <row r="881" spans="1:11" ht="16.5" x14ac:dyDescent="0.25">
      <c r="A881" s="144" t="s">
        <v>395</v>
      </c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</row>
    <row r="882" spans="1:11" ht="144" x14ac:dyDescent="0.25">
      <c r="A882" s="10">
        <v>121</v>
      </c>
      <c r="B882" s="10" t="s">
        <v>276</v>
      </c>
      <c r="C882" s="10" t="s">
        <v>49</v>
      </c>
      <c r="D882" s="12" t="s">
        <v>50</v>
      </c>
      <c r="E882" s="11">
        <v>0.6</v>
      </c>
      <c r="F882" s="14"/>
      <c r="G882" s="13"/>
      <c r="H882" s="11"/>
      <c r="I882" s="14"/>
      <c r="J882" s="11"/>
      <c r="K882" s="14"/>
    </row>
    <row r="883" spans="1:11" x14ac:dyDescent="0.25">
      <c r="C883" s="23" t="s">
        <v>378</v>
      </c>
    </row>
    <row r="884" spans="1:11" ht="14.5" x14ac:dyDescent="0.25">
      <c r="A884" s="10"/>
      <c r="B884" s="10"/>
      <c r="C884" s="10" t="s">
        <v>256</v>
      </c>
      <c r="D884" s="12"/>
      <c r="E884" s="11"/>
      <c r="F884" s="14">
        <v>64.48</v>
      </c>
      <c r="G884" s="15" t="s">
        <v>277</v>
      </c>
      <c r="H884" s="11">
        <v>1</v>
      </c>
      <c r="I884" s="14">
        <v>53.39</v>
      </c>
      <c r="J884" s="11">
        <v>57.05</v>
      </c>
      <c r="K884" s="14">
        <v>3045.9</v>
      </c>
    </row>
    <row r="885" spans="1:11" ht="14.5" x14ac:dyDescent="0.25">
      <c r="A885" s="10"/>
      <c r="B885" s="10"/>
      <c r="C885" s="10" t="s">
        <v>257</v>
      </c>
      <c r="D885" s="12"/>
      <c r="E885" s="11"/>
      <c r="F885" s="14">
        <v>2.2000000000000002</v>
      </c>
      <c r="G885" s="15" t="s">
        <v>278</v>
      </c>
      <c r="H885" s="11">
        <v>1</v>
      </c>
      <c r="I885" s="14">
        <v>1.98</v>
      </c>
      <c r="J885" s="11">
        <v>23.28</v>
      </c>
      <c r="K885" s="14">
        <v>46.09</v>
      </c>
    </row>
    <row r="886" spans="1:11" ht="14.5" x14ac:dyDescent="0.25">
      <c r="A886" s="10"/>
      <c r="B886" s="10"/>
      <c r="C886" s="10" t="s">
        <v>258</v>
      </c>
      <c r="D886" s="12"/>
      <c r="E886" s="11"/>
      <c r="F886" s="14">
        <v>0.63</v>
      </c>
      <c r="G886" s="15" t="s">
        <v>278</v>
      </c>
      <c r="H886" s="11">
        <v>1</v>
      </c>
      <c r="I886" s="16">
        <v>0.56999999999999995</v>
      </c>
      <c r="J886" s="11">
        <v>57.05</v>
      </c>
      <c r="K886" s="16">
        <v>32.520000000000003</v>
      </c>
    </row>
    <row r="887" spans="1:11" ht="14.5" x14ac:dyDescent="0.25">
      <c r="A887" s="10"/>
      <c r="B887" s="10"/>
      <c r="C887" s="10" t="s">
        <v>259</v>
      </c>
      <c r="D887" s="12"/>
      <c r="E887" s="11"/>
      <c r="F887" s="14">
        <v>14.13</v>
      </c>
      <c r="G887" s="15" t="s">
        <v>1</v>
      </c>
      <c r="H887" s="11">
        <v>1</v>
      </c>
      <c r="I887" s="14">
        <v>8.48</v>
      </c>
      <c r="J887" s="11">
        <v>9.3699999999999992</v>
      </c>
      <c r="K887" s="14">
        <v>79.459999999999994</v>
      </c>
    </row>
    <row r="888" spans="1:11" ht="28" x14ac:dyDescent="0.25">
      <c r="A888" s="10" t="s">
        <v>209</v>
      </c>
      <c r="B888" s="10" t="s">
        <v>2111</v>
      </c>
      <c r="C888" s="10" t="s">
        <v>210</v>
      </c>
      <c r="D888" s="12" t="s">
        <v>52</v>
      </c>
      <c r="E888" s="11">
        <v>0.25452000000000002</v>
      </c>
      <c r="F888" s="14">
        <v>2.35</v>
      </c>
      <c r="G888" s="15" t="s">
        <v>1</v>
      </c>
      <c r="H888" s="11">
        <v>1</v>
      </c>
      <c r="I888" s="14">
        <v>0.6</v>
      </c>
      <c r="J888" s="11">
        <v>14.91</v>
      </c>
      <c r="K888" s="14">
        <v>8.9499999999999993</v>
      </c>
    </row>
    <row r="889" spans="1:11" ht="14.5" x14ac:dyDescent="0.25">
      <c r="A889" s="10"/>
      <c r="B889" s="10"/>
      <c r="C889" s="10" t="s">
        <v>260</v>
      </c>
      <c r="D889" s="12" t="s">
        <v>261</v>
      </c>
      <c r="E889" s="11">
        <v>109</v>
      </c>
      <c r="F889" s="14"/>
      <c r="G889" s="13"/>
      <c r="H889" s="11"/>
      <c r="I889" s="14">
        <v>58.82</v>
      </c>
      <c r="J889" s="11">
        <v>109</v>
      </c>
      <c r="K889" s="14">
        <v>3355.48</v>
      </c>
    </row>
    <row r="890" spans="1:11" ht="14.5" x14ac:dyDescent="0.25">
      <c r="A890" s="10"/>
      <c r="B890" s="10"/>
      <c r="C890" s="10" t="s">
        <v>262</v>
      </c>
      <c r="D890" s="12" t="s">
        <v>261</v>
      </c>
      <c r="E890" s="11">
        <v>57</v>
      </c>
      <c r="F890" s="14"/>
      <c r="G890" s="13"/>
      <c r="H890" s="11"/>
      <c r="I890" s="14">
        <v>30.76</v>
      </c>
      <c r="J890" s="11">
        <v>57</v>
      </c>
      <c r="K890" s="14">
        <v>1754.7</v>
      </c>
    </row>
    <row r="891" spans="1:11" ht="14.5" x14ac:dyDescent="0.25">
      <c r="A891" s="17"/>
      <c r="B891" s="17"/>
      <c r="C891" s="17" t="s">
        <v>263</v>
      </c>
      <c r="D891" s="18" t="s">
        <v>264</v>
      </c>
      <c r="E891" s="19">
        <v>5.1100000000000003</v>
      </c>
      <c r="F891" s="20"/>
      <c r="G891" s="21" t="s">
        <v>277</v>
      </c>
      <c r="H891" s="19">
        <v>1</v>
      </c>
      <c r="I891" s="20">
        <v>4.2300000000000004</v>
      </c>
      <c r="J891" s="19"/>
      <c r="K891" s="20"/>
    </row>
    <row r="892" spans="1:11" ht="14" x14ac:dyDescent="0.25">
      <c r="C892" s="22" t="s">
        <v>265</v>
      </c>
      <c r="H892" s="143">
        <v>154.03</v>
      </c>
      <c r="I892" s="143"/>
      <c r="J892" s="143">
        <v>8290.58</v>
      </c>
      <c r="K892" s="143"/>
    </row>
    <row r="893" spans="1:11" ht="14" x14ac:dyDescent="0.25">
      <c r="C893" s="22" t="s">
        <v>267</v>
      </c>
      <c r="H893" s="141">
        <v>154.03</v>
      </c>
      <c r="I893" s="141"/>
      <c r="J893" s="141">
        <v>8290.58</v>
      </c>
      <c r="K893" s="141"/>
    </row>
    <row r="895" spans="1:11" ht="41" x14ac:dyDescent="0.25">
      <c r="A895" s="10">
        <v>122</v>
      </c>
      <c r="B895" s="10" t="s">
        <v>409</v>
      </c>
      <c r="C895" s="10" t="s">
        <v>432</v>
      </c>
      <c r="D895" s="12" t="s">
        <v>52</v>
      </c>
      <c r="E895" s="11">
        <v>61.2</v>
      </c>
      <c r="F895" s="14">
        <v>26.95</v>
      </c>
      <c r="G895" s="15" t="s">
        <v>1</v>
      </c>
      <c r="H895" s="11">
        <v>1</v>
      </c>
      <c r="I895" s="14">
        <v>1649.34</v>
      </c>
      <c r="J895" s="11">
        <v>10.18</v>
      </c>
      <c r="K895" s="14">
        <v>16790.28</v>
      </c>
    </row>
    <row r="896" spans="1:11" x14ac:dyDescent="0.25">
      <c r="A896" s="28"/>
      <c r="B896" s="28"/>
      <c r="C896" s="25" t="s">
        <v>396</v>
      </c>
      <c r="D896" s="28"/>
      <c r="E896" s="28"/>
      <c r="F896" s="28"/>
      <c r="G896" s="28"/>
      <c r="H896" s="28"/>
      <c r="I896" s="28"/>
      <c r="J896" s="28"/>
      <c r="K896" s="28"/>
    </row>
    <row r="897" spans="1:11" ht="14" x14ac:dyDescent="0.25">
      <c r="C897" s="22" t="s">
        <v>267</v>
      </c>
      <c r="H897" s="143">
        <v>1649.34</v>
      </c>
      <c r="I897" s="143"/>
      <c r="J897" s="143">
        <v>16790.28</v>
      </c>
      <c r="K897" s="143"/>
    </row>
    <row r="899" spans="1:11" ht="79" x14ac:dyDescent="0.25">
      <c r="A899" s="10">
        <v>123</v>
      </c>
      <c r="B899" s="10" t="s">
        <v>317</v>
      </c>
      <c r="C899" s="10" t="s">
        <v>53</v>
      </c>
      <c r="D899" s="12" t="s">
        <v>34</v>
      </c>
      <c r="E899" s="11">
        <v>0.06</v>
      </c>
      <c r="F899" s="14"/>
      <c r="G899" s="13"/>
      <c r="H899" s="11"/>
      <c r="I899" s="14"/>
      <c r="J899" s="11"/>
      <c r="K899" s="14"/>
    </row>
    <row r="900" spans="1:11" x14ac:dyDescent="0.25">
      <c r="C900" s="23" t="s">
        <v>397</v>
      </c>
    </row>
    <row r="901" spans="1:11" ht="14.5" x14ac:dyDescent="0.25">
      <c r="A901" s="10"/>
      <c r="B901" s="10"/>
      <c r="C901" s="10" t="s">
        <v>256</v>
      </c>
      <c r="D901" s="12"/>
      <c r="E901" s="11"/>
      <c r="F901" s="14">
        <v>1330.06</v>
      </c>
      <c r="G901" s="15" t="s">
        <v>13</v>
      </c>
      <c r="H901" s="11">
        <v>1</v>
      </c>
      <c r="I901" s="14">
        <v>95.76</v>
      </c>
      <c r="J901" s="11">
        <v>57.05</v>
      </c>
      <c r="K901" s="14">
        <v>5463.11</v>
      </c>
    </row>
    <row r="902" spans="1:11" ht="14.5" x14ac:dyDescent="0.25">
      <c r="A902" s="10"/>
      <c r="B902" s="10"/>
      <c r="C902" s="10" t="s">
        <v>257</v>
      </c>
      <c r="D902" s="12"/>
      <c r="E902" s="11"/>
      <c r="F902" s="14">
        <v>3.56</v>
      </c>
      <c r="G902" s="15" t="s">
        <v>13</v>
      </c>
      <c r="H902" s="11">
        <v>1</v>
      </c>
      <c r="I902" s="14">
        <v>0.26</v>
      </c>
      <c r="J902" s="11">
        <v>12.31</v>
      </c>
      <c r="K902" s="14">
        <v>3.2</v>
      </c>
    </row>
    <row r="903" spans="1:11" ht="14.5" x14ac:dyDescent="0.25">
      <c r="A903" s="10"/>
      <c r="B903" s="10"/>
      <c r="C903" s="10" t="s">
        <v>258</v>
      </c>
      <c r="D903" s="12"/>
      <c r="E903" s="11"/>
      <c r="F903" s="14">
        <v>0.25</v>
      </c>
      <c r="G903" s="15" t="s">
        <v>13</v>
      </c>
      <c r="H903" s="11">
        <v>1</v>
      </c>
      <c r="I903" s="16">
        <v>0.02</v>
      </c>
      <c r="J903" s="11">
        <v>57.05</v>
      </c>
      <c r="K903" s="16">
        <v>1.1399999999999999</v>
      </c>
    </row>
    <row r="904" spans="1:11" ht="14.5" x14ac:dyDescent="0.25">
      <c r="A904" s="10"/>
      <c r="B904" s="10"/>
      <c r="C904" s="10" t="s">
        <v>259</v>
      </c>
      <c r="D904" s="12"/>
      <c r="E904" s="11"/>
      <c r="F904" s="14">
        <v>1.28</v>
      </c>
      <c r="G904" s="15" t="s">
        <v>1</v>
      </c>
      <c r="H904" s="11">
        <v>1</v>
      </c>
      <c r="I904" s="14">
        <v>0.08</v>
      </c>
      <c r="J904" s="11">
        <v>4.9400000000000004</v>
      </c>
      <c r="K904" s="14">
        <v>0.4</v>
      </c>
    </row>
    <row r="905" spans="1:11" ht="14.5" x14ac:dyDescent="0.25">
      <c r="A905" s="10"/>
      <c r="B905" s="10"/>
      <c r="C905" s="10" t="s">
        <v>260</v>
      </c>
      <c r="D905" s="12" t="s">
        <v>261</v>
      </c>
      <c r="E905" s="11">
        <v>97</v>
      </c>
      <c r="F905" s="14"/>
      <c r="G905" s="13"/>
      <c r="H905" s="11"/>
      <c r="I905" s="14">
        <v>92.91</v>
      </c>
      <c r="J905" s="11">
        <v>97</v>
      </c>
      <c r="K905" s="14">
        <v>5300.32</v>
      </c>
    </row>
    <row r="906" spans="1:11" ht="14.5" x14ac:dyDescent="0.25">
      <c r="A906" s="10"/>
      <c r="B906" s="10"/>
      <c r="C906" s="10" t="s">
        <v>262</v>
      </c>
      <c r="D906" s="12" t="s">
        <v>261</v>
      </c>
      <c r="E906" s="11">
        <v>51</v>
      </c>
      <c r="F906" s="14"/>
      <c r="G906" s="13"/>
      <c r="H906" s="11"/>
      <c r="I906" s="14">
        <v>48.85</v>
      </c>
      <c r="J906" s="11">
        <v>51</v>
      </c>
      <c r="K906" s="14">
        <v>2786.77</v>
      </c>
    </row>
    <row r="907" spans="1:11" ht="14.5" x14ac:dyDescent="0.25">
      <c r="A907" s="17"/>
      <c r="B907" s="17"/>
      <c r="C907" s="17" t="s">
        <v>263</v>
      </c>
      <c r="D907" s="18" t="s">
        <v>264</v>
      </c>
      <c r="E907" s="19">
        <v>94.89</v>
      </c>
      <c r="F907" s="20"/>
      <c r="G907" s="21" t="s">
        <v>13</v>
      </c>
      <c r="H907" s="19">
        <v>1</v>
      </c>
      <c r="I907" s="20">
        <v>6.83</v>
      </c>
      <c r="J907" s="19"/>
      <c r="K907" s="20"/>
    </row>
    <row r="908" spans="1:11" ht="14" x14ac:dyDescent="0.25">
      <c r="C908" s="22" t="s">
        <v>265</v>
      </c>
      <c r="H908" s="143">
        <v>237.86</v>
      </c>
      <c r="I908" s="143"/>
      <c r="J908" s="143">
        <v>13553.8</v>
      </c>
      <c r="K908" s="143"/>
    </row>
    <row r="909" spans="1:11" ht="14" x14ac:dyDescent="0.25">
      <c r="C909" s="22" t="s">
        <v>267</v>
      </c>
      <c r="H909" s="141">
        <v>237.86</v>
      </c>
      <c r="I909" s="141"/>
      <c r="J909" s="141">
        <v>13553.8</v>
      </c>
      <c r="K909" s="141"/>
    </row>
    <row r="911" spans="1:11" ht="68" x14ac:dyDescent="0.25">
      <c r="A911" s="17">
        <v>124</v>
      </c>
      <c r="B911" s="17" t="s">
        <v>409</v>
      </c>
      <c r="C911" s="17" t="s">
        <v>2114</v>
      </c>
      <c r="D911" s="18" t="s">
        <v>11</v>
      </c>
      <c r="E911" s="19">
        <v>6</v>
      </c>
      <c r="F911" s="20">
        <v>435.42</v>
      </c>
      <c r="G911" s="21" t="s">
        <v>1</v>
      </c>
      <c r="H911" s="19">
        <v>1</v>
      </c>
      <c r="I911" s="20">
        <v>2612.52</v>
      </c>
      <c r="J911" s="19">
        <v>10.18</v>
      </c>
      <c r="K911" s="20">
        <v>26595.45</v>
      </c>
    </row>
    <row r="912" spans="1:11" ht="14" x14ac:dyDescent="0.25">
      <c r="C912" s="22" t="s">
        <v>267</v>
      </c>
      <c r="H912" s="143">
        <v>2612.52</v>
      </c>
      <c r="I912" s="143"/>
      <c r="J912" s="143">
        <v>26595.45</v>
      </c>
      <c r="K912" s="143"/>
    </row>
    <row r="915" spans="1:11" ht="14" x14ac:dyDescent="0.3">
      <c r="A915" s="140" t="s">
        <v>398</v>
      </c>
      <c r="B915" s="140"/>
      <c r="C915" s="140"/>
      <c r="D915" s="140"/>
      <c r="E915" s="140"/>
      <c r="F915" s="140"/>
      <c r="G915" s="140"/>
      <c r="H915" s="141">
        <v>4653.75</v>
      </c>
      <c r="I915" s="142"/>
      <c r="J915" s="141">
        <v>65230.11</v>
      </c>
      <c r="K915" s="142"/>
    </row>
    <row r="917" spans="1:11" ht="16.5" x14ac:dyDescent="0.25">
      <c r="A917" s="144" t="s">
        <v>399</v>
      </c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</row>
    <row r="918" spans="1:11" ht="144" x14ac:dyDescent="0.25">
      <c r="A918" s="10">
        <v>125</v>
      </c>
      <c r="B918" s="10" t="s">
        <v>318</v>
      </c>
      <c r="C918" s="10" t="s">
        <v>211</v>
      </c>
      <c r="D918" s="12" t="s">
        <v>212</v>
      </c>
      <c r="E918" s="11">
        <v>5</v>
      </c>
      <c r="F918" s="14"/>
      <c r="G918" s="13"/>
      <c r="H918" s="11"/>
      <c r="I918" s="14"/>
      <c r="J918" s="11"/>
      <c r="K918" s="14"/>
    </row>
    <row r="919" spans="1:11" ht="14.5" x14ac:dyDescent="0.25">
      <c r="A919" s="10"/>
      <c r="B919" s="10"/>
      <c r="C919" s="10" t="s">
        <v>256</v>
      </c>
      <c r="D919" s="12"/>
      <c r="E919" s="11"/>
      <c r="F919" s="14">
        <v>7.83</v>
      </c>
      <c r="G919" s="15" t="s">
        <v>277</v>
      </c>
      <c r="H919" s="11">
        <v>1</v>
      </c>
      <c r="I919" s="14">
        <v>54.03</v>
      </c>
      <c r="J919" s="11">
        <v>57.05</v>
      </c>
      <c r="K919" s="14">
        <v>3082.41</v>
      </c>
    </row>
    <row r="920" spans="1:11" ht="14.5" x14ac:dyDescent="0.25">
      <c r="A920" s="10"/>
      <c r="B920" s="10"/>
      <c r="C920" s="10" t="s">
        <v>259</v>
      </c>
      <c r="D920" s="12"/>
      <c r="E920" s="11"/>
      <c r="F920" s="14">
        <v>12.56</v>
      </c>
      <c r="G920" s="15" t="s">
        <v>1</v>
      </c>
      <c r="H920" s="11">
        <v>1</v>
      </c>
      <c r="I920" s="14">
        <v>62.8</v>
      </c>
      <c r="J920" s="11">
        <v>9.5</v>
      </c>
      <c r="K920" s="14">
        <v>596.6</v>
      </c>
    </row>
    <row r="921" spans="1:11" ht="14.5" x14ac:dyDescent="0.25">
      <c r="A921" s="10"/>
      <c r="B921" s="10"/>
      <c r="C921" s="10" t="s">
        <v>260</v>
      </c>
      <c r="D921" s="12" t="s">
        <v>261</v>
      </c>
      <c r="E921" s="11">
        <v>98</v>
      </c>
      <c r="F921" s="14"/>
      <c r="G921" s="13"/>
      <c r="H921" s="11"/>
      <c r="I921" s="14">
        <v>52.95</v>
      </c>
      <c r="J921" s="11">
        <v>98</v>
      </c>
      <c r="K921" s="14">
        <v>3020.76</v>
      </c>
    </row>
    <row r="922" spans="1:11" ht="14.5" x14ac:dyDescent="0.25">
      <c r="A922" s="10"/>
      <c r="B922" s="10"/>
      <c r="C922" s="10" t="s">
        <v>262</v>
      </c>
      <c r="D922" s="12" t="s">
        <v>261</v>
      </c>
      <c r="E922" s="11">
        <v>58</v>
      </c>
      <c r="F922" s="14"/>
      <c r="G922" s="13"/>
      <c r="H922" s="11"/>
      <c r="I922" s="14">
        <v>31.34</v>
      </c>
      <c r="J922" s="11">
        <v>58</v>
      </c>
      <c r="K922" s="14">
        <v>1787.8</v>
      </c>
    </row>
    <row r="923" spans="1:11" ht="14.5" x14ac:dyDescent="0.25">
      <c r="A923" s="17"/>
      <c r="B923" s="17"/>
      <c r="C923" s="17" t="s">
        <v>263</v>
      </c>
      <c r="D923" s="18" t="s">
        <v>264</v>
      </c>
      <c r="E923" s="19">
        <v>0.7</v>
      </c>
      <c r="F923" s="20"/>
      <c r="G923" s="21" t="s">
        <v>277</v>
      </c>
      <c r="H923" s="19">
        <v>1</v>
      </c>
      <c r="I923" s="20">
        <v>4.83</v>
      </c>
      <c r="J923" s="19"/>
      <c r="K923" s="20"/>
    </row>
    <row r="924" spans="1:11" ht="14" x14ac:dyDescent="0.25">
      <c r="C924" s="22" t="s">
        <v>265</v>
      </c>
      <c r="H924" s="143">
        <v>201.12</v>
      </c>
      <c r="I924" s="143"/>
      <c r="J924" s="143">
        <v>8487.57</v>
      </c>
      <c r="K924" s="143"/>
    </row>
    <row r="925" spans="1:11" ht="14" x14ac:dyDescent="0.25">
      <c r="C925" s="22" t="s">
        <v>267</v>
      </c>
      <c r="H925" s="141">
        <v>201.12</v>
      </c>
      <c r="I925" s="141"/>
      <c r="J925" s="141">
        <v>8487.57</v>
      </c>
      <c r="K925" s="141"/>
    </row>
    <row r="927" spans="1:11" ht="83" x14ac:dyDescent="0.25">
      <c r="A927" s="17">
        <v>126</v>
      </c>
      <c r="B927" s="17" t="s">
        <v>409</v>
      </c>
      <c r="C927" s="17" t="s">
        <v>319</v>
      </c>
      <c r="D927" s="18" t="s">
        <v>11</v>
      </c>
      <c r="E927" s="19">
        <v>5</v>
      </c>
      <c r="F927" s="20">
        <v>592.97</v>
      </c>
      <c r="G927" s="21" t="s">
        <v>1</v>
      </c>
      <c r="H927" s="19">
        <v>1</v>
      </c>
      <c r="I927" s="20">
        <v>2964.85</v>
      </c>
      <c r="J927" s="19">
        <v>10.18</v>
      </c>
      <c r="K927" s="20">
        <v>30182.17</v>
      </c>
    </row>
    <row r="928" spans="1:11" ht="14" x14ac:dyDescent="0.25">
      <c r="C928" s="22" t="s">
        <v>267</v>
      </c>
      <c r="H928" s="143">
        <v>2964.85</v>
      </c>
      <c r="I928" s="143"/>
      <c r="J928" s="143">
        <v>30182.17</v>
      </c>
      <c r="K928" s="143"/>
    </row>
    <row r="930" spans="1:11" ht="41" x14ac:dyDescent="0.25">
      <c r="A930" s="17">
        <v>127</v>
      </c>
      <c r="B930" s="17" t="s">
        <v>409</v>
      </c>
      <c r="C930" s="17" t="s">
        <v>433</v>
      </c>
      <c r="D930" s="18" t="s">
        <v>11</v>
      </c>
      <c r="E930" s="19">
        <v>100</v>
      </c>
      <c r="F930" s="20">
        <v>16.34</v>
      </c>
      <c r="G930" s="21" t="s">
        <v>1</v>
      </c>
      <c r="H930" s="19">
        <v>1</v>
      </c>
      <c r="I930" s="20">
        <v>1634</v>
      </c>
      <c r="J930" s="19">
        <v>10.18</v>
      </c>
      <c r="K930" s="20">
        <v>16634.12</v>
      </c>
    </row>
    <row r="931" spans="1:11" ht="14" x14ac:dyDescent="0.25">
      <c r="C931" s="22" t="s">
        <v>267</v>
      </c>
      <c r="H931" s="143">
        <v>1634</v>
      </c>
      <c r="I931" s="143"/>
      <c r="J931" s="143">
        <v>16634.12</v>
      </c>
      <c r="K931" s="143"/>
    </row>
    <row r="933" spans="1:11" ht="79" x14ac:dyDescent="0.25">
      <c r="A933" s="10">
        <v>128</v>
      </c>
      <c r="B933" s="10" t="s">
        <v>320</v>
      </c>
      <c r="C933" s="10" t="s">
        <v>214</v>
      </c>
      <c r="D933" s="12" t="s">
        <v>50</v>
      </c>
      <c r="E933" s="11">
        <v>2</v>
      </c>
      <c r="F933" s="14"/>
      <c r="G933" s="13"/>
      <c r="H933" s="11"/>
      <c r="I933" s="14"/>
      <c r="J933" s="11"/>
      <c r="K933" s="14"/>
    </row>
    <row r="934" spans="1:11" x14ac:dyDescent="0.25">
      <c r="C934" s="23" t="s">
        <v>400</v>
      </c>
    </row>
    <row r="935" spans="1:11" ht="14.5" x14ac:dyDescent="0.25">
      <c r="A935" s="10"/>
      <c r="B935" s="10"/>
      <c r="C935" s="10" t="s">
        <v>256</v>
      </c>
      <c r="D935" s="12"/>
      <c r="E935" s="11"/>
      <c r="F935" s="14">
        <v>215.6</v>
      </c>
      <c r="G935" s="15" t="s">
        <v>13</v>
      </c>
      <c r="H935" s="11">
        <v>1</v>
      </c>
      <c r="I935" s="14">
        <v>517.44000000000005</v>
      </c>
      <c r="J935" s="11">
        <v>57.05</v>
      </c>
      <c r="K935" s="14">
        <v>29519.95</v>
      </c>
    </row>
    <row r="936" spans="1:11" ht="14.5" x14ac:dyDescent="0.25">
      <c r="A936" s="10"/>
      <c r="B936" s="10"/>
      <c r="C936" s="10" t="s">
        <v>257</v>
      </c>
      <c r="D936" s="12"/>
      <c r="E936" s="11"/>
      <c r="F936" s="14">
        <v>28.93</v>
      </c>
      <c r="G936" s="15" t="s">
        <v>13</v>
      </c>
      <c r="H936" s="11">
        <v>1</v>
      </c>
      <c r="I936" s="14">
        <v>69.430000000000007</v>
      </c>
      <c r="J936" s="11">
        <v>14.23</v>
      </c>
      <c r="K936" s="14">
        <v>987.99</v>
      </c>
    </row>
    <row r="937" spans="1:11" ht="14.5" x14ac:dyDescent="0.25">
      <c r="A937" s="10"/>
      <c r="B937" s="10"/>
      <c r="C937" s="10" t="s">
        <v>258</v>
      </c>
      <c r="D937" s="12"/>
      <c r="E937" s="11"/>
      <c r="F937" s="14">
        <v>1.26</v>
      </c>
      <c r="G937" s="15" t="s">
        <v>13</v>
      </c>
      <c r="H937" s="11">
        <v>1</v>
      </c>
      <c r="I937" s="16">
        <v>3.02</v>
      </c>
      <c r="J937" s="11">
        <v>57.05</v>
      </c>
      <c r="K937" s="16">
        <v>172.29</v>
      </c>
    </row>
    <row r="938" spans="1:11" ht="14.5" x14ac:dyDescent="0.25">
      <c r="A938" s="10"/>
      <c r="B938" s="10"/>
      <c r="C938" s="10" t="s">
        <v>259</v>
      </c>
      <c r="D938" s="12"/>
      <c r="E938" s="11"/>
      <c r="F938" s="14">
        <v>383.92</v>
      </c>
      <c r="G938" s="15" t="s">
        <v>1</v>
      </c>
      <c r="H938" s="11">
        <v>1</v>
      </c>
      <c r="I938" s="14">
        <v>767.84</v>
      </c>
      <c r="J938" s="11">
        <v>2.92</v>
      </c>
      <c r="K938" s="14">
        <v>2242.09</v>
      </c>
    </row>
    <row r="939" spans="1:11" ht="14.5" x14ac:dyDescent="0.25">
      <c r="A939" s="10"/>
      <c r="B939" s="10"/>
      <c r="C939" s="10" t="s">
        <v>260</v>
      </c>
      <c r="D939" s="12" t="s">
        <v>261</v>
      </c>
      <c r="E939" s="11">
        <v>97</v>
      </c>
      <c r="F939" s="14"/>
      <c r="G939" s="13"/>
      <c r="H939" s="11"/>
      <c r="I939" s="14">
        <v>504.85</v>
      </c>
      <c r="J939" s="11">
        <v>97</v>
      </c>
      <c r="K939" s="14">
        <v>28801.47</v>
      </c>
    </row>
    <row r="940" spans="1:11" ht="14.5" x14ac:dyDescent="0.25">
      <c r="A940" s="10"/>
      <c r="B940" s="10"/>
      <c r="C940" s="10" t="s">
        <v>262</v>
      </c>
      <c r="D940" s="12" t="s">
        <v>261</v>
      </c>
      <c r="E940" s="11">
        <v>51</v>
      </c>
      <c r="F940" s="14"/>
      <c r="G940" s="13"/>
      <c r="H940" s="11"/>
      <c r="I940" s="14">
        <v>265.43</v>
      </c>
      <c r="J940" s="11">
        <v>51</v>
      </c>
      <c r="K940" s="14">
        <v>15143.04</v>
      </c>
    </row>
    <row r="941" spans="1:11" ht="14.5" x14ac:dyDescent="0.25">
      <c r="A941" s="17"/>
      <c r="B941" s="17"/>
      <c r="C941" s="17" t="s">
        <v>263</v>
      </c>
      <c r="D941" s="18" t="s">
        <v>264</v>
      </c>
      <c r="E941" s="19">
        <v>17.5</v>
      </c>
      <c r="F941" s="20"/>
      <c r="G941" s="21" t="s">
        <v>13</v>
      </c>
      <c r="H941" s="19">
        <v>1</v>
      </c>
      <c r="I941" s="20">
        <v>42</v>
      </c>
      <c r="J941" s="19"/>
      <c r="K941" s="20"/>
    </row>
    <row r="942" spans="1:11" ht="14" x14ac:dyDescent="0.25">
      <c r="C942" s="22" t="s">
        <v>265</v>
      </c>
      <c r="H942" s="143">
        <v>2124.9899999999998</v>
      </c>
      <c r="I942" s="143"/>
      <c r="J942" s="143">
        <v>76694.539999999994</v>
      </c>
      <c r="K942" s="143"/>
    </row>
    <row r="943" spans="1:11" ht="14" x14ac:dyDescent="0.25">
      <c r="C943" s="22" t="s">
        <v>267</v>
      </c>
      <c r="H943" s="141">
        <v>2124.9899999999998</v>
      </c>
      <c r="I943" s="141"/>
      <c r="J943" s="141">
        <v>76694.539999999994</v>
      </c>
      <c r="K943" s="141"/>
    </row>
    <row r="945" spans="1:11" ht="27" x14ac:dyDescent="0.25">
      <c r="A945" s="10">
        <v>129</v>
      </c>
      <c r="B945" s="10" t="s">
        <v>409</v>
      </c>
      <c r="C945" s="10" t="s">
        <v>321</v>
      </c>
      <c r="D945" s="12" t="s">
        <v>52</v>
      </c>
      <c r="E945" s="11">
        <v>204</v>
      </c>
      <c r="F945" s="14">
        <v>11.58</v>
      </c>
      <c r="G945" s="15" t="s">
        <v>1</v>
      </c>
      <c r="H945" s="11">
        <v>1</v>
      </c>
      <c r="I945" s="14">
        <v>2362.3200000000002</v>
      </c>
      <c r="J945" s="11">
        <v>10.18</v>
      </c>
      <c r="K945" s="14">
        <v>24048.42</v>
      </c>
    </row>
    <row r="946" spans="1:11" x14ac:dyDescent="0.25">
      <c r="A946" s="28"/>
      <c r="B946" s="28"/>
      <c r="C946" s="25" t="s">
        <v>401</v>
      </c>
      <c r="D946" s="28"/>
      <c r="E946" s="28"/>
      <c r="F946" s="28"/>
      <c r="G946" s="28"/>
      <c r="H946" s="28"/>
      <c r="I946" s="28"/>
      <c r="J946" s="28"/>
      <c r="K946" s="28"/>
    </row>
    <row r="947" spans="1:11" ht="14" x14ac:dyDescent="0.25">
      <c r="C947" s="22" t="s">
        <v>267</v>
      </c>
      <c r="H947" s="143">
        <v>2362.3200000000002</v>
      </c>
      <c r="I947" s="143"/>
      <c r="J947" s="143">
        <v>24048.42</v>
      </c>
      <c r="K947" s="143"/>
    </row>
    <row r="949" spans="1:11" ht="41" x14ac:dyDescent="0.25">
      <c r="A949" s="17">
        <v>130</v>
      </c>
      <c r="B949" s="17" t="s">
        <v>409</v>
      </c>
      <c r="C949" s="17" t="s">
        <v>434</v>
      </c>
      <c r="D949" s="18" t="s">
        <v>11</v>
      </c>
      <c r="E949" s="19">
        <v>100</v>
      </c>
      <c r="F949" s="20">
        <v>21.02</v>
      </c>
      <c r="G949" s="21" t="s">
        <v>1</v>
      </c>
      <c r="H949" s="19">
        <v>1</v>
      </c>
      <c r="I949" s="20">
        <v>2102</v>
      </c>
      <c r="J949" s="19">
        <v>10.18</v>
      </c>
      <c r="K949" s="20">
        <v>21398.36</v>
      </c>
    </row>
    <row r="950" spans="1:11" ht="14" x14ac:dyDescent="0.25">
      <c r="C950" s="22" t="s">
        <v>267</v>
      </c>
      <c r="H950" s="143">
        <v>2102</v>
      </c>
      <c r="I950" s="143"/>
      <c r="J950" s="143">
        <v>21398.36</v>
      </c>
      <c r="K950" s="143"/>
    </row>
    <row r="952" spans="1:11" ht="79" x14ac:dyDescent="0.25">
      <c r="A952" s="10">
        <v>131</v>
      </c>
      <c r="B952" s="10" t="s">
        <v>322</v>
      </c>
      <c r="C952" s="10" t="s">
        <v>215</v>
      </c>
      <c r="D952" s="12" t="s">
        <v>50</v>
      </c>
      <c r="E952" s="11">
        <v>0.5</v>
      </c>
      <c r="F952" s="14"/>
      <c r="G952" s="13"/>
      <c r="H952" s="11"/>
      <c r="I952" s="14"/>
      <c r="J952" s="11"/>
      <c r="K952" s="14"/>
    </row>
    <row r="953" spans="1:11" x14ac:dyDescent="0.25">
      <c r="C953" s="23" t="s">
        <v>402</v>
      </c>
    </row>
    <row r="954" spans="1:11" ht="14.5" x14ac:dyDescent="0.25">
      <c r="A954" s="10"/>
      <c r="B954" s="10"/>
      <c r="C954" s="10" t="s">
        <v>256</v>
      </c>
      <c r="D954" s="12"/>
      <c r="E954" s="11"/>
      <c r="F954" s="14">
        <v>227.92</v>
      </c>
      <c r="G954" s="15" t="s">
        <v>13</v>
      </c>
      <c r="H954" s="11">
        <v>1</v>
      </c>
      <c r="I954" s="14">
        <v>136.75</v>
      </c>
      <c r="J954" s="11">
        <v>57.05</v>
      </c>
      <c r="K954" s="14">
        <v>7801.59</v>
      </c>
    </row>
    <row r="955" spans="1:11" ht="14.5" x14ac:dyDescent="0.25">
      <c r="A955" s="10"/>
      <c r="B955" s="10"/>
      <c r="C955" s="10" t="s">
        <v>257</v>
      </c>
      <c r="D955" s="12"/>
      <c r="E955" s="11"/>
      <c r="F955" s="14">
        <v>39.729999999999997</v>
      </c>
      <c r="G955" s="15" t="s">
        <v>13</v>
      </c>
      <c r="H955" s="11">
        <v>1</v>
      </c>
      <c r="I955" s="14">
        <v>23.84</v>
      </c>
      <c r="J955" s="11">
        <v>15.1</v>
      </c>
      <c r="K955" s="14">
        <v>359.98</v>
      </c>
    </row>
    <row r="956" spans="1:11" ht="14.5" x14ac:dyDescent="0.25">
      <c r="A956" s="10"/>
      <c r="B956" s="10"/>
      <c r="C956" s="10" t="s">
        <v>258</v>
      </c>
      <c r="D956" s="12"/>
      <c r="E956" s="11"/>
      <c r="F956" s="14">
        <v>2.9</v>
      </c>
      <c r="G956" s="15" t="s">
        <v>13</v>
      </c>
      <c r="H956" s="11">
        <v>1</v>
      </c>
      <c r="I956" s="16">
        <v>1.74</v>
      </c>
      <c r="J956" s="11">
        <v>57.05</v>
      </c>
      <c r="K956" s="16">
        <v>99.27</v>
      </c>
    </row>
    <row r="957" spans="1:11" ht="14.5" x14ac:dyDescent="0.25">
      <c r="A957" s="10"/>
      <c r="B957" s="10"/>
      <c r="C957" s="10" t="s">
        <v>259</v>
      </c>
      <c r="D957" s="12"/>
      <c r="E957" s="11"/>
      <c r="F957" s="14">
        <v>392.22</v>
      </c>
      <c r="G957" s="15" t="s">
        <v>1</v>
      </c>
      <c r="H957" s="11">
        <v>1</v>
      </c>
      <c r="I957" s="14">
        <v>196.11</v>
      </c>
      <c r="J957" s="11">
        <v>3.07</v>
      </c>
      <c r="K957" s="14">
        <v>602.05999999999995</v>
      </c>
    </row>
    <row r="958" spans="1:11" ht="28" x14ac:dyDescent="0.25">
      <c r="A958" s="10" t="s">
        <v>216</v>
      </c>
      <c r="B958" s="10" t="s">
        <v>217</v>
      </c>
      <c r="C958" s="10" t="s">
        <v>218</v>
      </c>
      <c r="D958" s="12" t="s">
        <v>28</v>
      </c>
      <c r="E958" s="11">
        <v>6.5000000000000002E-2</v>
      </c>
      <c r="F958" s="14">
        <v>7246.05</v>
      </c>
      <c r="G958" s="15" t="s">
        <v>1</v>
      </c>
      <c r="H958" s="11">
        <v>1</v>
      </c>
      <c r="I958" s="14">
        <v>470.99</v>
      </c>
      <c r="J958" s="11">
        <v>7.54</v>
      </c>
      <c r="K958" s="14">
        <v>3551.26</v>
      </c>
    </row>
    <row r="959" spans="1:11" ht="14.5" x14ac:dyDescent="0.25">
      <c r="A959" s="10"/>
      <c r="B959" s="10"/>
      <c r="C959" s="10" t="s">
        <v>260</v>
      </c>
      <c r="D959" s="12" t="s">
        <v>261</v>
      </c>
      <c r="E959" s="11">
        <v>97</v>
      </c>
      <c r="F959" s="14"/>
      <c r="G959" s="13"/>
      <c r="H959" s="11"/>
      <c r="I959" s="14">
        <v>134.34</v>
      </c>
      <c r="J959" s="11">
        <v>97</v>
      </c>
      <c r="K959" s="14">
        <v>7663.83</v>
      </c>
    </row>
    <row r="960" spans="1:11" ht="14.5" x14ac:dyDescent="0.25">
      <c r="A960" s="10"/>
      <c r="B960" s="10"/>
      <c r="C960" s="10" t="s">
        <v>262</v>
      </c>
      <c r="D960" s="12" t="s">
        <v>261</v>
      </c>
      <c r="E960" s="11">
        <v>51</v>
      </c>
      <c r="F960" s="14"/>
      <c r="G960" s="13"/>
      <c r="H960" s="11"/>
      <c r="I960" s="14">
        <v>70.63</v>
      </c>
      <c r="J960" s="11">
        <v>51</v>
      </c>
      <c r="K960" s="14">
        <v>4029.44</v>
      </c>
    </row>
    <row r="961" spans="1:11" ht="14.5" x14ac:dyDescent="0.25">
      <c r="A961" s="17"/>
      <c r="B961" s="17"/>
      <c r="C961" s="17" t="s">
        <v>263</v>
      </c>
      <c r="D961" s="18" t="s">
        <v>264</v>
      </c>
      <c r="E961" s="19">
        <v>18.5</v>
      </c>
      <c r="F961" s="20"/>
      <c r="G961" s="21" t="s">
        <v>13</v>
      </c>
      <c r="H961" s="19">
        <v>1</v>
      </c>
      <c r="I961" s="20">
        <v>11.1</v>
      </c>
      <c r="J961" s="19"/>
      <c r="K961" s="20"/>
    </row>
    <row r="962" spans="1:11" ht="14" x14ac:dyDescent="0.25">
      <c r="C962" s="22" t="s">
        <v>265</v>
      </c>
      <c r="H962" s="143">
        <v>1032.6600000000001</v>
      </c>
      <c r="I962" s="143"/>
      <c r="J962" s="143">
        <v>24008.16</v>
      </c>
      <c r="K962" s="143"/>
    </row>
    <row r="963" spans="1:11" ht="14" x14ac:dyDescent="0.25">
      <c r="C963" s="22" t="s">
        <v>267</v>
      </c>
      <c r="H963" s="141">
        <v>1032.6600000000001</v>
      </c>
      <c r="I963" s="141"/>
      <c r="J963" s="141">
        <v>24008.16</v>
      </c>
      <c r="K963" s="141"/>
    </row>
    <row r="965" spans="1:11" ht="14.5" x14ac:dyDescent="0.25">
      <c r="A965" s="10">
        <v>132</v>
      </c>
      <c r="B965" s="10" t="s">
        <v>219</v>
      </c>
      <c r="C965" s="10" t="s">
        <v>220</v>
      </c>
      <c r="D965" s="12" t="s">
        <v>28</v>
      </c>
      <c r="E965" s="11">
        <v>2.1999999999999999E-2</v>
      </c>
      <c r="F965" s="14">
        <v>23362.58</v>
      </c>
      <c r="G965" s="15" t="s">
        <v>1</v>
      </c>
      <c r="H965" s="11">
        <v>1</v>
      </c>
      <c r="I965" s="14">
        <v>513.98</v>
      </c>
      <c r="J965" s="11">
        <v>18.43</v>
      </c>
      <c r="K965" s="14">
        <v>9472.65</v>
      </c>
    </row>
    <row r="966" spans="1:11" x14ac:dyDescent="0.25">
      <c r="A966" s="28"/>
      <c r="B966" s="28"/>
      <c r="C966" s="25" t="s">
        <v>403</v>
      </c>
      <c r="D966" s="28"/>
      <c r="E966" s="28"/>
      <c r="F966" s="28"/>
      <c r="G966" s="28"/>
      <c r="H966" s="28"/>
      <c r="I966" s="28"/>
      <c r="J966" s="28"/>
      <c r="K966" s="28"/>
    </row>
    <row r="967" spans="1:11" ht="14" x14ac:dyDescent="0.25">
      <c r="C967" s="22" t="s">
        <v>267</v>
      </c>
      <c r="H967" s="143">
        <v>513.98</v>
      </c>
      <c r="I967" s="143"/>
      <c r="J967" s="143">
        <v>9472.65</v>
      </c>
      <c r="K967" s="143"/>
    </row>
    <row r="970" spans="1:11" ht="14" x14ac:dyDescent="0.3">
      <c r="A970" s="140" t="s">
        <v>404</v>
      </c>
      <c r="B970" s="140"/>
      <c r="C970" s="140"/>
      <c r="D970" s="140"/>
      <c r="E970" s="140"/>
      <c r="F970" s="140"/>
      <c r="G970" s="140"/>
      <c r="H970" s="141">
        <v>12935.92</v>
      </c>
      <c r="I970" s="142"/>
      <c r="J970" s="141">
        <v>210925.99</v>
      </c>
      <c r="K970" s="142"/>
    </row>
    <row r="972" spans="1:11" ht="16.5" x14ac:dyDescent="0.25">
      <c r="A972" s="144" t="s">
        <v>405</v>
      </c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</row>
    <row r="973" spans="1:11" ht="79" x14ac:dyDescent="0.25">
      <c r="A973" s="10">
        <v>133</v>
      </c>
      <c r="B973" s="10" t="s">
        <v>323</v>
      </c>
      <c r="C973" s="10" t="s">
        <v>221</v>
      </c>
      <c r="D973" s="12" t="s">
        <v>24</v>
      </c>
      <c r="E973" s="11">
        <v>4</v>
      </c>
      <c r="F973" s="14"/>
      <c r="G973" s="13"/>
      <c r="H973" s="11"/>
      <c r="I973" s="14"/>
      <c r="J973" s="11"/>
      <c r="K973" s="14"/>
    </row>
    <row r="974" spans="1:11" ht="14.5" x14ac:dyDescent="0.25">
      <c r="A974" s="10"/>
      <c r="B974" s="10"/>
      <c r="C974" s="10" t="s">
        <v>256</v>
      </c>
      <c r="D974" s="12"/>
      <c r="E974" s="11"/>
      <c r="F974" s="14">
        <v>12.83</v>
      </c>
      <c r="G974" s="15" t="s">
        <v>13</v>
      </c>
      <c r="H974" s="11">
        <v>1</v>
      </c>
      <c r="I974" s="14">
        <v>61.58</v>
      </c>
      <c r="J974" s="11">
        <v>57.05</v>
      </c>
      <c r="K974" s="14">
        <v>3513.14</v>
      </c>
    </row>
    <row r="975" spans="1:11" ht="14.5" x14ac:dyDescent="0.25">
      <c r="A975" s="10"/>
      <c r="B975" s="10"/>
      <c r="C975" s="10" t="s">
        <v>257</v>
      </c>
      <c r="D975" s="12"/>
      <c r="E975" s="11"/>
      <c r="F975" s="14">
        <v>0.78</v>
      </c>
      <c r="G975" s="15" t="s">
        <v>13</v>
      </c>
      <c r="H975" s="11">
        <v>1</v>
      </c>
      <c r="I975" s="14">
        <v>3.74</v>
      </c>
      <c r="J975" s="11">
        <v>12.96</v>
      </c>
      <c r="K975" s="14">
        <v>48.47</v>
      </c>
    </row>
    <row r="976" spans="1:11" ht="14.5" x14ac:dyDescent="0.25">
      <c r="A976" s="10"/>
      <c r="B976" s="10"/>
      <c r="C976" s="10" t="s">
        <v>259</v>
      </c>
      <c r="D976" s="12"/>
      <c r="E976" s="11"/>
      <c r="F976" s="14">
        <v>199.48</v>
      </c>
      <c r="G976" s="15" t="s">
        <v>1</v>
      </c>
      <c r="H976" s="11">
        <v>1</v>
      </c>
      <c r="I976" s="14">
        <v>797.92</v>
      </c>
      <c r="J976" s="11">
        <v>4.6399999999999997</v>
      </c>
      <c r="K976" s="14">
        <v>3702.35</v>
      </c>
    </row>
    <row r="977" spans="1:11" ht="28" x14ac:dyDescent="0.25">
      <c r="A977" s="10" t="s">
        <v>222</v>
      </c>
      <c r="B977" s="10" t="s">
        <v>26</v>
      </c>
      <c r="C977" s="10" t="s">
        <v>27</v>
      </c>
      <c r="D977" s="12" t="s">
        <v>28</v>
      </c>
      <c r="E977" s="11">
        <v>7.1999999999999998E-3</v>
      </c>
      <c r="F977" s="14">
        <v>22524.65</v>
      </c>
      <c r="G977" s="15" t="s">
        <v>1</v>
      </c>
      <c r="H977" s="11">
        <v>1</v>
      </c>
      <c r="I977" s="14">
        <v>162.18</v>
      </c>
      <c r="J977" s="11">
        <v>5.94</v>
      </c>
      <c r="K977" s="14">
        <v>963.35</v>
      </c>
    </row>
    <row r="978" spans="1:11" ht="14.5" x14ac:dyDescent="0.25">
      <c r="A978" s="10"/>
      <c r="B978" s="10"/>
      <c r="C978" s="10" t="s">
        <v>260</v>
      </c>
      <c r="D978" s="12" t="s">
        <v>261</v>
      </c>
      <c r="E978" s="11">
        <v>97</v>
      </c>
      <c r="F978" s="14"/>
      <c r="G978" s="13"/>
      <c r="H978" s="11"/>
      <c r="I978" s="14">
        <v>59.73</v>
      </c>
      <c r="J978" s="11">
        <v>97</v>
      </c>
      <c r="K978" s="14">
        <v>3407.75</v>
      </c>
    </row>
    <row r="979" spans="1:11" ht="14.5" x14ac:dyDescent="0.25">
      <c r="A979" s="10"/>
      <c r="B979" s="10"/>
      <c r="C979" s="10" t="s">
        <v>262</v>
      </c>
      <c r="D979" s="12" t="s">
        <v>261</v>
      </c>
      <c r="E979" s="11">
        <v>51</v>
      </c>
      <c r="F979" s="14"/>
      <c r="G979" s="13"/>
      <c r="H979" s="11"/>
      <c r="I979" s="14">
        <v>31.41</v>
      </c>
      <c r="J979" s="11">
        <v>51</v>
      </c>
      <c r="K979" s="14">
        <v>1791.7</v>
      </c>
    </row>
    <row r="980" spans="1:11" ht="14.5" x14ac:dyDescent="0.25">
      <c r="A980" s="17"/>
      <c r="B980" s="17"/>
      <c r="C980" s="17" t="s">
        <v>263</v>
      </c>
      <c r="D980" s="18" t="s">
        <v>264</v>
      </c>
      <c r="E980" s="19">
        <v>1.03</v>
      </c>
      <c r="F980" s="20"/>
      <c r="G980" s="21" t="s">
        <v>13</v>
      </c>
      <c r="H980" s="19">
        <v>1</v>
      </c>
      <c r="I980" s="20">
        <v>4.9400000000000004</v>
      </c>
      <c r="J980" s="19"/>
      <c r="K980" s="20"/>
    </row>
    <row r="981" spans="1:11" ht="14" x14ac:dyDescent="0.25">
      <c r="C981" s="22" t="s">
        <v>265</v>
      </c>
      <c r="H981" s="143">
        <v>1116.56</v>
      </c>
      <c r="I981" s="143"/>
      <c r="J981" s="143">
        <v>13426.76</v>
      </c>
      <c r="K981" s="143"/>
    </row>
    <row r="982" spans="1:11" ht="14" x14ac:dyDescent="0.25">
      <c r="C982" s="22" t="s">
        <v>267</v>
      </c>
      <c r="H982" s="141">
        <v>1116.56</v>
      </c>
      <c r="I982" s="141"/>
      <c r="J982" s="141">
        <v>13426.76</v>
      </c>
      <c r="K982" s="141"/>
    </row>
    <row r="984" spans="1:11" ht="54" x14ac:dyDescent="0.25">
      <c r="A984" s="17">
        <v>134</v>
      </c>
      <c r="B984" s="17" t="s">
        <v>409</v>
      </c>
      <c r="C984" s="17" t="s">
        <v>2113</v>
      </c>
      <c r="D984" s="18" t="s">
        <v>11</v>
      </c>
      <c r="E984" s="19">
        <v>4</v>
      </c>
      <c r="F984" s="20">
        <v>1154.56</v>
      </c>
      <c r="G984" s="21" t="s">
        <v>1</v>
      </c>
      <c r="H984" s="19">
        <v>1</v>
      </c>
      <c r="I984" s="20">
        <v>4618.24</v>
      </c>
      <c r="J984" s="19">
        <v>10.18</v>
      </c>
      <c r="K984" s="20">
        <v>47013.68</v>
      </c>
    </row>
    <row r="985" spans="1:11" ht="14" x14ac:dyDescent="0.25">
      <c r="C985" s="22" t="s">
        <v>267</v>
      </c>
      <c r="H985" s="143">
        <v>4618.24</v>
      </c>
      <c r="I985" s="143"/>
      <c r="J985" s="143">
        <v>47013.68</v>
      </c>
      <c r="K985" s="143"/>
    </row>
    <row r="987" spans="1:11" ht="40" x14ac:dyDescent="0.25">
      <c r="A987" s="17">
        <v>135</v>
      </c>
      <c r="B987" s="17" t="s">
        <v>409</v>
      </c>
      <c r="C987" s="17" t="s">
        <v>324</v>
      </c>
      <c r="D987" s="18" t="s">
        <v>11</v>
      </c>
      <c r="E987" s="19">
        <v>4</v>
      </c>
      <c r="F987" s="20">
        <v>753.08</v>
      </c>
      <c r="G987" s="21" t="s">
        <v>1</v>
      </c>
      <c r="H987" s="19">
        <v>1</v>
      </c>
      <c r="I987" s="20">
        <v>3012.32</v>
      </c>
      <c r="J987" s="19">
        <v>10.18</v>
      </c>
      <c r="K987" s="20">
        <v>30665.42</v>
      </c>
    </row>
    <row r="988" spans="1:11" ht="14" x14ac:dyDescent="0.25">
      <c r="C988" s="22" t="s">
        <v>267</v>
      </c>
      <c r="H988" s="143">
        <v>3012.32</v>
      </c>
      <c r="I988" s="143"/>
      <c r="J988" s="143">
        <v>30665.42</v>
      </c>
      <c r="K988" s="143"/>
    </row>
    <row r="990" spans="1:11" ht="79" x14ac:dyDescent="0.25">
      <c r="A990" s="10">
        <v>136</v>
      </c>
      <c r="B990" s="10" t="s">
        <v>325</v>
      </c>
      <c r="C990" s="10" t="s">
        <v>223</v>
      </c>
      <c r="D990" s="12" t="s">
        <v>34</v>
      </c>
      <c r="E990" s="11">
        <v>0.16</v>
      </c>
      <c r="F990" s="14"/>
      <c r="G990" s="13"/>
      <c r="H990" s="11"/>
      <c r="I990" s="14"/>
      <c r="J990" s="11"/>
      <c r="K990" s="14"/>
    </row>
    <row r="991" spans="1:11" x14ac:dyDescent="0.25">
      <c r="C991" s="23" t="s">
        <v>406</v>
      </c>
    </row>
    <row r="992" spans="1:11" ht="14.5" x14ac:dyDescent="0.25">
      <c r="A992" s="10"/>
      <c r="B992" s="10"/>
      <c r="C992" s="10" t="s">
        <v>256</v>
      </c>
      <c r="D992" s="12"/>
      <c r="E992" s="11"/>
      <c r="F992" s="14">
        <v>257.88</v>
      </c>
      <c r="G992" s="15" t="s">
        <v>13</v>
      </c>
      <c r="H992" s="11">
        <v>1</v>
      </c>
      <c r="I992" s="14">
        <v>49.51</v>
      </c>
      <c r="J992" s="11">
        <v>57.05</v>
      </c>
      <c r="K992" s="14">
        <v>2824.55</v>
      </c>
    </row>
    <row r="993" spans="1:11" ht="14.5" x14ac:dyDescent="0.25">
      <c r="A993" s="10"/>
      <c r="B993" s="10"/>
      <c r="C993" s="10" t="s">
        <v>257</v>
      </c>
      <c r="D993" s="12"/>
      <c r="E993" s="11"/>
      <c r="F993" s="14">
        <v>2.31</v>
      </c>
      <c r="G993" s="15" t="s">
        <v>13</v>
      </c>
      <c r="H993" s="11">
        <v>1</v>
      </c>
      <c r="I993" s="14">
        <v>0.44</v>
      </c>
      <c r="J993" s="11">
        <v>11.29</v>
      </c>
      <c r="K993" s="14">
        <v>4.97</v>
      </c>
    </row>
    <row r="994" spans="1:11" ht="14.5" x14ac:dyDescent="0.25">
      <c r="A994" s="10"/>
      <c r="B994" s="10"/>
      <c r="C994" s="10" t="s">
        <v>258</v>
      </c>
      <c r="D994" s="12"/>
      <c r="E994" s="11"/>
      <c r="F994" s="14">
        <v>0.13</v>
      </c>
      <c r="G994" s="15" t="s">
        <v>13</v>
      </c>
      <c r="H994" s="11">
        <v>1</v>
      </c>
      <c r="I994" s="16">
        <v>0.02</v>
      </c>
      <c r="J994" s="11">
        <v>57.05</v>
      </c>
      <c r="K994" s="16">
        <v>1.1399999999999999</v>
      </c>
    </row>
    <row r="995" spans="1:11" ht="14.5" x14ac:dyDescent="0.25">
      <c r="A995" s="10"/>
      <c r="B995" s="10"/>
      <c r="C995" s="10" t="s">
        <v>259</v>
      </c>
      <c r="D995" s="12"/>
      <c r="E995" s="11"/>
      <c r="F995" s="14">
        <v>195.11</v>
      </c>
      <c r="G995" s="15" t="s">
        <v>1</v>
      </c>
      <c r="H995" s="11">
        <v>1</v>
      </c>
      <c r="I995" s="14">
        <v>31.22</v>
      </c>
      <c r="J995" s="11">
        <v>3.72</v>
      </c>
      <c r="K995" s="14">
        <v>116.14</v>
      </c>
    </row>
    <row r="996" spans="1:11" ht="14.5" x14ac:dyDescent="0.25">
      <c r="A996" s="10"/>
      <c r="B996" s="10"/>
      <c r="C996" s="10" t="s">
        <v>260</v>
      </c>
      <c r="D996" s="12" t="s">
        <v>261</v>
      </c>
      <c r="E996" s="11">
        <v>97</v>
      </c>
      <c r="F996" s="14"/>
      <c r="G996" s="13"/>
      <c r="H996" s="11"/>
      <c r="I996" s="14">
        <v>48.04</v>
      </c>
      <c r="J996" s="11">
        <v>97</v>
      </c>
      <c r="K996" s="14">
        <v>2740.92</v>
      </c>
    </row>
    <row r="997" spans="1:11" ht="14.5" x14ac:dyDescent="0.25">
      <c r="A997" s="10"/>
      <c r="B997" s="10"/>
      <c r="C997" s="10" t="s">
        <v>262</v>
      </c>
      <c r="D997" s="12" t="s">
        <v>261</v>
      </c>
      <c r="E997" s="11">
        <v>51</v>
      </c>
      <c r="F997" s="14"/>
      <c r="G997" s="13"/>
      <c r="H997" s="11"/>
      <c r="I997" s="14">
        <v>25.26</v>
      </c>
      <c r="J997" s="11">
        <v>51</v>
      </c>
      <c r="K997" s="14">
        <v>1441.1</v>
      </c>
    </row>
    <row r="998" spans="1:11" ht="14.5" x14ac:dyDescent="0.25">
      <c r="A998" s="17"/>
      <c r="B998" s="17"/>
      <c r="C998" s="17" t="s">
        <v>263</v>
      </c>
      <c r="D998" s="18" t="s">
        <v>264</v>
      </c>
      <c r="E998" s="19">
        <v>23.07</v>
      </c>
      <c r="F998" s="20"/>
      <c r="G998" s="21" t="s">
        <v>13</v>
      </c>
      <c r="H998" s="19">
        <v>1</v>
      </c>
      <c r="I998" s="20">
        <v>4.43</v>
      </c>
      <c r="J998" s="19"/>
      <c r="K998" s="20"/>
    </row>
    <row r="999" spans="1:11" ht="14" x14ac:dyDescent="0.25">
      <c r="C999" s="22" t="s">
        <v>265</v>
      </c>
      <c r="H999" s="143">
        <v>154.47</v>
      </c>
      <c r="I999" s="143"/>
      <c r="J999" s="143">
        <v>7127.68</v>
      </c>
      <c r="K999" s="143"/>
    </row>
    <row r="1000" spans="1:11" ht="14" x14ac:dyDescent="0.25">
      <c r="C1000" s="22" t="s">
        <v>267</v>
      </c>
      <c r="H1000" s="141">
        <v>154.47</v>
      </c>
      <c r="I1000" s="141"/>
      <c r="J1000" s="141">
        <v>7127.68</v>
      </c>
      <c r="K1000" s="141"/>
    </row>
    <row r="1002" spans="1:11" ht="27" x14ac:dyDescent="0.25">
      <c r="A1002" s="17">
        <v>137</v>
      </c>
      <c r="B1002" s="17" t="s">
        <v>409</v>
      </c>
      <c r="C1002" s="17" t="s">
        <v>2112</v>
      </c>
      <c r="D1002" s="18" t="s">
        <v>11</v>
      </c>
      <c r="E1002" s="19">
        <v>16</v>
      </c>
      <c r="F1002" s="20">
        <v>98.55</v>
      </c>
      <c r="G1002" s="21" t="s">
        <v>1</v>
      </c>
      <c r="H1002" s="19">
        <v>1</v>
      </c>
      <c r="I1002" s="20">
        <v>1576.8</v>
      </c>
      <c r="J1002" s="19">
        <v>10.18</v>
      </c>
      <c r="K1002" s="20">
        <v>16051.82</v>
      </c>
    </row>
    <row r="1003" spans="1:11" ht="14" x14ac:dyDescent="0.25">
      <c r="C1003" s="22" t="s">
        <v>267</v>
      </c>
      <c r="H1003" s="143">
        <v>1576.8</v>
      </c>
      <c r="I1003" s="143"/>
      <c r="J1003" s="143">
        <v>16051.82</v>
      </c>
      <c r="K1003" s="143"/>
    </row>
    <row r="1006" spans="1:11" ht="14" x14ac:dyDescent="0.3">
      <c r="A1006" s="140" t="s">
        <v>407</v>
      </c>
      <c r="B1006" s="140"/>
      <c r="C1006" s="140"/>
      <c r="D1006" s="140"/>
      <c r="E1006" s="140"/>
      <c r="F1006" s="140"/>
      <c r="G1006" s="140"/>
      <c r="H1006" s="141">
        <v>10478.39</v>
      </c>
      <c r="I1006" s="142"/>
      <c r="J1006" s="141">
        <v>114285.36</v>
      </c>
      <c r="K1006" s="142"/>
    </row>
    <row r="1008" spans="1:11" ht="14" x14ac:dyDescent="0.3">
      <c r="A1008" s="140" t="s">
        <v>435</v>
      </c>
      <c r="B1008" s="140"/>
      <c r="C1008" s="140"/>
      <c r="D1008" s="140"/>
      <c r="E1008" s="140"/>
      <c r="F1008" s="140"/>
      <c r="G1008" s="140"/>
      <c r="H1008" s="141">
        <v>1126217.6599999999</v>
      </c>
      <c r="I1008" s="142"/>
      <c r="J1008" s="141">
        <v>12050018.42</v>
      </c>
      <c r="K1008" s="142"/>
    </row>
  </sheetData>
  <mergeCells count="445">
    <mergeCell ref="E18:H18"/>
    <mergeCell ref="A21:K21"/>
    <mergeCell ref="J2:K2"/>
    <mergeCell ref="E13:H13"/>
    <mergeCell ref="E14:H14"/>
    <mergeCell ref="E15:H15"/>
    <mergeCell ref="E16:H16"/>
    <mergeCell ref="E17:H17"/>
    <mergeCell ref="A3:K3"/>
    <mergeCell ref="A4:K4"/>
    <mergeCell ref="A6:K6"/>
    <mergeCell ref="A8:K8"/>
    <mergeCell ref="A9:K9"/>
    <mergeCell ref="H38:I38"/>
    <mergeCell ref="J38:K38"/>
    <mergeCell ref="H49:I49"/>
    <mergeCell ref="J49:K49"/>
    <mergeCell ref="A24:K24"/>
    <mergeCell ref="H34:I34"/>
    <mergeCell ref="J34:K34"/>
    <mergeCell ref="H35:I35"/>
    <mergeCell ref="J35:K35"/>
    <mergeCell ref="A56:G56"/>
    <mergeCell ref="A58:K58"/>
    <mergeCell ref="H68:I68"/>
    <mergeCell ref="J68:K68"/>
    <mergeCell ref="H50:I50"/>
    <mergeCell ref="J50:K50"/>
    <mergeCell ref="H53:I53"/>
    <mergeCell ref="J53:K53"/>
    <mergeCell ref="J56:K56"/>
    <mergeCell ref="H56:I56"/>
    <mergeCell ref="A75:G75"/>
    <mergeCell ref="A77:K77"/>
    <mergeCell ref="H88:I88"/>
    <mergeCell ref="J88:K88"/>
    <mergeCell ref="H69:I69"/>
    <mergeCell ref="J69:K69"/>
    <mergeCell ref="H72:I72"/>
    <mergeCell ref="J72:K72"/>
    <mergeCell ref="J75:K75"/>
    <mergeCell ref="H75:I75"/>
    <mergeCell ref="H105:I105"/>
    <mergeCell ref="J105:K105"/>
    <mergeCell ref="H108:I108"/>
    <mergeCell ref="J108:K108"/>
    <mergeCell ref="H89:I89"/>
    <mergeCell ref="J89:K89"/>
    <mergeCell ref="H92:I92"/>
    <mergeCell ref="J92:K92"/>
    <mergeCell ref="H104:I104"/>
    <mergeCell ref="J104:K104"/>
    <mergeCell ref="H124:I124"/>
    <mergeCell ref="J124:K124"/>
    <mergeCell ref="H127:I127"/>
    <mergeCell ref="J127:K127"/>
    <mergeCell ref="J111:K111"/>
    <mergeCell ref="H111:I111"/>
    <mergeCell ref="A111:G111"/>
    <mergeCell ref="A113:K113"/>
    <mergeCell ref="H123:I123"/>
    <mergeCell ref="J123:K123"/>
    <mergeCell ref="H139:I139"/>
    <mergeCell ref="J139:K139"/>
    <mergeCell ref="H142:I142"/>
    <mergeCell ref="J142:K142"/>
    <mergeCell ref="H145:I145"/>
    <mergeCell ref="J145:K145"/>
    <mergeCell ref="H130:I130"/>
    <mergeCell ref="J130:K130"/>
    <mergeCell ref="H133:I133"/>
    <mergeCell ref="J133:K133"/>
    <mergeCell ref="H136:I136"/>
    <mergeCell ref="J136:K136"/>
    <mergeCell ref="H162:I162"/>
    <mergeCell ref="J162:K162"/>
    <mergeCell ref="H165:I165"/>
    <mergeCell ref="J165:K165"/>
    <mergeCell ref="H168:I168"/>
    <mergeCell ref="J168:K168"/>
    <mergeCell ref="H158:I158"/>
    <mergeCell ref="J158:K158"/>
    <mergeCell ref="H159:I159"/>
    <mergeCell ref="J159:K159"/>
    <mergeCell ref="H184:I184"/>
    <mergeCell ref="J184:K184"/>
    <mergeCell ref="H195:I195"/>
    <mergeCell ref="J195:K195"/>
    <mergeCell ref="J171:K171"/>
    <mergeCell ref="H171:I171"/>
    <mergeCell ref="A171:G171"/>
    <mergeCell ref="A173:K173"/>
    <mergeCell ref="H183:I183"/>
    <mergeCell ref="J183:K183"/>
    <mergeCell ref="H210:I210"/>
    <mergeCell ref="J210:K210"/>
    <mergeCell ref="H213:I213"/>
    <mergeCell ref="J213:K213"/>
    <mergeCell ref="H196:I196"/>
    <mergeCell ref="J196:K196"/>
    <mergeCell ref="B199:J199"/>
    <mergeCell ref="H209:I209"/>
    <mergeCell ref="J209:K209"/>
    <mergeCell ref="H233:I233"/>
    <mergeCell ref="J233:K233"/>
    <mergeCell ref="H234:I234"/>
    <mergeCell ref="J234:K234"/>
    <mergeCell ref="H216:I216"/>
    <mergeCell ref="J216:K216"/>
    <mergeCell ref="H219:I219"/>
    <mergeCell ref="J219:K219"/>
    <mergeCell ref="H222:I222"/>
    <mergeCell ref="J222:K222"/>
    <mergeCell ref="H254:I254"/>
    <mergeCell ref="J254:K254"/>
    <mergeCell ref="H255:I255"/>
    <mergeCell ref="J255:K255"/>
    <mergeCell ref="H237:I237"/>
    <mergeCell ref="J237:K237"/>
    <mergeCell ref="H240:I240"/>
    <mergeCell ref="J240:K240"/>
    <mergeCell ref="H243:I243"/>
    <mergeCell ref="J243:K243"/>
    <mergeCell ref="H278:I278"/>
    <mergeCell ref="J278:K278"/>
    <mergeCell ref="H289:I289"/>
    <mergeCell ref="J289:K289"/>
    <mergeCell ref="A264:G264"/>
    <mergeCell ref="A266:K266"/>
    <mergeCell ref="H277:I277"/>
    <mergeCell ref="J277:K277"/>
    <mergeCell ref="H258:I258"/>
    <mergeCell ref="J258:K258"/>
    <mergeCell ref="H261:I261"/>
    <mergeCell ref="J261:K261"/>
    <mergeCell ref="J264:K264"/>
    <mergeCell ref="H264:I264"/>
    <mergeCell ref="H301:I301"/>
    <mergeCell ref="J301:K301"/>
    <mergeCell ref="H305:I305"/>
    <mergeCell ref="J305:K305"/>
    <mergeCell ref="J308:K308"/>
    <mergeCell ref="H308:I308"/>
    <mergeCell ref="H290:I290"/>
    <mergeCell ref="J290:K290"/>
    <mergeCell ref="H294:I294"/>
    <mergeCell ref="J294:K294"/>
    <mergeCell ref="H297:I297"/>
    <mergeCell ref="J297:K297"/>
    <mergeCell ref="H321:I321"/>
    <mergeCell ref="J321:K321"/>
    <mergeCell ref="H325:I325"/>
    <mergeCell ref="J325:K325"/>
    <mergeCell ref="H329:I329"/>
    <mergeCell ref="J329:K329"/>
    <mergeCell ref="A308:G308"/>
    <mergeCell ref="A310:K310"/>
    <mergeCell ref="H320:I320"/>
    <mergeCell ref="J320:K320"/>
    <mergeCell ref="H345:I345"/>
    <mergeCell ref="J345:K345"/>
    <mergeCell ref="H349:I349"/>
    <mergeCell ref="J349:K349"/>
    <mergeCell ref="H353:I353"/>
    <mergeCell ref="J353:K353"/>
    <mergeCell ref="H340:I340"/>
    <mergeCell ref="J340:K340"/>
    <mergeCell ref="H341:I341"/>
    <mergeCell ref="J341:K341"/>
    <mergeCell ref="H369:I369"/>
    <mergeCell ref="J369:K369"/>
    <mergeCell ref="H373:I373"/>
    <mergeCell ref="J373:K373"/>
    <mergeCell ref="H377:I377"/>
    <mergeCell ref="J377:K377"/>
    <mergeCell ref="H357:I357"/>
    <mergeCell ref="J357:K357"/>
    <mergeCell ref="H368:I368"/>
    <mergeCell ref="J368:K368"/>
    <mergeCell ref="H397:I397"/>
    <mergeCell ref="J397:K397"/>
    <mergeCell ref="H401:I401"/>
    <mergeCell ref="J401:K401"/>
    <mergeCell ref="H381:I381"/>
    <mergeCell ref="J381:K381"/>
    <mergeCell ref="H385:I385"/>
    <mergeCell ref="J385:K385"/>
    <mergeCell ref="H396:I396"/>
    <mergeCell ref="J396:K396"/>
    <mergeCell ref="H417:I417"/>
    <mergeCell ref="J417:K417"/>
    <mergeCell ref="H428:I428"/>
    <mergeCell ref="J428:K428"/>
    <mergeCell ref="H405:I405"/>
    <mergeCell ref="J405:K405"/>
    <mergeCell ref="H409:I409"/>
    <mergeCell ref="J409:K409"/>
    <mergeCell ref="H413:I413"/>
    <mergeCell ref="J413:K413"/>
    <mergeCell ref="H448:I448"/>
    <mergeCell ref="J448:K448"/>
    <mergeCell ref="H449:I449"/>
    <mergeCell ref="J449:K449"/>
    <mergeCell ref="H429:I429"/>
    <mergeCell ref="J429:K429"/>
    <mergeCell ref="H433:I433"/>
    <mergeCell ref="J433:K433"/>
    <mergeCell ref="H437:I437"/>
    <mergeCell ref="J437:K437"/>
    <mergeCell ref="H471:I471"/>
    <mergeCell ref="J471:K471"/>
    <mergeCell ref="J474:K474"/>
    <mergeCell ref="H474:I474"/>
    <mergeCell ref="H453:I453"/>
    <mergeCell ref="J453:K453"/>
    <mergeCell ref="H457:I457"/>
    <mergeCell ref="J457:K457"/>
    <mergeCell ref="H470:I470"/>
    <mergeCell ref="J470:K470"/>
    <mergeCell ref="H501:I501"/>
    <mergeCell ref="J501:K501"/>
    <mergeCell ref="H513:I513"/>
    <mergeCell ref="J513:K513"/>
    <mergeCell ref="H488:I488"/>
    <mergeCell ref="J488:K488"/>
    <mergeCell ref="H500:I500"/>
    <mergeCell ref="J500:K500"/>
    <mergeCell ref="A474:G474"/>
    <mergeCell ref="A476:K476"/>
    <mergeCell ref="H487:I487"/>
    <mergeCell ref="J487:K487"/>
    <mergeCell ref="H540:I540"/>
    <mergeCell ref="J540:K540"/>
    <mergeCell ref="H553:I553"/>
    <mergeCell ref="J553:K553"/>
    <mergeCell ref="H527:I527"/>
    <mergeCell ref="J527:K527"/>
    <mergeCell ref="H539:I539"/>
    <mergeCell ref="J539:K539"/>
    <mergeCell ref="H514:I514"/>
    <mergeCell ref="J514:K514"/>
    <mergeCell ref="H526:I526"/>
    <mergeCell ref="J526:K526"/>
    <mergeCell ref="H582:I582"/>
    <mergeCell ref="J582:K582"/>
    <mergeCell ref="H599:I599"/>
    <mergeCell ref="J599:K599"/>
    <mergeCell ref="H568:I568"/>
    <mergeCell ref="J568:K568"/>
    <mergeCell ref="H581:I581"/>
    <mergeCell ref="J581:K581"/>
    <mergeCell ref="H554:I554"/>
    <mergeCell ref="J554:K554"/>
    <mergeCell ref="H567:I567"/>
    <mergeCell ref="J567:K567"/>
    <mergeCell ref="H613:I613"/>
    <mergeCell ref="J613:K613"/>
    <mergeCell ref="H616:I616"/>
    <mergeCell ref="J616:K616"/>
    <mergeCell ref="H619:I619"/>
    <mergeCell ref="J619:K619"/>
    <mergeCell ref="H600:I600"/>
    <mergeCell ref="J600:K600"/>
    <mergeCell ref="H612:I612"/>
    <mergeCell ref="J612:K612"/>
    <mergeCell ref="H635:I635"/>
    <mergeCell ref="J635:K635"/>
    <mergeCell ref="H638:I638"/>
    <mergeCell ref="J638:K638"/>
    <mergeCell ref="H641:I641"/>
    <mergeCell ref="J641:K641"/>
    <mergeCell ref="H622:I622"/>
    <mergeCell ref="J622:K622"/>
    <mergeCell ref="H634:I634"/>
    <mergeCell ref="J634:K634"/>
    <mergeCell ref="H657:I657"/>
    <mergeCell ref="J657:K657"/>
    <mergeCell ref="H660:I660"/>
    <mergeCell ref="J660:K660"/>
    <mergeCell ref="H663:I663"/>
    <mergeCell ref="J663:K663"/>
    <mergeCell ref="H644:I644"/>
    <mergeCell ref="J644:K644"/>
    <mergeCell ref="H656:I656"/>
    <mergeCell ref="J656:K656"/>
    <mergeCell ref="H679:I679"/>
    <mergeCell ref="J679:K679"/>
    <mergeCell ref="H682:I682"/>
    <mergeCell ref="J682:K682"/>
    <mergeCell ref="H694:I694"/>
    <mergeCell ref="J694:K694"/>
    <mergeCell ref="H675:I675"/>
    <mergeCell ref="J675:K675"/>
    <mergeCell ref="H676:I676"/>
    <mergeCell ref="J676:K676"/>
    <mergeCell ref="H715:I715"/>
    <mergeCell ref="J715:K715"/>
    <mergeCell ref="H728:I728"/>
    <mergeCell ref="J728:K728"/>
    <mergeCell ref="H701:I701"/>
    <mergeCell ref="J701:K701"/>
    <mergeCell ref="H714:I714"/>
    <mergeCell ref="J714:K714"/>
    <mergeCell ref="H695:I695"/>
    <mergeCell ref="J695:K695"/>
    <mergeCell ref="H698:I698"/>
    <mergeCell ref="J698:K698"/>
    <mergeCell ref="A738:G738"/>
    <mergeCell ref="A740:K740"/>
    <mergeCell ref="H750:I750"/>
    <mergeCell ref="J750:K750"/>
    <mergeCell ref="H729:I729"/>
    <mergeCell ref="J729:K729"/>
    <mergeCell ref="H732:I732"/>
    <mergeCell ref="J732:K732"/>
    <mergeCell ref="H735:I735"/>
    <mergeCell ref="J735:K735"/>
    <mergeCell ref="H764:I764"/>
    <mergeCell ref="J764:K764"/>
    <mergeCell ref="H774:I774"/>
    <mergeCell ref="J774:K774"/>
    <mergeCell ref="H751:I751"/>
    <mergeCell ref="J751:K751"/>
    <mergeCell ref="H763:I763"/>
    <mergeCell ref="J763:K763"/>
    <mergeCell ref="J738:K738"/>
    <mergeCell ref="H738:I738"/>
    <mergeCell ref="H792:I792"/>
    <mergeCell ref="J792:K792"/>
    <mergeCell ref="H802:I802"/>
    <mergeCell ref="J802:K802"/>
    <mergeCell ref="H788:I788"/>
    <mergeCell ref="J788:K788"/>
    <mergeCell ref="H789:I789"/>
    <mergeCell ref="J789:K789"/>
    <mergeCell ref="H775:I775"/>
    <mergeCell ref="J775:K775"/>
    <mergeCell ref="H778:I778"/>
    <mergeCell ref="J778:K778"/>
    <mergeCell ref="H816:I816"/>
    <mergeCell ref="J816:K816"/>
    <mergeCell ref="H819:I819"/>
    <mergeCell ref="J819:K819"/>
    <mergeCell ref="H803:I803"/>
    <mergeCell ref="J803:K803"/>
    <mergeCell ref="H806:I806"/>
    <mergeCell ref="J806:K806"/>
    <mergeCell ref="H815:I815"/>
    <mergeCell ref="J815:K815"/>
    <mergeCell ref="H832:I832"/>
    <mergeCell ref="J832:K832"/>
    <mergeCell ref="H835:I835"/>
    <mergeCell ref="J835:K835"/>
    <mergeCell ref="H838:I838"/>
    <mergeCell ref="J838:K838"/>
    <mergeCell ref="H828:I828"/>
    <mergeCell ref="J828:K828"/>
    <mergeCell ref="H829:I829"/>
    <mergeCell ref="J829:K829"/>
    <mergeCell ref="H852:I852"/>
    <mergeCell ref="J852:K852"/>
    <mergeCell ref="H855:I855"/>
    <mergeCell ref="J855:K855"/>
    <mergeCell ref="H858:I858"/>
    <mergeCell ref="J858:K858"/>
    <mergeCell ref="H848:I848"/>
    <mergeCell ref="J848:K848"/>
    <mergeCell ref="H849:I849"/>
    <mergeCell ref="J849:K849"/>
    <mergeCell ref="A879:G879"/>
    <mergeCell ref="A881:K881"/>
    <mergeCell ref="H892:I892"/>
    <mergeCell ref="J892:K892"/>
    <mergeCell ref="H875:I875"/>
    <mergeCell ref="J875:K875"/>
    <mergeCell ref="H876:I876"/>
    <mergeCell ref="J876:K876"/>
    <mergeCell ref="H861:I861"/>
    <mergeCell ref="J861:K861"/>
    <mergeCell ref="H864:I864"/>
    <mergeCell ref="J864:K864"/>
    <mergeCell ref="H867:I867"/>
    <mergeCell ref="J867:K867"/>
    <mergeCell ref="H908:I908"/>
    <mergeCell ref="J908:K908"/>
    <mergeCell ref="H909:I909"/>
    <mergeCell ref="J909:K909"/>
    <mergeCell ref="H893:I893"/>
    <mergeCell ref="J893:K893"/>
    <mergeCell ref="H897:I897"/>
    <mergeCell ref="J897:K897"/>
    <mergeCell ref="J879:K879"/>
    <mergeCell ref="H879:I879"/>
    <mergeCell ref="H924:I924"/>
    <mergeCell ref="J924:K924"/>
    <mergeCell ref="H925:I925"/>
    <mergeCell ref="J925:K925"/>
    <mergeCell ref="H912:I912"/>
    <mergeCell ref="J912:K912"/>
    <mergeCell ref="J915:K915"/>
    <mergeCell ref="H915:I915"/>
    <mergeCell ref="A915:G915"/>
    <mergeCell ref="A917:K917"/>
    <mergeCell ref="H943:I943"/>
    <mergeCell ref="J943:K943"/>
    <mergeCell ref="H947:I947"/>
    <mergeCell ref="J947:K947"/>
    <mergeCell ref="H928:I928"/>
    <mergeCell ref="J928:K928"/>
    <mergeCell ref="H931:I931"/>
    <mergeCell ref="J931:K931"/>
    <mergeCell ref="H942:I942"/>
    <mergeCell ref="J942:K942"/>
    <mergeCell ref="H963:I963"/>
    <mergeCell ref="J963:K963"/>
    <mergeCell ref="H967:I967"/>
    <mergeCell ref="J967:K967"/>
    <mergeCell ref="J970:K970"/>
    <mergeCell ref="H970:I970"/>
    <mergeCell ref="H950:I950"/>
    <mergeCell ref="J950:K950"/>
    <mergeCell ref="H962:I962"/>
    <mergeCell ref="J962:K962"/>
    <mergeCell ref="H982:I982"/>
    <mergeCell ref="J982:K982"/>
    <mergeCell ref="H985:I985"/>
    <mergeCell ref="J985:K985"/>
    <mergeCell ref="H988:I988"/>
    <mergeCell ref="J988:K988"/>
    <mergeCell ref="A970:G970"/>
    <mergeCell ref="A972:K972"/>
    <mergeCell ref="H981:I981"/>
    <mergeCell ref="J981:K981"/>
    <mergeCell ref="J1008:K1008"/>
    <mergeCell ref="H1008:I1008"/>
    <mergeCell ref="A1008:G1008"/>
    <mergeCell ref="H1003:I1003"/>
    <mergeCell ref="J1003:K1003"/>
    <mergeCell ref="J1006:K1006"/>
    <mergeCell ref="H1006:I1006"/>
    <mergeCell ref="A1006:G1006"/>
    <mergeCell ref="H999:I999"/>
    <mergeCell ref="J999:K999"/>
    <mergeCell ref="H1000:I1000"/>
    <mergeCell ref="J1000:K1000"/>
  </mergeCells>
  <pageMargins left="0.4" right="0.2" top="0.2" bottom="0.4" header="0.2" footer="0.2"/>
  <pageSetup paperSize="9" scale="71" fitToHeight="0" orientation="portrait" verticalDpi="0" r:id="rId1"/>
  <headerFooter>
    <oddHeader>&amp;L&amp;8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6632-706F-4B68-984D-B0331F18F254}">
  <dimension ref="A1:K411"/>
  <sheetViews>
    <sheetView topLeftCell="A393" zoomScale="60" workbookViewId="0">
      <selection activeCell="B187" sqref="B187"/>
    </sheetView>
  </sheetViews>
  <sheetFormatPr defaultRowHeight="12.5" x14ac:dyDescent="0.25"/>
  <cols>
    <col min="1" max="1" width="5.54296875" customWidth="1"/>
    <col min="2" max="2" width="11.54296875" customWidth="1"/>
    <col min="3" max="3" width="40.54296875" customWidth="1"/>
    <col min="4" max="4" width="11.54296875" customWidth="1"/>
    <col min="5" max="5" width="8.453125" bestFit="1" customWidth="1"/>
    <col min="6" max="6" width="11.26953125" customWidth="1"/>
    <col min="7" max="7" width="8.453125" bestFit="1" customWidth="1"/>
    <col min="11" max="11" width="13.1796875" customWidth="1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542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613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38.229999999999997</v>
      </c>
      <c r="J13" s="5">
        <v>582.52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37.97</v>
      </c>
      <c r="J14" s="7">
        <v>568.39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0.26</v>
      </c>
      <c r="J15" s="7">
        <v>14.13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239</v>
      </c>
      <c r="F16" s="145"/>
      <c r="G16" s="145"/>
      <c r="H16" s="145"/>
      <c r="I16" s="7">
        <v>2.2799999999999998</v>
      </c>
      <c r="J16" s="7">
        <v>129.93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240</v>
      </c>
      <c r="F17" s="145"/>
      <c r="G17" s="145"/>
      <c r="H17" s="145"/>
      <c r="I17" s="7">
        <v>180.6</v>
      </c>
      <c r="J17" s="7"/>
      <c r="K17" s="2" t="s">
        <v>224</v>
      </c>
    </row>
    <row r="18" spans="1:11" ht="14" x14ac:dyDescent="0.3">
      <c r="A18" s="2"/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14" x14ac:dyDescent="0.3">
      <c r="A19" s="2" t="s">
        <v>252</v>
      </c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42" customHeight="1" x14ac:dyDescent="0.3">
      <c r="A20" s="146" t="s">
        <v>457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 spans="1:11" ht="140" x14ac:dyDescent="0.25">
      <c r="A21" s="8" t="s">
        <v>241</v>
      </c>
      <c r="B21" s="8" t="s">
        <v>242</v>
      </c>
      <c r="C21" s="8" t="s">
        <v>243</v>
      </c>
      <c r="D21" s="8" t="s">
        <v>244</v>
      </c>
      <c r="E21" s="8" t="s">
        <v>245</v>
      </c>
      <c r="F21" s="8" t="s">
        <v>246</v>
      </c>
      <c r="G21" s="9" t="s">
        <v>247</v>
      </c>
      <c r="H21" s="9" t="s">
        <v>248</v>
      </c>
      <c r="I21" s="8" t="s">
        <v>254</v>
      </c>
      <c r="J21" s="8" t="s">
        <v>249</v>
      </c>
      <c r="K21" s="8" t="s">
        <v>250</v>
      </c>
    </row>
    <row r="22" spans="1:11" ht="14" x14ac:dyDescent="0.25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  <c r="G22" s="8">
        <v>7</v>
      </c>
      <c r="H22" s="8">
        <v>8</v>
      </c>
      <c r="I22" s="8">
        <v>9</v>
      </c>
      <c r="J22" s="8">
        <v>10</v>
      </c>
      <c r="K22" s="8">
        <v>11</v>
      </c>
    </row>
    <row r="23" spans="1:11" ht="16.5" x14ac:dyDescent="0.25">
      <c r="A23" s="144" t="s">
        <v>543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ht="144" x14ac:dyDescent="0.25">
      <c r="A24" s="10">
        <v>1</v>
      </c>
      <c r="B24" s="10" t="s">
        <v>458</v>
      </c>
      <c r="C24" s="10" t="s">
        <v>459</v>
      </c>
      <c r="D24" s="12" t="s">
        <v>50</v>
      </c>
      <c r="E24" s="11">
        <v>0.66</v>
      </c>
      <c r="F24" s="14"/>
      <c r="G24" s="13"/>
      <c r="H24" s="11"/>
      <c r="I24" s="14"/>
      <c r="J24" s="11"/>
      <c r="K24" s="14"/>
    </row>
    <row r="25" spans="1:11" x14ac:dyDescent="0.25">
      <c r="C25" s="23" t="s">
        <v>544</v>
      </c>
    </row>
    <row r="26" spans="1:11" ht="14.5" x14ac:dyDescent="0.25">
      <c r="A26" s="10"/>
      <c r="B26" s="10"/>
      <c r="C26" s="10" t="s">
        <v>256</v>
      </c>
      <c r="D26" s="12"/>
      <c r="E26" s="11"/>
      <c r="F26" s="14">
        <v>236.83</v>
      </c>
      <c r="G26" s="15" t="s">
        <v>460</v>
      </c>
      <c r="H26" s="11">
        <v>1</v>
      </c>
      <c r="I26" s="14">
        <v>215.7</v>
      </c>
      <c r="J26" s="11">
        <v>57.05</v>
      </c>
      <c r="K26" s="14">
        <v>12305.69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4.07</v>
      </c>
      <c r="G27" s="15" t="s">
        <v>461</v>
      </c>
      <c r="H27" s="11">
        <v>1</v>
      </c>
      <c r="I27" s="14">
        <v>4.03</v>
      </c>
      <c r="J27" s="11">
        <v>13.79</v>
      </c>
      <c r="K27" s="14">
        <v>55.57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0.3</v>
      </c>
      <c r="G28" s="15" t="s">
        <v>461</v>
      </c>
      <c r="H28" s="11">
        <v>1</v>
      </c>
      <c r="I28" s="16">
        <v>0.3</v>
      </c>
      <c r="J28" s="11">
        <v>57.05</v>
      </c>
      <c r="K28" s="16">
        <v>17.12</v>
      </c>
    </row>
    <row r="29" spans="1:11" ht="14.5" x14ac:dyDescent="0.25">
      <c r="A29" s="10"/>
      <c r="B29" s="10"/>
      <c r="C29" s="10" t="s">
        <v>259</v>
      </c>
      <c r="D29" s="12"/>
      <c r="E29" s="11"/>
      <c r="F29" s="14">
        <v>30.04</v>
      </c>
      <c r="G29" s="15" t="s">
        <v>1</v>
      </c>
      <c r="H29" s="11">
        <v>1</v>
      </c>
      <c r="I29" s="14">
        <v>19.829999999999998</v>
      </c>
      <c r="J29" s="11">
        <v>1.83</v>
      </c>
      <c r="K29" s="14">
        <v>36.29</v>
      </c>
    </row>
    <row r="30" spans="1:11" ht="14.5" x14ac:dyDescent="0.25">
      <c r="A30" s="10"/>
      <c r="B30" s="10"/>
      <c r="C30" s="10" t="s">
        <v>260</v>
      </c>
      <c r="D30" s="12" t="s">
        <v>261</v>
      </c>
      <c r="E30" s="11">
        <v>109</v>
      </c>
      <c r="F30" s="14"/>
      <c r="G30" s="13"/>
      <c r="H30" s="11"/>
      <c r="I30" s="14">
        <v>235.44</v>
      </c>
      <c r="J30" s="11">
        <v>109</v>
      </c>
      <c r="K30" s="14">
        <v>13431.86</v>
      </c>
    </row>
    <row r="31" spans="1:11" ht="14.5" x14ac:dyDescent="0.25">
      <c r="A31" s="10"/>
      <c r="B31" s="10"/>
      <c r="C31" s="10" t="s">
        <v>262</v>
      </c>
      <c r="D31" s="12" t="s">
        <v>261</v>
      </c>
      <c r="E31" s="11">
        <v>61</v>
      </c>
      <c r="F31" s="14"/>
      <c r="G31" s="13"/>
      <c r="H31" s="11"/>
      <c r="I31" s="14">
        <v>131.76</v>
      </c>
      <c r="J31" s="11">
        <v>61</v>
      </c>
      <c r="K31" s="14">
        <v>7516.91</v>
      </c>
    </row>
    <row r="32" spans="1:11" ht="14.5" x14ac:dyDescent="0.25">
      <c r="A32" s="17"/>
      <c r="B32" s="17"/>
      <c r="C32" s="17" t="s">
        <v>263</v>
      </c>
      <c r="D32" s="18" t="s">
        <v>264</v>
      </c>
      <c r="E32" s="19">
        <v>19.12</v>
      </c>
      <c r="F32" s="20"/>
      <c r="G32" s="21" t="s">
        <v>460</v>
      </c>
      <c r="H32" s="19">
        <v>1</v>
      </c>
      <c r="I32" s="20">
        <v>17.41</v>
      </c>
      <c r="J32" s="19"/>
      <c r="K32" s="20"/>
    </row>
    <row r="33" spans="1:11" ht="14" x14ac:dyDescent="0.25">
      <c r="C33" s="22" t="s">
        <v>265</v>
      </c>
      <c r="H33" s="143">
        <v>606.76</v>
      </c>
      <c r="I33" s="143"/>
      <c r="J33" s="143">
        <v>33346.32</v>
      </c>
      <c r="K33" s="143"/>
    </row>
    <row r="34" spans="1:11" ht="14" x14ac:dyDescent="0.25">
      <c r="C34" s="22" t="s">
        <v>267</v>
      </c>
      <c r="H34" s="141">
        <v>606.76</v>
      </c>
      <c r="I34" s="141"/>
      <c r="J34" s="141">
        <v>33346.32</v>
      </c>
      <c r="K34" s="141"/>
    </row>
    <row r="36" spans="1:11" ht="56" x14ac:dyDescent="0.25">
      <c r="A36" s="17">
        <v>2</v>
      </c>
      <c r="B36" s="17" t="s">
        <v>545</v>
      </c>
      <c r="C36" s="17" t="s">
        <v>462</v>
      </c>
      <c r="D36" s="18" t="s">
        <v>52</v>
      </c>
      <c r="E36" s="19">
        <v>5</v>
      </c>
      <c r="F36" s="20">
        <v>28.1</v>
      </c>
      <c r="G36" s="21" t="s">
        <v>1</v>
      </c>
      <c r="H36" s="19">
        <v>1</v>
      </c>
      <c r="I36" s="20">
        <v>140.5</v>
      </c>
      <c r="J36" s="19">
        <v>18.63</v>
      </c>
      <c r="K36" s="20">
        <v>2617.52</v>
      </c>
    </row>
    <row r="37" spans="1:11" ht="14" x14ac:dyDescent="0.25">
      <c r="C37" s="22" t="s">
        <v>267</v>
      </c>
      <c r="H37" s="143">
        <v>140.5</v>
      </c>
      <c r="I37" s="143"/>
      <c r="J37" s="143">
        <v>2617.52</v>
      </c>
      <c r="K37" s="143"/>
    </row>
    <row r="39" spans="1:11" ht="70" x14ac:dyDescent="0.25">
      <c r="A39" s="17">
        <v>3</v>
      </c>
      <c r="B39" s="17" t="s">
        <v>546</v>
      </c>
      <c r="C39" s="17" t="s">
        <v>616</v>
      </c>
      <c r="D39" s="18" t="s">
        <v>38</v>
      </c>
      <c r="E39" s="19">
        <v>130</v>
      </c>
      <c r="F39" s="20">
        <v>17.329999999999998</v>
      </c>
      <c r="G39" s="21" t="s">
        <v>1</v>
      </c>
      <c r="H39" s="19">
        <v>1</v>
      </c>
      <c r="I39" s="20">
        <v>2252.9</v>
      </c>
      <c r="J39" s="19">
        <v>0.98</v>
      </c>
      <c r="K39" s="20">
        <v>2207.84</v>
      </c>
    </row>
    <row r="40" spans="1:11" ht="14" x14ac:dyDescent="0.25">
      <c r="C40" s="22" t="s">
        <v>267</v>
      </c>
      <c r="H40" s="143">
        <v>2252.9</v>
      </c>
      <c r="I40" s="143"/>
      <c r="J40" s="143">
        <v>2207.84</v>
      </c>
      <c r="K40" s="143"/>
    </row>
    <row r="42" spans="1:11" ht="56" x14ac:dyDescent="0.25">
      <c r="A42" s="17">
        <v>4</v>
      </c>
      <c r="B42" s="17" t="s">
        <v>547</v>
      </c>
      <c r="C42" s="17" t="s">
        <v>463</v>
      </c>
      <c r="D42" s="18" t="s">
        <v>52</v>
      </c>
      <c r="E42" s="19">
        <v>21</v>
      </c>
      <c r="F42" s="20">
        <v>31.41</v>
      </c>
      <c r="G42" s="21" t="s">
        <v>1</v>
      </c>
      <c r="H42" s="19">
        <v>1</v>
      </c>
      <c r="I42" s="20">
        <v>659.61</v>
      </c>
      <c r="J42" s="19">
        <v>18.510000000000002</v>
      </c>
      <c r="K42" s="20">
        <v>12209.38</v>
      </c>
    </row>
    <row r="43" spans="1:11" ht="14" x14ac:dyDescent="0.25">
      <c r="C43" s="22" t="s">
        <v>267</v>
      </c>
      <c r="H43" s="143">
        <v>659.61</v>
      </c>
      <c r="I43" s="143"/>
      <c r="J43" s="143">
        <v>12209.38</v>
      </c>
      <c r="K43" s="143"/>
    </row>
    <row r="45" spans="1:11" ht="70" x14ac:dyDescent="0.25">
      <c r="A45" s="17">
        <v>5</v>
      </c>
      <c r="B45" s="17" t="s">
        <v>546</v>
      </c>
      <c r="C45" s="17" t="s">
        <v>464</v>
      </c>
      <c r="D45" s="18" t="s">
        <v>38</v>
      </c>
      <c r="E45" s="19">
        <v>20</v>
      </c>
      <c r="F45" s="20">
        <v>17.329999999999998</v>
      </c>
      <c r="G45" s="21" t="s">
        <v>1</v>
      </c>
      <c r="H45" s="19">
        <v>1</v>
      </c>
      <c r="I45" s="20">
        <v>346.6</v>
      </c>
      <c r="J45" s="19">
        <v>0.98</v>
      </c>
      <c r="K45" s="20">
        <v>339.67</v>
      </c>
    </row>
    <row r="46" spans="1:11" ht="14" x14ac:dyDescent="0.25">
      <c r="C46" s="22" t="s">
        <v>267</v>
      </c>
      <c r="H46" s="143">
        <v>346.6</v>
      </c>
      <c r="I46" s="143"/>
      <c r="J46" s="143">
        <v>339.67</v>
      </c>
      <c r="K46" s="143"/>
    </row>
    <row r="48" spans="1:11" ht="14.5" x14ac:dyDescent="0.25">
      <c r="A48" s="10">
        <v>6</v>
      </c>
      <c r="B48" s="10" t="s">
        <v>548</v>
      </c>
      <c r="C48" s="10" t="s">
        <v>465</v>
      </c>
      <c r="D48" s="12" t="s">
        <v>28</v>
      </c>
      <c r="E48" s="11">
        <v>7.2000000000000005E-4</v>
      </c>
      <c r="F48" s="14">
        <v>26867.38</v>
      </c>
      <c r="G48" s="15" t="s">
        <v>1</v>
      </c>
      <c r="H48" s="11">
        <v>1</v>
      </c>
      <c r="I48" s="14">
        <v>19.34</v>
      </c>
      <c r="J48" s="11">
        <v>4.3899999999999997</v>
      </c>
      <c r="K48" s="14">
        <v>84.9</v>
      </c>
    </row>
    <row r="49" spans="1:11" x14ac:dyDescent="0.25">
      <c r="A49" s="24"/>
      <c r="B49" s="24"/>
      <c r="C49" s="25" t="s">
        <v>549</v>
      </c>
      <c r="D49" s="24"/>
      <c r="E49" s="24"/>
      <c r="F49" s="24"/>
      <c r="G49" s="24"/>
      <c r="H49" s="24"/>
      <c r="I49" s="24"/>
      <c r="J49" s="24"/>
      <c r="K49" s="24"/>
    </row>
    <row r="50" spans="1:11" ht="14" x14ac:dyDescent="0.25">
      <c r="C50" s="22" t="s">
        <v>267</v>
      </c>
      <c r="H50" s="143">
        <v>19.34</v>
      </c>
      <c r="I50" s="143"/>
      <c r="J50" s="143">
        <v>84.9</v>
      </c>
      <c r="K50" s="143"/>
    </row>
    <row r="52" spans="1:11" ht="56" x14ac:dyDescent="0.25">
      <c r="A52" s="17">
        <v>7</v>
      </c>
      <c r="B52" s="17" t="s">
        <v>550</v>
      </c>
      <c r="C52" s="17" t="s">
        <v>466</v>
      </c>
      <c r="D52" s="18" t="s">
        <v>52</v>
      </c>
      <c r="E52" s="19">
        <v>40</v>
      </c>
      <c r="F52" s="20">
        <v>41.57</v>
      </c>
      <c r="G52" s="21" t="s">
        <v>1</v>
      </c>
      <c r="H52" s="19">
        <v>1</v>
      </c>
      <c r="I52" s="20">
        <v>1662.8</v>
      </c>
      <c r="J52" s="19">
        <v>16.559999999999999</v>
      </c>
      <c r="K52" s="20">
        <v>27535.97</v>
      </c>
    </row>
    <row r="53" spans="1:11" ht="14" x14ac:dyDescent="0.25">
      <c r="C53" s="22" t="s">
        <v>267</v>
      </c>
      <c r="H53" s="143">
        <v>1662.8</v>
      </c>
      <c r="I53" s="143"/>
      <c r="J53" s="143">
        <v>27535.97</v>
      </c>
      <c r="K53" s="143"/>
    </row>
    <row r="55" spans="1:11" ht="70" x14ac:dyDescent="0.25">
      <c r="A55" s="17">
        <v>8</v>
      </c>
      <c r="B55" s="17" t="s">
        <v>551</v>
      </c>
      <c r="C55" s="17" t="s">
        <v>617</v>
      </c>
      <c r="D55" s="18" t="s">
        <v>38</v>
      </c>
      <c r="E55" s="19">
        <v>20</v>
      </c>
      <c r="F55" s="20">
        <v>19.61</v>
      </c>
      <c r="G55" s="21" t="s">
        <v>1</v>
      </c>
      <c r="H55" s="19">
        <v>1</v>
      </c>
      <c r="I55" s="20">
        <v>392.2</v>
      </c>
      <c r="J55" s="19">
        <v>0.91</v>
      </c>
      <c r="K55" s="20">
        <v>356.9</v>
      </c>
    </row>
    <row r="56" spans="1:11" ht="14" x14ac:dyDescent="0.25">
      <c r="C56" s="22" t="s">
        <v>267</v>
      </c>
      <c r="H56" s="143">
        <v>392.2</v>
      </c>
      <c r="I56" s="143"/>
      <c r="J56" s="143">
        <v>356.9</v>
      </c>
      <c r="K56" s="143"/>
    </row>
    <row r="58" spans="1:11" ht="14.5" x14ac:dyDescent="0.25">
      <c r="A58" s="10">
        <v>9</v>
      </c>
      <c r="B58" s="10" t="s">
        <v>548</v>
      </c>
      <c r="C58" s="10" t="s">
        <v>465</v>
      </c>
      <c r="D58" s="12" t="s">
        <v>28</v>
      </c>
      <c r="E58" s="11">
        <v>7.2000000000000005E-4</v>
      </c>
      <c r="F58" s="14">
        <v>26867.38</v>
      </c>
      <c r="G58" s="15" t="s">
        <v>1</v>
      </c>
      <c r="H58" s="11">
        <v>1</v>
      </c>
      <c r="I58" s="14">
        <v>19.34</v>
      </c>
      <c r="J58" s="11">
        <v>4.3899999999999997</v>
      </c>
      <c r="K58" s="14">
        <v>84.9</v>
      </c>
    </row>
    <row r="59" spans="1:11" x14ac:dyDescent="0.25">
      <c r="A59" s="24"/>
      <c r="B59" s="24"/>
      <c r="C59" s="25" t="s">
        <v>549</v>
      </c>
      <c r="D59" s="24"/>
      <c r="E59" s="24"/>
      <c r="F59" s="24"/>
      <c r="G59" s="24"/>
      <c r="H59" s="24"/>
      <c r="I59" s="24"/>
      <c r="J59" s="24"/>
      <c r="K59" s="24"/>
    </row>
    <row r="60" spans="1:11" ht="14" x14ac:dyDescent="0.25">
      <c r="C60" s="22" t="s">
        <v>267</v>
      </c>
      <c r="H60" s="143">
        <v>19.34</v>
      </c>
      <c r="I60" s="143"/>
      <c r="J60" s="143">
        <v>84.9</v>
      </c>
      <c r="K60" s="143"/>
    </row>
    <row r="62" spans="1:11" ht="56" x14ac:dyDescent="0.25">
      <c r="A62" s="17">
        <v>10</v>
      </c>
      <c r="B62" s="17" t="s">
        <v>552</v>
      </c>
      <c r="C62" s="17" t="s">
        <v>467</v>
      </c>
      <c r="D62" s="18" t="s">
        <v>38</v>
      </c>
      <c r="E62" s="19">
        <v>10</v>
      </c>
      <c r="F62" s="20">
        <v>17.59</v>
      </c>
      <c r="G62" s="21" t="s">
        <v>1</v>
      </c>
      <c r="H62" s="19">
        <v>1</v>
      </c>
      <c r="I62" s="20">
        <v>175.9</v>
      </c>
      <c r="J62" s="19">
        <v>7.1</v>
      </c>
      <c r="K62" s="20">
        <v>1248.8900000000001</v>
      </c>
    </row>
    <row r="63" spans="1:11" ht="14" x14ac:dyDescent="0.25">
      <c r="C63" s="22" t="s">
        <v>267</v>
      </c>
      <c r="H63" s="143">
        <v>175.9</v>
      </c>
      <c r="I63" s="143"/>
      <c r="J63" s="143">
        <v>1248.8900000000001</v>
      </c>
      <c r="K63" s="143"/>
    </row>
    <row r="65" spans="1:11" ht="56" x14ac:dyDescent="0.25">
      <c r="A65" s="17">
        <v>11</v>
      </c>
      <c r="B65" s="17" t="s">
        <v>553</v>
      </c>
      <c r="C65" s="17" t="s">
        <v>468</v>
      </c>
      <c r="D65" s="18" t="s">
        <v>38</v>
      </c>
      <c r="E65" s="19">
        <v>5</v>
      </c>
      <c r="F65" s="20">
        <v>28.16</v>
      </c>
      <c r="G65" s="21" t="s">
        <v>1</v>
      </c>
      <c r="H65" s="19">
        <v>1</v>
      </c>
      <c r="I65" s="20">
        <v>140.80000000000001</v>
      </c>
      <c r="J65" s="19">
        <v>5.38</v>
      </c>
      <c r="K65" s="20">
        <v>757.5</v>
      </c>
    </row>
    <row r="66" spans="1:11" ht="14" x14ac:dyDescent="0.25">
      <c r="C66" s="22" t="s">
        <v>267</v>
      </c>
      <c r="H66" s="143">
        <v>140.80000000000001</v>
      </c>
      <c r="I66" s="143"/>
      <c r="J66" s="143">
        <v>757.5</v>
      </c>
      <c r="K66" s="143"/>
    </row>
    <row r="68" spans="1:11" ht="56" x14ac:dyDescent="0.25">
      <c r="A68" s="17">
        <v>12</v>
      </c>
      <c r="B68" s="17" t="s">
        <v>554</v>
      </c>
      <c r="C68" s="17" t="s">
        <v>469</v>
      </c>
      <c r="D68" s="18" t="s">
        <v>38</v>
      </c>
      <c r="E68" s="19">
        <v>2</v>
      </c>
      <c r="F68" s="20">
        <v>66.81</v>
      </c>
      <c r="G68" s="21" t="s">
        <v>1</v>
      </c>
      <c r="H68" s="19">
        <v>1</v>
      </c>
      <c r="I68" s="20">
        <v>133.62</v>
      </c>
      <c r="J68" s="19">
        <v>3.99</v>
      </c>
      <c r="K68" s="20">
        <v>533.14</v>
      </c>
    </row>
    <row r="69" spans="1:11" ht="14" x14ac:dyDescent="0.25">
      <c r="C69" s="22" t="s">
        <v>267</v>
      </c>
      <c r="H69" s="143">
        <v>133.62</v>
      </c>
      <c r="I69" s="143"/>
      <c r="J69" s="143">
        <v>533.14</v>
      </c>
      <c r="K69" s="143"/>
    </row>
    <row r="71" spans="1:11" ht="144" x14ac:dyDescent="0.25">
      <c r="A71" s="10">
        <v>13</v>
      </c>
      <c r="B71" s="10" t="s">
        <v>470</v>
      </c>
      <c r="C71" s="10" t="s">
        <v>471</v>
      </c>
      <c r="D71" s="12" t="s">
        <v>50</v>
      </c>
      <c r="E71" s="11">
        <v>0.5</v>
      </c>
      <c r="F71" s="14"/>
      <c r="G71" s="13"/>
      <c r="H71" s="11"/>
      <c r="I71" s="14"/>
      <c r="J71" s="11"/>
      <c r="K71" s="14"/>
    </row>
    <row r="72" spans="1:11" x14ac:dyDescent="0.25">
      <c r="C72" s="23" t="s">
        <v>402</v>
      </c>
    </row>
    <row r="73" spans="1:11" ht="14.5" x14ac:dyDescent="0.25">
      <c r="A73" s="10"/>
      <c r="B73" s="10"/>
      <c r="C73" s="10" t="s">
        <v>256</v>
      </c>
      <c r="D73" s="12"/>
      <c r="E73" s="11"/>
      <c r="F73" s="14">
        <v>180.31</v>
      </c>
      <c r="G73" s="15" t="s">
        <v>460</v>
      </c>
      <c r="H73" s="11">
        <v>1</v>
      </c>
      <c r="I73" s="14">
        <v>124.41</v>
      </c>
      <c r="J73" s="11">
        <v>57.05</v>
      </c>
      <c r="K73" s="14">
        <v>7097.59</v>
      </c>
    </row>
    <row r="74" spans="1:11" ht="14.5" x14ac:dyDescent="0.25">
      <c r="A74" s="10"/>
      <c r="B74" s="10"/>
      <c r="C74" s="10" t="s">
        <v>257</v>
      </c>
      <c r="D74" s="12"/>
      <c r="E74" s="11"/>
      <c r="F74" s="14">
        <v>18.38</v>
      </c>
      <c r="G74" s="15" t="s">
        <v>461</v>
      </c>
      <c r="H74" s="11">
        <v>1</v>
      </c>
      <c r="I74" s="14">
        <v>13.79</v>
      </c>
      <c r="J74" s="11">
        <v>12.64</v>
      </c>
      <c r="K74" s="14">
        <v>174.31</v>
      </c>
    </row>
    <row r="75" spans="1:11" ht="14.5" x14ac:dyDescent="0.25">
      <c r="A75" s="10"/>
      <c r="B75" s="10"/>
      <c r="C75" s="10" t="s">
        <v>258</v>
      </c>
      <c r="D75" s="12"/>
      <c r="E75" s="11"/>
      <c r="F75" s="14">
        <v>0.5</v>
      </c>
      <c r="G75" s="15" t="s">
        <v>461</v>
      </c>
      <c r="H75" s="11">
        <v>1</v>
      </c>
      <c r="I75" s="16">
        <v>0.38</v>
      </c>
      <c r="J75" s="11">
        <v>57.05</v>
      </c>
      <c r="K75" s="16">
        <v>21.68</v>
      </c>
    </row>
    <row r="76" spans="1:11" ht="14.5" x14ac:dyDescent="0.25">
      <c r="A76" s="10"/>
      <c r="B76" s="10"/>
      <c r="C76" s="10" t="s">
        <v>259</v>
      </c>
      <c r="D76" s="12"/>
      <c r="E76" s="11"/>
      <c r="F76" s="14">
        <v>153.1</v>
      </c>
      <c r="G76" s="15" t="s">
        <v>1</v>
      </c>
      <c r="H76" s="11">
        <v>1</v>
      </c>
      <c r="I76" s="14">
        <v>76.55</v>
      </c>
      <c r="J76" s="11">
        <v>1.95</v>
      </c>
      <c r="K76" s="14">
        <v>149.27000000000001</v>
      </c>
    </row>
    <row r="77" spans="1:11" ht="70" x14ac:dyDescent="0.25">
      <c r="A77" s="10" t="s">
        <v>472</v>
      </c>
      <c r="B77" s="10" t="s">
        <v>555</v>
      </c>
      <c r="C77" s="10" t="s">
        <v>473</v>
      </c>
      <c r="D77" s="12" t="s">
        <v>52</v>
      </c>
      <c r="E77" s="11">
        <v>51.25</v>
      </c>
      <c r="F77" s="14">
        <v>16.100000000000001</v>
      </c>
      <c r="G77" s="15" t="s">
        <v>1</v>
      </c>
      <c r="H77" s="11">
        <v>1</v>
      </c>
      <c r="I77" s="14">
        <v>825.13</v>
      </c>
      <c r="J77" s="11">
        <v>2.66</v>
      </c>
      <c r="K77" s="14">
        <v>2194.85</v>
      </c>
    </row>
    <row r="78" spans="1:11" ht="28" x14ac:dyDescent="0.25">
      <c r="A78" s="10" t="s">
        <v>474</v>
      </c>
      <c r="B78" s="10" t="s">
        <v>556</v>
      </c>
      <c r="C78" s="10" t="s">
        <v>475</v>
      </c>
      <c r="D78" s="12" t="s">
        <v>38</v>
      </c>
      <c r="E78" s="11">
        <v>0.52500000000000002</v>
      </c>
      <c r="F78" s="14">
        <v>11.82</v>
      </c>
      <c r="G78" s="15" t="s">
        <v>1</v>
      </c>
      <c r="H78" s="11">
        <v>1</v>
      </c>
      <c r="I78" s="14">
        <v>6.21</v>
      </c>
      <c r="J78" s="11">
        <v>5.77</v>
      </c>
      <c r="K78" s="14">
        <v>35.83</v>
      </c>
    </row>
    <row r="79" spans="1:11" ht="14.5" x14ac:dyDescent="0.25">
      <c r="A79" s="10"/>
      <c r="B79" s="10"/>
      <c r="C79" s="10" t="s">
        <v>260</v>
      </c>
      <c r="D79" s="12" t="s">
        <v>261</v>
      </c>
      <c r="E79" s="11">
        <v>109</v>
      </c>
      <c r="F79" s="14"/>
      <c r="G79" s="13"/>
      <c r="H79" s="11"/>
      <c r="I79" s="14">
        <v>136.02000000000001</v>
      </c>
      <c r="J79" s="11">
        <v>109</v>
      </c>
      <c r="K79" s="14">
        <v>7760</v>
      </c>
    </row>
    <row r="80" spans="1:11" ht="14.5" x14ac:dyDescent="0.25">
      <c r="A80" s="10"/>
      <c r="B80" s="10"/>
      <c r="C80" s="10" t="s">
        <v>262</v>
      </c>
      <c r="D80" s="12" t="s">
        <v>261</v>
      </c>
      <c r="E80" s="11">
        <v>61</v>
      </c>
      <c r="F80" s="14"/>
      <c r="G80" s="13"/>
      <c r="H80" s="11"/>
      <c r="I80" s="14">
        <v>76.12</v>
      </c>
      <c r="J80" s="11">
        <v>61</v>
      </c>
      <c r="K80" s="14">
        <v>4342.75</v>
      </c>
    </row>
    <row r="81" spans="1:11" ht="14.5" x14ac:dyDescent="0.25">
      <c r="A81" s="17"/>
      <c r="B81" s="17"/>
      <c r="C81" s="17" t="s">
        <v>263</v>
      </c>
      <c r="D81" s="18" t="s">
        <v>264</v>
      </c>
      <c r="E81" s="19">
        <v>14.56</v>
      </c>
      <c r="F81" s="20"/>
      <c r="G81" s="21" t="s">
        <v>460</v>
      </c>
      <c r="H81" s="19">
        <v>1</v>
      </c>
      <c r="I81" s="20">
        <v>10.050000000000001</v>
      </c>
      <c r="J81" s="19"/>
      <c r="K81" s="20"/>
    </row>
    <row r="82" spans="1:11" ht="14" x14ac:dyDescent="0.25">
      <c r="C82" s="22" t="s">
        <v>265</v>
      </c>
      <c r="H82" s="143">
        <v>1258.23</v>
      </c>
      <c r="I82" s="143"/>
      <c r="J82" s="143">
        <v>21754.6</v>
      </c>
      <c r="K82" s="143"/>
    </row>
    <row r="83" spans="1:11" ht="14" x14ac:dyDescent="0.25">
      <c r="C83" s="22" t="s">
        <v>267</v>
      </c>
      <c r="H83" s="141">
        <v>1258.23</v>
      </c>
      <c r="I83" s="141"/>
      <c r="J83" s="141">
        <v>21754.6</v>
      </c>
      <c r="K83" s="141"/>
    </row>
    <row r="85" spans="1:11" ht="144" x14ac:dyDescent="0.25">
      <c r="A85" s="10">
        <v>14</v>
      </c>
      <c r="B85" s="10" t="s">
        <v>476</v>
      </c>
      <c r="C85" s="10" t="s">
        <v>477</v>
      </c>
      <c r="D85" s="12" t="s">
        <v>557</v>
      </c>
      <c r="E85" s="11">
        <v>2.11</v>
      </c>
      <c r="F85" s="14"/>
      <c r="G85" s="13"/>
      <c r="H85" s="11"/>
      <c r="I85" s="14"/>
      <c r="J85" s="11"/>
      <c r="K85" s="14"/>
    </row>
    <row r="86" spans="1:11" x14ac:dyDescent="0.25">
      <c r="C86" s="23" t="s">
        <v>558</v>
      </c>
    </row>
    <row r="87" spans="1:11" ht="14.5" x14ac:dyDescent="0.25">
      <c r="A87" s="10"/>
      <c r="B87" s="10"/>
      <c r="C87" s="10" t="s">
        <v>256</v>
      </c>
      <c r="D87" s="12"/>
      <c r="E87" s="11"/>
      <c r="F87" s="14">
        <v>21.01</v>
      </c>
      <c r="G87" s="15" t="s">
        <v>460</v>
      </c>
      <c r="H87" s="11">
        <v>1</v>
      </c>
      <c r="I87" s="14">
        <v>61.18</v>
      </c>
      <c r="J87" s="11">
        <v>57.05</v>
      </c>
      <c r="K87" s="14">
        <v>3490.32</v>
      </c>
    </row>
    <row r="88" spans="1:11" ht="14.5" x14ac:dyDescent="0.25">
      <c r="A88" s="10"/>
      <c r="B88" s="10"/>
      <c r="C88" s="10" t="s">
        <v>257</v>
      </c>
      <c r="D88" s="12"/>
      <c r="E88" s="11"/>
      <c r="F88" s="14">
        <v>1.1000000000000001</v>
      </c>
      <c r="G88" s="15" t="s">
        <v>461</v>
      </c>
      <c r="H88" s="11">
        <v>1</v>
      </c>
      <c r="I88" s="14">
        <v>3.48</v>
      </c>
      <c r="J88" s="11">
        <v>13.09</v>
      </c>
      <c r="K88" s="14">
        <v>45.55</v>
      </c>
    </row>
    <row r="89" spans="1:11" ht="14.5" x14ac:dyDescent="0.25">
      <c r="A89" s="10"/>
      <c r="B89" s="10"/>
      <c r="C89" s="10" t="s">
        <v>260</v>
      </c>
      <c r="D89" s="12" t="s">
        <v>261</v>
      </c>
      <c r="E89" s="11">
        <v>109</v>
      </c>
      <c r="F89" s="14"/>
      <c r="G89" s="13"/>
      <c r="H89" s="11"/>
      <c r="I89" s="14">
        <v>66.69</v>
      </c>
      <c r="J89" s="11">
        <v>109</v>
      </c>
      <c r="K89" s="14">
        <v>3804.45</v>
      </c>
    </row>
    <row r="90" spans="1:11" ht="14.5" x14ac:dyDescent="0.25">
      <c r="A90" s="10"/>
      <c r="B90" s="10"/>
      <c r="C90" s="10" t="s">
        <v>262</v>
      </c>
      <c r="D90" s="12" t="s">
        <v>261</v>
      </c>
      <c r="E90" s="11">
        <v>61</v>
      </c>
      <c r="F90" s="14"/>
      <c r="G90" s="13"/>
      <c r="H90" s="11"/>
      <c r="I90" s="14">
        <v>37.32</v>
      </c>
      <c r="J90" s="11">
        <v>61</v>
      </c>
      <c r="K90" s="14">
        <v>2129.1</v>
      </c>
    </row>
    <row r="91" spans="1:11" ht="14.5" x14ac:dyDescent="0.25">
      <c r="A91" s="17"/>
      <c r="B91" s="17"/>
      <c r="C91" s="17" t="s">
        <v>263</v>
      </c>
      <c r="D91" s="18" t="s">
        <v>264</v>
      </c>
      <c r="E91" s="19">
        <v>1.56</v>
      </c>
      <c r="F91" s="20"/>
      <c r="G91" s="21" t="s">
        <v>460</v>
      </c>
      <c r="H91" s="19">
        <v>1</v>
      </c>
      <c r="I91" s="20">
        <v>4.54</v>
      </c>
      <c r="J91" s="19"/>
      <c r="K91" s="20"/>
    </row>
    <row r="92" spans="1:11" ht="14" x14ac:dyDescent="0.25">
      <c r="C92" s="22" t="s">
        <v>265</v>
      </c>
      <c r="H92" s="143">
        <v>168.67</v>
      </c>
      <c r="I92" s="143"/>
      <c r="J92" s="143">
        <v>9469.42</v>
      </c>
      <c r="K92" s="143"/>
    </row>
    <row r="93" spans="1:11" ht="14" x14ac:dyDescent="0.25">
      <c r="C93" s="22" t="s">
        <v>267</v>
      </c>
      <c r="H93" s="141">
        <v>168.67</v>
      </c>
      <c r="I93" s="141"/>
      <c r="J93" s="141">
        <v>9469.42</v>
      </c>
      <c r="K93" s="141"/>
    </row>
    <row r="95" spans="1:11" ht="70" x14ac:dyDescent="0.25">
      <c r="A95" s="17">
        <v>15</v>
      </c>
      <c r="B95" s="17" t="s">
        <v>559</v>
      </c>
      <c r="C95" s="17" t="s">
        <v>478</v>
      </c>
      <c r="D95" s="18" t="s">
        <v>38</v>
      </c>
      <c r="E95" s="19">
        <v>50</v>
      </c>
      <c r="F95" s="20">
        <v>44.79</v>
      </c>
      <c r="G95" s="21" t="s">
        <v>1</v>
      </c>
      <c r="H95" s="19">
        <v>1</v>
      </c>
      <c r="I95" s="20">
        <v>2239.5</v>
      </c>
      <c r="J95" s="19">
        <v>4.2699999999999996</v>
      </c>
      <c r="K95" s="20">
        <v>9562.67</v>
      </c>
    </row>
    <row r="96" spans="1:11" ht="14" x14ac:dyDescent="0.25">
      <c r="C96" s="22" t="s">
        <v>267</v>
      </c>
      <c r="H96" s="143">
        <v>2239.5</v>
      </c>
      <c r="I96" s="143"/>
      <c r="J96" s="143">
        <v>9562.67</v>
      </c>
      <c r="K96" s="143"/>
    </row>
    <row r="98" spans="1:11" ht="70" x14ac:dyDescent="0.25">
      <c r="A98" s="17">
        <v>16</v>
      </c>
      <c r="B98" s="17" t="s">
        <v>560</v>
      </c>
      <c r="C98" s="17" t="s">
        <v>479</v>
      </c>
      <c r="D98" s="18" t="s">
        <v>38</v>
      </c>
      <c r="E98" s="19">
        <v>17</v>
      </c>
      <c r="F98" s="20">
        <v>21.19</v>
      </c>
      <c r="G98" s="21" t="s">
        <v>1</v>
      </c>
      <c r="H98" s="19">
        <v>1</v>
      </c>
      <c r="I98" s="20">
        <v>360.23</v>
      </c>
      <c r="J98" s="19">
        <v>6.74</v>
      </c>
      <c r="K98" s="20">
        <v>2427.9499999999998</v>
      </c>
    </row>
    <row r="99" spans="1:11" ht="14" x14ac:dyDescent="0.25">
      <c r="C99" s="22" t="s">
        <v>267</v>
      </c>
      <c r="H99" s="143">
        <v>360.23</v>
      </c>
      <c r="I99" s="143"/>
      <c r="J99" s="143">
        <v>2427.9499999999998</v>
      </c>
      <c r="K99" s="143"/>
    </row>
    <row r="101" spans="1:11" ht="56" x14ac:dyDescent="0.25">
      <c r="A101" s="17">
        <v>17</v>
      </c>
      <c r="B101" s="17" t="s">
        <v>561</v>
      </c>
      <c r="C101" s="17" t="s">
        <v>480</v>
      </c>
      <c r="D101" s="18" t="s">
        <v>38</v>
      </c>
      <c r="E101" s="19">
        <v>30</v>
      </c>
      <c r="F101" s="20">
        <v>7.39</v>
      </c>
      <c r="G101" s="21" t="s">
        <v>1</v>
      </c>
      <c r="H101" s="19">
        <v>1</v>
      </c>
      <c r="I101" s="20">
        <v>221.7</v>
      </c>
      <c r="J101" s="19">
        <v>14.62</v>
      </c>
      <c r="K101" s="20">
        <v>3241.25</v>
      </c>
    </row>
    <row r="102" spans="1:11" ht="14" x14ac:dyDescent="0.25">
      <c r="C102" s="22" t="s">
        <v>267</v>
      </c>
      <c r="H102" s="143">
        <v>221.7</v>
      </c>
      <c r="I102" s="143"/>
      <c r="J102" s="143">
        <v>3241.25</v>
      </c>
      <c r="K102" s="143"/>
    </row>
    <row r="104" spans="1:11" ht="144" x14ac:dyDescent="0.25">
      <c r="A104" s="10">
        <v>18</v>
      </c>
      <c r="B104" s="10" t="s">
        <v>481</v>
      </c>
      <c r="C104" s="10" t="s">
        <v>482</v>
      </c>
      <c r="D104" s="12" t="s">
        <v>50</v>
      </c>
      <c r="E104" s="11">
        <v>0.04</v>
      </c>
      <c r="F104" s="14"/>
      <c r="G104" s="13"/>
      <c r="H104" s="11"/>
      <c r="I104" s="14"/>
      <c r="J104" s="11"/>
      <c r="K104" s="14"/>
    </row>
    <row r="105" spans="1:11" x14ac:dyDescent="0.25">
      <c r="C105" s="23" t="s">
        <v>393</v>
      </c>
    </row>
    <row r="106" spans="1:11" ht="14.5" x14ac:dyDescent="0.25">
      <c r="A106" s="10"/>
      <c r="B106" s="10"/>
      <c r="C106" s="10" t="s">
        <v>256</v>
      </c>
      <c r="D106" s="12"/>
      <c r="E106" s="11"/>
      <c r="F106" s="14">
        <v>174.07</v>
      </c>
      <c r="G106" s="15" t="s">
        <v>460</v>
      </c>
      <c r="H106" s="11">
        <v>1</v>
      </c>
      <c r="I106" s="14">
        <v>9.61</v>
      </c>
      <c r="J106" s="11">
        <v>57.05</v>
      </c>
      <c r="K106" s="14">
        <v>548.25</v>
      </c>
    </row>
    <row r="107" spans="1:11" ht="14.5" x14ac:dyDescent="0.25">
      <c r="A107" s="10"/>
      <c r="B107" s="10"/>
      <c r="C107" s="10" t="s">
        <v>257</v>
      </c>
      <c r="D107" s="12"/>
      <c r="E107" s="11"/>
      <c r="F107" s="14">
        <v>19.670000000000002</v>
      </c>
      <c r="G107" s="15" t="s">
        <v>461</v>
      </c>
      <c r="H107" s="11">
        <v>1</v>
      </c>
      <c r="I107" s="14">
        <v>1.18</v>
      </c>
      <c r="J107" s="11">
        <v>13.12</v>
      </c>
      <c r="K107" s="14">
        <v>15.48</v>
      </c>
    </row>
    <row r="108" spans="1:11" ht="14.5" x14ac:dyDescent="0.25">
      <c r="A108" s="10"/>
      <c r="B108" s="10"/>
      <c r="C108" s="10" t="s">
        <v>258</v>
      </c>
      <c r="D108" s="12"/>
      <c r="E108" s="11"/>
      <c r="F108" s="14">
        <v>0.76</v>
      </c>
      <c r="G108" s="15" t="s">
        <v>461</v>
      </c>
      <c r="H108" s="11">
        <v>1</v>
      </c>
      <c r="I108" s="16">
        <v>0.05</v>
      </c>
      <c r="J108" s="11">
        <v>57.05</v>
      </c>
      <c r="K108" s="16">
        <v>2.85</v>
      </c>
    </row>
    <row r="109" spans="1:11" ht="14.5" x14ac:dyDescent="0.25">
      <c r="A109" s="10"/>
      <c r="B109" s="10"/>
      <c r="C109" s="10" t="s">
        <v>259</v>
      </c>
      <c r="D109" s="12"/>
      <c r="E109" s="11"/>
      <c r="F109" s="14">
        <v>134.69999999999999</v>
      </c>
      <c r="G109" s="15" t="s">
        <v>1</v>
      </c>
      <c r="H109" s="11">
        <v>1</v>
      </c>
      <c r="I109" s="14">
        <v>5.39</v>
      </c>
      <c r="J109" s="11">
        <v>2.11</v>
      </c>
      <c r="K109" s="14">
        <v>11.37</v>
      </c>
    </row>
    <row r="110" spans="1:11" ht="70" x14ac:dyDescent="0.25">
      <c r="A110" s="10" t="s">
        <v>483</v>
      </c>
      <c r="B110" s="10" t="s">
        <v>562</v>
      </c>
      <c r="C110" s="10" t="s">
        <v>484</v>
      </c>
      <c r="D110" s="12" t="s">
        <v>52</v>
      </c>
      <c r="E110" s="11">
        <v>4.0999999999999996</v>
      </c>
      <c r="F110" s="14">
        <v>25.04</v>
      </c>
      <c r="G110" s="15" t="s">
        <v>1</v>
      </c>
      <c r="H110" s="11">
        <v>1</v>
      </c>
      <c r="I110" s="14">
        <v>102.66</v>
      </c>
      <c r="J110" s="11">
        <v>2.52</v>
      </c>
      <c r="K110" s="14">
        <v>258.7</v>
      </c>
    </row>
    <row r="111" spans="1:11" ht="28" x14ac:dyDescent="0.25">
      <c r="A111" s="10" t="s">
        <v>485</v>
      </c>
      <c r="B111" s="10" t="s">
        <v>556</v>
      </c>
      <c r="C111" s="10" t="s">
        <v>475</v>
      </c>
      <c r="D111" s="12" t="s">
        <v>38</v>
      </c>
      <c r="E111" s="11">
        <v>3.5999999999999997E-2</v>
      </c>
      <c r="F111" s="14">
        <v>11.82</v>
      </c>
      <c r="G111" s="15" t="s">
        <v>1</v>
      </c>
      <c r="H111" s="11">
        <v>1</v>
      </c>
      <c r="I111" s="14">
        <v>0.43</v>
      </c>
      <c r="J111" s="11">
        <v>5.77</v>
      </c>
      <c r="K111" s="14">
        <v>2.48</v>
      </c>
    </row>
    <row r="112" spans="1:11" ht="14.5" x14ac:dyDescent="0.25">
      <c r="A112" s="10"/>
      <c r="B112" s="10"/>
      <c r="C112" s="10" t="s">
        <v>260</v>
      </c>
      <c r="D112" s="12" t="s">
        <v>261</v>
      </c>
      <c r="E112" s="11">
        <v>109</v>
      </c>
      <c r="F112" s="14"/>
      <c r="G112" s="13"/>
      <c r="H112" s="11"/>
      <c r="I112" s="14">
        <v>10.53</v>
      </c>
      <c r="J112" s="11">
        <v>109</v>
      </c>
      <c r="K112" s="14">
        <v>600.70000000000005</v>
      </c>
    </row>
    <row r="113" spans="1:11" ht="14.5" x14ac:dyDescent="0.25">
      <c r="A113" s="10"/>
      <c r="B113" s="10"/>
      <c r="C113" s="10" t="s">
        <v>262</v>
      </c>
      <c r="D113" s="12" t="s">
        <v>261</v>
      </c>
      <c r="E113" s="11">
        <v>61</v>
      </c>
      <c r="F113" s="14"/>
      <c r="G113" s="13"/>
      <c r="H113" s="11"/>
      <c r="I113" s="14">
        <v>5.89</v>
      </c>
      <c r="J113" s="11">
        <v>61</v>
      </c>
      <c r="K113" s="14">
        <v>336.17</v>
      </c>
    </row>
    <row r="114" spans="1:11" ht="14.5" x14ac:dyDescent="0.25">
      <c r="A114" s="17"/>
      <c r="B114" s="17"/>
      <c r="C114" s="17" t="s">
        <v>263</v>
      </c>
      <c r="D114" s="18" t="s">
        <v>264</v>
      </c>
      <c r="E114" s="19">
        <v>14.08</v>
      </c>
      <c r="F114" s="20"/>
      <c r="G114" s="21" t="s">
        <v>460</v>
      </c>
      <c r="H114" s="19">
        <v>1</v>
      </c>
      <c r="I114" s="20">
        <v>0.78</v>
      </c>
      <c r="J114" s="19"/>
      <c r="K114" s="20"/>
    </row>
    <row r="115" spans="1:11" ht="14" x14ac:dyDescent="0.25">
      <c r="C115" s="22" t="s">
        <v>265</v>
      </c>
      <c r="H115" s="143">
        <v>135.69</v>
      </c>
      <c r="I115" s="143"/>
      <c r="J115" s="143">
        <v>1773.15</v>
      </c>
      <c r="K115" s="143"/>
    </row>
    <row r="116" spans="1:11" ht="14" x14ac:dyDescent="0.25">
      <c r="C116" s="22" t="s">
        <v>267</v>
      </c>
      <c r="H116" s="141">
        <v>135.69</v>
      </c>
      <c r="I116" s="141"/>
      <c r="J116" s="141">
        <v>1773.15</v>
      </c>
      <c r="K116" s="141"/>
    </row>
    <row r="118" spans="1:11" ht="144" x14ac:dyDescent="0.25">
      <c r="A118" s="10">
        <v>19</v>
      </c>
      <c r="B118" s="10" t="s">
        <v>486</v>
      </c>
      <c r="C118" s="10" t="s">
        <v>487</v>
      </c>
      <c r="D118" s="12" t="s">
        <v>557</v>
      </c>
      <c r="E118" s="11">
        <v>0.45</v>
      </c>
      <c r="F118" s="14"/>
      <c r="G118" s="13"/>
      <c r="H118" s="11"/>
      <c r="I118" s="14"/>
      <c r="J118" s="11"/>
      <c r="K118" s="14"/>
    </row>
    <row r="119" spans="1:11" x14ac:dyDescent="0.25">
      <c r="C119" s="23" t="s">
        <v>563</v>
      </c>
    </row>
    <row r="120" spans="1:11" ht="14.5" x14ac:dyDescent="0.25">
      <c r="A120" s="10"/>
      <c r="B120" s="10"/>
      <c r="C120" s="10" t="s">
        <v>256</v>
      </c>
      <c r="D120" s="12"/>
      <c r="E120" s="11"/>
      <c r="F120" s="14">
        <v>31.49</v>
      </c>
      <c r="G120" s="15" t="s">
        <v>460</v>
      </c>
      <c r="H120" s="11">
        <v>1</v>
      </c>
      <c r="I120" s="14">
        <v>19.559999999999999</v>
      </c>
      <c r="J120" s="11">
        <v>57.05</v>
      </c>
      <c r="K120" s="14">
        <v>1115.9000000000001</v>
      </c>
    </row>
    <row r="121" spans="1:11" ht="14.5" x14ac:dyDescent="0.25">
      <c r="A121" s="10"/>
      <c r="B121" s="10"/>
      <c r="C121" s="10" t="s">
        <v>257</v>
      </c>
      <c r="D121" s="12"/>
      <c r="E121" s="11"/>
      <c r="F121" s="14">
        <v>1.57</v>
      </c>
      <c r="G121" s="15" t="s">
        <v>461</v>
      </c>
      <c r="H121" s="11">
        <v>1</v>
      </c>
      <c r="I121" s="14">
        <v>1.06</v>
      </c>
      <c r="J121" s="11">
        <v>13.1</v>
      </c>
      <c r="K121" s="14">
        <v>13.89</v>
      </c>
    </row>
    <row r="122" spans="1:11" ht="14.5" x14ac:dyDescent="0.25">
      <c r="A122" s="10"/>
      <c r="B122" s="10"/>
      <c r="C122" s="10" t="s">
        <v>260</v>
      </c>
      <c r="D122" s="12" t="s">
        <v>261</v>
      </c>
      <c r="E122" s="11">
        <v>109</v>
      </c>
      <c r="F122" s="14"/>
      <c r="G122" s="13"/>
      <c r="H122" s="11"/>
      <c r="I122" s="14">
        <v>21.32</v>
      </c>
      <c r="J122" s="11">
        <v>109</v>
      </c>
      <c r="K122" s="14">
        <v>1216.33</v>
      </c>
    </row>
    <row r="123" spans="1:11" ht="14.5" x14ac:dyDescent="0.25">
      <c r="A123" s="10"/>
      <c r="B123" s="10"/>
      <c r="C123" s="10" t="s">
        <v>262</v>
      </c>
      <c r="D123" s="12" t="s">
        <v>261</v>
      </c>
      <c r="E123" s="11">
        <v>61</v>
      </c>
      <c r="F123" s="14"/>
      <c r="G123" s="13"/>
      <c r="H123" s="11"/>
      <c r="I123" s="14">
        <v>11.93</v>
      </c>
      <c r="J123" s="11">
        <v>61</v>
      </c>
      <c r="K123" s="14">
        <v>680.7</v>
      </c>
    </row>
    <row r="124" spans="1:11" ht="14.5" x14ac:dyDescent="0.25">
      <c r="A124" s="17"/>
      <c r="B124" s="17"/>
      <c r="C124" s="17" t="s">
        <v>263</v>
      </c>
      <c r="D124" s="18" t="s">
        <v>264</v>
      </c>
      <c r="E124" s="19">
        <v>2.34</v>
      </c>
      <c r="F124" s="20"/>
      <c r="G124" s="21" t="s">
        <v>460</v>
      </c>
      <c r="H124" s="19">
        <v>1</v>
      </c>
      <c r="I124" s="20">
        <v>1.45</v>
      </c>
      <c r="J124" s="19"/>
      <c r="K124" s="20"/>
    </row>
    <row r="125" spans="1:11" ht="14" x14ac:dyDescent="0.25">
      <c r="C125" s="22" t="s">
        <v>265</v>
      </c>
      <c r="H125" s="143">
        <v>53.87</v>
      </c>
      <c r="I125" s="143"/>
      <c r="J125" s="143">
        <v>3026.82</v>
      </c>
      <c r="K125" s="143"/>
    </row>
    <row r="126" spans="1:11" ht="14" x14ac:dyDescent="0.25">
      <c r="C126" s="22" t="s">
        <v>267</v>
      </c>
      <c r="H126" s="141">
        <v>53.87</v>
      </c>
      <c r="I126" s="141"/>
      <c r="J126" s="141">
        <v>3026.82</v>
      </c>
      <c r="K126" s="141"/>
    </row>
    <row r="128" spans="1:11" ht="70" x14ac:dyDescent="0.25">
      <c r="A128" s="17">
        <v>20</v>
      </c>
      <c r="B128" s="17" t="s">
        <v>2062</v>
      </c>
      <c r="C128" s="17" t="s">
        <v>488</v>
      </c>
      <c r="D128" s="18" t="s">
        <v>38</v>
      </c>
      <c r="E128" s="19">
        <v>5</v>
      </c>
      <c r="F128" s="20">
        <v>128.46</v>
      </c>
      <c r="G128" s="21" t="s">
        <v>1</v>
      </c>
      <c r="H128" s="19">
        <v>1</v>
      </c>
      <c r="I128" s="20">
        <v>642.29999999999995</v>
      </c>
      <c r="J128" s="19">
        <v>2.15</v>
      </c>
      <c r="K128" s="20">
        <v>1380.95</v>
      </c>
    </row>
    <row r="129" spans="1:11" ht="14" x14ac:dyDescent="0.25">
      <c r="C129" s="22" t="s">
        <v>267</v>
      </c>
      <c r="H129" s="143">
        <v>642.29999999999995</v>
      </c>
      <c r="I129" s="143"/>
      <c r="J129" s="143">
        <v>1380.95</v>
      </c>
      <c r="K129" s="143"/>
    </row>
    <row r="131" spans="1:11" ht="42" x14ac:dyDescent="0.25">
      <c r="A131" s="17">
        <v>21</v>
      </c>
      <c r="B131" s="17" t="s">
        <v>564</v>
      </c>
      <c r="C131" s="17" t="s">
        <v>489</v>
      </c>
      <c r="D131" s="18" t="s">
        <v>38</v>
      </c>
      <c r="E131" s="19">
        <v>5</v>
      </c>
      <c r="F131" s="20">
        <v>6.46</v>
      </c>
      <c r="G131" s="21" t="s">
        <v>1</v>
      </c>
      <c r="H131" s="19">
        <v>1</v>
      </c>
      <c r="I131" s="20">
        <v>32.299999999999997</v>
      </c>
      <c r="J131" s="19">
        <v>2.2200000000000002</v>
      </c>
      <c r="K131" s="20">
        <v>71.709999999999994</v>
      </c>
    </row>
    <row r="132" spans="1:11" ht="14" x14ac:dyDescent="0.25">
      <c r="C132" s="22" t="s">
        <v>267</v>
      </c>
      <c r="H132" s="143">
        <v>32.299999999999997</v>
      </c>
      <c r="I132" s="143"/>
      <c r="J132" s="143">
        <v>71.709999999999994</v>
      </c>
      <c r="K132" s="143"/>
    </row>
    <row r="134" spans="1:11" ht="56" x14ac:dyDescent="0.25">
      <c r="A134" s="17">
        <v>22</v>
      </c>
      <c r="B134" s="17" t="s">
        <v>565</v>
      </c>
      <c r="C134" s="17" t="s">
        <v>490</v>
      </c>
      <c r="D134" s="18" t="s">
        <v>38</v>
      </c>
      <c r="E134" s="19">
        <v>5</v>
      </c>
      <c r="F134" s="20">
        <v>9.9499999999999993</v>
      </c>
      <c r="G134" s="21" t="s">
        <v>1</v>
      </c>
      <c r="H134" s="19">
        <v>1</v>
      </c>
      <c r="I134" s="20">
        <v>49.75</v>
      </c>
      <c r="J134" s="19">
        <v>15.46</v>
      </c>
      <c r="K134" s="20">
        <v>769.14</v>
      </c>
    </row>
    <row r="135" spans="1:11" ht="14" x14ac:dyDescent="0.25">
      <c r="C135" s="22" t="s">
        <v>267</v>
      </c>
      <c r="H135" s="143">
        <v>49.75</v>
      </c>
      <c r="I135" s="143"/>
      <c r="J135" s="143">
        <v>769.14</v>
      </c>
      <c r="K135" s="143"/>
    </row>
    <row r="137" spans="1:11" ht="56" x14ac:dyDescent="0.25">
      <c r="A137" s="17">
        <v>23</v>
      </c>
      <c r="B137" s="17" t="s">
        <v>566</v>
      </c>
      <c r="C137" s="17" t="s">
        <v>618</v>
      </c>
      <c r="D137" s="18" t="s">
        <v>38</v>
      </c>
      <c r="E137" s="19">
        <v>5</v>
      </c>
      <c r="F137" s="20">
        <v>3.87</v>
      </c>
      <c r="G137" s="21" t="s">
        <v>1</v>
      </c>
      <c r="H137" s="19">
        <v>1</v>
      </c>
      <c r="I137" s="20">
        <v>19.350000000000001</v>
      </c>
      <c r="J137" s="19">
        <v>3.74</v>
      </c>
      <c r="K137" s="20">
        <v>72.37</v>
      </c>
    </row>
    <row r="138" spans="1:11" ht="14" x14ac:dyDescent="0.25">
      <c r="C138" s="22" t="s">
        <v>267</v>
      </c>
      <c r="H138" s="143">
        <v>19.350000000000001</v>
      </c>
      <c r="I138" s="143"/>
      <c r="J138" s="143">
        <v>72.37</v>
      </c>
      <c r="K138" s="143"/>
    </row>
    <row r="140" spans="1:11" ht="144" x14ac:dyDescent="0.25">
      <c r="A140" s="10">
        <v>24</v>
      </c>
      <c r="B140" s="10" t="s">
        <v>491</v>
      </c>
      <c r="C140" s="10" t="s">
        <v>492</v>
      </c>
      <c r="D140" s="12" t="s">
        <v>567</v>
      </c>
      <c r="E140" s="11">
        <v>6.6</v>
      </c>
      <c r="F140" s="14"/>
      <c r="G140" s="13"/>
      <c r="H140" s="11"/>
      <c r="I140" s="14"/>
      <c r="J140" s="11"/>
      <c r="K140" s="14"/>
    </row>
    <row r="141" spans="1:11" x14ac:dyDescent="0.25">
      <c r="C141" s="23" t="s">
        <v>568</v>
      </c>
    </row>
    <row r="142" spans="1:11" ht="14.5" x14ac:dyDescent="0.25">
      <c r="A142" s="10"/>
      <c r="B142" s="10"/>
      <c r="C142" s="10" t="s">
        <v>256</v>
      </c>
      <c r="D142" s="12"/>
      <c r="E142" s="11"/>
      <c r="F142" s="14">
        <v>28.6</v>
      </c>
      <c r="G142" s="15" t="s">
        <v>460</v>
      </c>
      <c r="H142" s="11">
        <v>1</v>
      </c>
      <c r="I142" s="14">
        <v>260.49</v>
      </c>
      <c r="J142" s="11">
        <v>57.05</v>
      </c>
      <c r="K142" s="14">
        <v>14860.95</v>
      </c>
    </row>
    <row r="143" spans="1:11" ht="14.5" x14ac:dyDescent="0.25">
      <c r="A143" s="10"/>
      <c r="B143" s="10"/>
      <c r="C143" s="10" t="s">
        <v>257</v>
      </c>
      <c r="D143" s="12"/>
      <c r="E143" s="11"/>
      <c r="F143" s="14">
        <v>0.75</v>
      </c>
      <c r="G143" s="15" t="s">
        <v>461</v>
      </c>
      <c r="H143" s="11">
        <v>1</v>
      </c>
      <c r="I143" s="14">
        <v>7.43</v>
      </c>
      <c r="J143" s="11">
        <v>17.399999999999999</v>
      </c>
      <c r="K143" s="14">
        <v>129.28</v>
      </c>
    </row>
    <row r="144" spans="1:11" ht="14.5" x14ac:dyDescent="0.25">
      <c r="A144" s="10"/>
      <c r="B144" s="10"/>
      <c r="C144" s="10" t="s">
        <v>258</v>
      </c>
      <c r="D144" s="12"/>
      <c r="E144" s="11"/>
      <c r="F144" s="14">
        <v>0.11</v>
      </c>
      <c r="G144" s="15" t="s">
        <v>461</v>
      </c>
      <c r="H144" s="11">
        <v>1</v>
      </c>
      <c r="I144" s="16">
        <v>1.0900000000000001</v>
      </c>
      <c r="J144" s="11">
        <v>57.05</v>
      </c>
      <c r="K144" s="16">
        <v>62.18</v>
      </c>
    </row>
    <row r="145" spans="1:11" ht="14.5" x14ac:dyDescent="0.25">
      <c r="A145" s="10"/>
      <c r="B145" s="10"/>
      <c r="C145" s="10" t="s">
        <v>259</v>
      </c>
      <c r="D145" s="12"/>
      <c r="E145" s="11"/>
      <c r="F145" s="14">
        <v>55.68</v>
      </c>
      <c r="G145" s="15" t="s">
        <v>1</v>
      </c>
      <c r="H145" s="11">
        <v>1</v>
      </c>
      <c r="I145" s="14">
        <v>367.49</v>
      </c>
      <c r="J145" s="11">
        <v>19.07</v>
      </c>
      <c r="K145" s="14">
        <v>7008.03</v>
      </c>
    </row>
    <row r="146" spans="1:11" ht="42" x14ac:dyDescent="0.25">
      <c r="A146" s="10" t="s">
        <v>42</v>
      </c>
      <c r="B146" s="10" t="s">
        <v>569</v>
      </c>
      <c r="C146" s="10" t="s">
        <v>493</v>
      </c>
      <c r="D146" s="12" t="s">
        <v>52</v>
      </c>
      <c r="E146" s="11">
        <v>99</v>
      </c>
      <c r="F146" s="14">
        <v>1.5</v>
      </c>
      <c r="G146" s="15" t="s">
        <v>1</v>
      </c>
      <c r="H146" s="11">
        <v>1</v>
      </c>
      <c r="I146" s="14">
        <v>148.5</v>
      </c>
      <c r="J146" s="11">
        <v>3.35</v>
      </c>
      <c r="K146" s="14">
        <v>497.48</v>
      </c>
    </row>
    <row r="147" spans="1:11" ht="14.5" x14ac:dyDescent="0.25">
      <c r="A147" s="10"/>
      <c r="B147" s="10"/>
      <c r="C147" s="10" t="s">
        <v>260</v>
      </c>
      <c r="D147" s="12" t="s">
        <v>261</v>
      </c>
      <c r="E147" s="11">
        <v>87</v>
      </c>
      <c r="F147" s="14"/>
      <c r="G147" s="13"/>
      <c r="H147" s="11"/>
      <c r="I147" s="14">
        <v>227.57</v>
      </c>
      <c r="J147" s="11">
        <v>87</v>
      </c>
      <c r="K147" s="14">
        <v>12983.12</v>
      </c>
    </row>
    <row r="148" spans="1:11" ht="14.5" x14ac:dyDescent="0.25">
      <c r="A148" s="10"/>
      <c r="B148" s="10"/>
      <c r="C148" s="10" t="s">
        <v>262</v>
      </c>
      <c r="D148" s="12" t="s">
        <v>261</v>
      </c>
      <c r="E148" s="11">
        <v>47</v>
      </c>
      <c r="F148" s="14"/>
      <c r="G148" s="13"/>
      <c r="H148" s="11"/>
      <c r="I148" s="14">
        <v>122.94</v>
      </c>
      <c r="J148" s="11">
        <v>47</v>
      </c>
      <c r="K148" s="14">
        <v>7013.87</v>
      </c>
    </row>
    <row r="149" spans="1:11" ht="14.5" x14ac:dyDescent="0.25">
      <c r="A149" s="17"/>
      <c r="B149" s="17"/>
      <c r="C149" s="17" t="s">
        <v>263</v>
      </c>
      <c r="D149" s="18" t="s">
        <v>264</v>
      </c>
      <c r="E149" s="19">
        <v>2.2000000000000002</v>
      </c>
      <c r="F149" s="20"/>
      <c r="G149" s="21" t="s">
        <v>460</v>
      </c>
      <c r="H149" s="19">
        <v>1</v>
      </c>
      <c r="I149" s="20">
        <v>20.04</v>
      </c>
      <c r="J149" s="19"/>
      <c r="K149" s="20"/>
    </row>
    <row r="150" spans="1:11" ht="14" x14ac:dyDescent="0.25">
      <c r="C150" s="22" t="s">
        <v>265</v>
      </c>
      <c r="H150" s="143">
        <v>1134.42</v>
      </c>
      <c r="I150" s="143"/>
      <c r="J150" s="143">
        <v>42492.73</v>
      </c>
      <c r="K150" s="143"/>
    </row>
    <row r="151" spans="1:11" ht="14" x14ac:dyDescent="0.25">
      <c r="C151" s="22" t="s">
        <v>267</v>
      </c>
      <c r="H151" s="141">
        <v>1134.42</v>
      </c>
      <c r="I151" s="141"/>
      <c r="J151" s="141">
        <v>42492.73</v>
      </c>
      <c r="K151" s="141"/>
    </row>
    <row r="153" spans="1:11" ht="140" x14ac:dyDescent="0.25">
      <c r="A153" s="10">
        <v>25</v>
      </c>
      <c r="B153" s="10" t="s">
        <v>570</v>
      </c>
      <c r="C153" s="10" t="s">
        <v>614</v>
      </c>
      <c r="D153" s="12" t="s">
        <v>52</v>
      </c>
      <c r="E153" s="11">
        <v>5.25</v>
      </c>
      <c r="F153" s="14">
        <v>4.9000000000000004</v>
      </c>
      <c r="G153" s="15" t="s">
        <v>1</v>
      </c>
      <c r="H153" s="11">
        <v>1</v>
      </c>
      <c r="I153" s="14">
        <v>25.73</v>
      </c>
      <c r="J153" s="11">
        <v>6.15</v>
      </c>
      <c r="K153" s="14">
        <v>158.24</v>
      </c>
    </row>
    <row r="154" spans="1:11" x14ac:dyDescent="0.25">
      <c r="A154" s="24"/>
      <c r="B154" s="24"/>
      <c r="C154" s="25" t="s">
        <v>571</v>
      </c>
      <c r="D154" s="24"/>
      <c r="E154" s="24"/>
      <c r="F154" s="24"/>
      <c r="G154" s="24"/>
      <c r="H154" s="24"/>
      <c r="I154" s="24"/>
      <c r="J154" s="24"/>
      <c r="K154" s="24"/>
    </row>
    <row r="155" spans="1:11" ht="14" x14ac:dyDescent="0.25">
      <c r="C155" s="22" t="s">
        <v>267</v>
      </c>
      <c r="H155" s="143">
        <v>25.73</v>
      </c>
      <c r="I155" s="143"/>
      <c r="J155" s="143">
        <v>158.24</v>
      </c>
      <c r="K155" s="143"/>
    </row>
    <row r="157" spans="1:11" ht="140" x14ac:dyDescent="0.25">
      <c r="A157" s="10">
        <v>26</v>
      </c>
      <c r="B157" s="10" t="s">
        <v>570</v>
      </c>
      <c r="C157" s="10" t="s">
        <v>494</v>
      </c>
      <c r="D157" s="12" t="s">
        <v>52</v>
      </c>
      <c r="E157" s="11">
        <v>22.05</v>
      </c>
      <c r="F157" s="14">
        <v>4.9000000000000004</v>
      </c>
      <c r="G157" s="15" t="s">
        <v>1</v>
      </c>
      <c r="H157" s="11">
        <v>1</v>
      </c>
      <c r="I157" s="14">
        <v>108.05</v>
      </c>
      <c r="J157" s="11">
        <v>6.15</v>
      </c>
      <c r="K157" s="14">
        <v>664.51</v>
      </c>
    </row>
    <row r="158" spans="1:11" x14ac:dyDescent="0.25">
      <c r="A158" s="24"/>
      <c r="B158" s="24"/>
      <c r="C158" s="25" t="s">
        <v>572</v>
      </c>
      <c r="D158" s="24"/>
      <c r="E158" s="24"/>
      <c r="F158" s="24"/>
      <c r="G158" s="24"/>
      <c r="H158" s="24"/>
      <c r="I158" s="24"/>
      <c r="J158" s="24"/>
      <c r="K158" s="24"/>
    </row>
    <row r="159" spans="1:11" ht="14" x14ac:dyDescent="0.25">
      <c r="C159" s="22" t="s">
        <v>267</v>
      </c>
      <c r="H159" s="143">
        <v>108.05</v>
      </c>
      <c r="I159" s="143"/>
      <c r="J159" s="143">
        <v>664.51</v>
      </c>
      <c r="K159" s="143"/>
    </row>
    <row r="161" spans="1:11" ht="140" x14ac:dyDescent="0.25">
      <c r="A161" s="10">
        <v>27</v>
      </c>
      <c r="B161" s="10" t="s">
        <v>570</v>
      </c>
      <c r="C161" s="10" t="s">
        <v>615</v>
      </c>
      <c r="D161" s="12" t="s">
        <v>52</v>
      </c>
      <c r="E161" s="11">
        <v>42</v>
      </c>
      <c r="F161" s="14">
        <v>4.9000000000000004</v>
      </c>
      <c r="G161" s="15" t="s">
        <v>1</v>
      </c>
      <c r="H161" s="11">
        <v>1</v>
      </c>
      <c r="I161" s="14">
        <v>205.8</v>
      </c>
      <c r="J161" s="11">
        <v>6.15</v>
      </c>
      <c r="K161" s="14">
        <v>1265.67</v>
      </c>
    </row>
    <row r="162" spans="1:11" x14ac:dyDescent="0.25">
      <c r="A162" s="24"/>
      <c r="B162" s="24"/>
      <c r="C162" s="25" t="s">
        <v>573</v>
      </c>
      <c r="D162" s="24"/>
      <c r="E162" s="24"/>
      <c r="F162" s="24"/>
      <c r="G162" s="24"/>
      <c r="H162" s="24"/>
      <c r="I162" s="24"/>
      <c r="J162" s="24"/>
      <c r="K162" s="24"/>
    </row>
    <row r="163" spans="1:11" ht="14" x14ac:dyDescent="0.25">
      <c r="C163" s="22" t="s">
        <v>267</v>
      </c>
      <c r="H163" s="143">
        <v>205.8</v>
      </c>
      <c r="I163" s="143"/>
      <c r="J163" s="143">
        <v>1265.67</v>
      </c>
      <c r="K163" s="143"/>
    </row>
    <row r="165" spans="1:11" ht="79" x14ac:dyDescent="0.25">
      <c r="A165" s="10">
        <v>28</v>
      </c>
      <c r="B165" s="10" t="s">
        <v>495</v>
      </c>
      <c r="C165" s="10" t="s">
        <v>496</v>
      </c>
      <c r="D165" s="12" t="s">
        <v>24</v>
      </c>
      <c r="E165" s="11">
        <v>3</v>
      </c>
      <c r="F165" s="14"/>
      <c r="G165" s="13"/>
      <c r="H165" s="11"/>
      <c r="I165" s="14"/>
      <c r="J165" s="11"/>
      <c r="K165" s="14"/>
    </row>
    <row r="166" spans="1:11" ht="14.5" x14ac:dyDescent="0.25">
      <c r="A166" s="10"/>
      <c r="B166" s="10"/>
      <c r="C166" s="10" t="s">
        <v>256</v>
      </c>
      <c r="D166" s="12"/>
      <c r="E166" s="11"/>
      <c r="F166" s="14">
        <v>3.9</v>
      </c>
      <c r="G166" s="15" t="s">
        <v>13</v>
      </c>
      <c r="H166" s="11">
        <v>1</v>
      </c>
      <c r="I166" s="14">
        <v>14.04</v>
      </c>
      <c r="J166" s="11">
        <v>57.05</v>
      </c>
      <c r="K166" s="14">
        <v>800.98</v>
      </c>
    </row>
    <row r="167" spans="1:11" ht="14.5" x14ac:dyDescent="0.25">
      <c r="A167" s="10"/>
      <c r="B167" s="10"/>
      <c r="C167" s="10" t="s">
        <v>259</v>
      </c>
      <c r="D167" s="12"/>
      <c r="E167" s="11"/>
      <c r="F167" s="14">
        <v>0.81</v>
      </c>
      <c r="G167" s="15" t="s">
        <v>1</v>
      </c>
      <c r="H167" s="11">
        <v>1</v>
      </c>
      <c r="I167" s="14">
        <v>2.4300000000000002</v>
      </c>
      <c r="J167" s="11">
        <v>15.15</v>
      </c>
      <c r="K167" s="14">
        <v>36.81</v>
      </c>
    </row>
    <row r="168" spans="1:11" ht="14.5" x14ac:dyDescent="0.25">
      <c r="A168" s="10"/>
      <c r="B168" s="10"/>
      <c r="C168" s="10" t="s">
        <v>260</v>
      </c>
      <c r="D168" s="12" t="s">
        <v>261</v>
      </c>
      <c r="E168" s="11">
        <v>90</v>
      </c>
      <c r="F168" s="14"/>
      <c r="G168" s="13"/>
      <c r="H168" s="11"/>
      <c r="I168" s="14">
        <v>12.64</v>
      </c>
      <c r="J168" s="11">
        <v>90</v>
      </c>
      <c r="K168" s="14">
        <v>720.88</v>
      </c>
    </row>
    <row r="169" spans="1:11" ht="14.5" x14ac:dyDescent="0.25">
      <c r="A169" s="10"/>
      <c r="B169" s="10"/>
      <c r="C169" s="10" t="s">
        <v>262</v>
      </c>
      <c r="D169" s="12" t="s">
        <v>261</v>
      </c>
      <c r="E169" s="11">
        <v>46</v>
      </c>
      <c r="F169" s="14"/>
      <c r="G169" s="13"/>
      <c r="H169" s="11"/>
      <c r="I169" s="14">
        <v>6.46</v>
      </c>
      <c r="J169" s="11">
        <v>46</v>
      </c>
      <c r="K169" s="14">
        <v>368.45</v>
      </c>
    </row>
    <row r="170" spans="1:11" ht="14.5" x14ac:dyDescent="0.25">
      <c r="A170" s="17"/>
      <c r="B170" s="17"/>
      <c r="C170" s="17" t="s">
        <v>263</v>
      </c>
      <c r="D170" s="18" t="s">
        <v>264</v>
      </c>
      <c r="E170" s="19">
        <v>0.3</v>
      </c>
      <c r="F170" s="20"/>
      <c r="G170" s="21" t="s">
        <v>13</v>
      </c>
      <c r="H170" s="19">
        <v>1</v>
      </c>
      <c r="I170" s="20">
        <v>1.08</v>
      </c>
      <c r="J170" s="19"/>
      <c r="K170" s="20"/>
    </row>
    <row r="171" spans="1:11" ht="14" x14ac:dyDescent="0.25">
      <c r="C171" s="22" t="s">
        <v>265</v>
      </c>
      <c r="H171" s="143">
        <v>35.57</v>
      </c>
      <c r="I171" s="143"/>
      <c r="J171" s="143">
        <v>1927.12</v>
      </c>
      <c r="K171" s="143"/>
    </row>
    <row r="172" spans="1:11" ht="14" x14ac:dyDescent="0.25">
      <c r="C172" s="22" t="s">
        <v>267</v>
      </c>
      <c r="H172" s="141">
        <v>35.57</v>
      </c>
      <c r="I172" s="141"/>
      <c r="J172" s="141">
        <v>1927.12</v>
      </c>
      <c r="K172" s="141"/>
    </row>
    <row r="174" spans="1:11" ht="84" x14ac:dyDescent="0.25">
      <c r="A174" s="17">
        <v>29</v>
      </c>
      <c r="B174" s="17" t="s">
        <v>574</v>
      </c>
      <c r="C174" s="17" t="s">
        <v>497</v>
      </c>
      <c r="D174" s="18" t="s">
        <v>38</v>
      </c>
      <c r="E174" s="19">
        <v>3</v>
      </c>
      <c r="F174" s="20">
        <v>132.38</v>
      </c>
      <c r="G174" s="21" t="s">
        <v>1</v>
      </c>
      <c r="H174" s="19">
        <v>1</v>
      </c>
      <c r="I174" s="20">
        <v>397.14</v>
      </c>
      <c r="J174" s="19">
        <v>4.09</v>
      </c>
      <c r="K174" s="20">
        <v>1624.3</v>
      </c>
    </row>
    <row r="175" spans="1:11" ht="14" x14ac:dyDescent="0.25">
      <c r="C175" s="22" t="s">
        <v>267</v>
      </c>
      <c r="H175" s="143">
        <v>397.14</v>
      </c>
      <c r="I175" s="143"/>
      <c r="J175" s="143">
        <v>1624.3</v>
      </c>
      <c r="K175" s="143"/>
    </row>
    <row r="177" spans="1:11" ht="144" x14ac:dyDescent="0.25">
      <c r="A177" s="10">
        <v>30</v>
      </c>
      <c r="B177" s="10" t="s">
        <v>498</v>
      </c>
      <c r="C177" s="10" t="s">
        <v>499</v>
      </c>
      <c r="D177" s="12" t="s">
        <v>575</v>
      </c>
      <c r="E177" s="11">
        <v>0.66</v>
      </c>
      <c r="F177" s="14"/>
      <c r="G177" s="13"/>
      <c r="H177" s="11"/>
      <c r="I177" s="14"/>
      <c r="J177" s="11"/>
      <c r="K177" s="14"/>
    </row>
    <row r="178" spans="1:11" x14ac:dyDescent="0.25">
      <c r="C178" s="23" t="s">
        <v>544</v>
      </c>
    </row>
    <row r="179" spans="1:11" ht="14.5" x14ac:dyDescent="0.25">
      <c r="A179" s="10"/>
      <c r="B179" s="10"/>
      <c r="C179" s="10" t="s">
        <v>256</v>
      </c>
      <c r="D179" s="12"/>
      <c r="E179" s="11"/>
      <c r="F179" s="14">
        <v>76.45</v>
      </c>
      <c r="G179" s="15" t="s">
        <v>460</v>
      </c>
      <c r="H179" s="11">
        <v>1</v>
      </c>
      <c r="I179" s="14">
        <v>69.63</v>
      </c>
      <c r="J179" s="11">
        <v>57.05</v>
      </c>
      <c r="K179" s="14">
        <v>3972.39</v>
      </c>
    </row>
    <row r="180" spans="1:11" ht="14.5" x14ac:dyDescent="0.25">
      <c r="A180" s="10"/>
      <c r="B180" s="10"/>
      <c r="C180" s="10" t="s">
        <v>259</v>
      </c>
      <c r="D180" s="12"/>
      <c r="E180" s="11"/>
      <c r="F180" s="14">
        <v>9.0399999999999991</v>
      </c>
      <c r="G180" s="15" t="s">
        <v>1</v>
      </c>
      <c r="H180" s="11">
        <v>1</v>
      </c>
      <c r="I180" s="14">
        <v>5.97</v>
      </c>
      <c r="J180" s="11">
        <v>7.25</v>
      </c>
      <c r="K180" s="14">
        <v>43.28</v>
      </c>
    </row>
    <row r="181" spans="1:11" ht="14.5" x14ac:dyDescent="0.25">
      <c r="A181" s="10"/>
      <c r="B181" s="10"/>
      <c r="C181" s="10" t="s">
        <v>260</v>
      </c>
      <c r="D181" s="12" t="s">
        <v>261</v>
      </c>
      <c r="E181" s="11">
        <v>109</v>
      </c>
      <c r="F181" s="14"/>
      <c r="G181" s="13"/>
      <c r="H181" s="11"/>
      <c r="I181" s="14">
        <v>75.900000000000006</v>
      </c>
      <c r="J181" s="11">
        <v>109</v>
      </c>
      <c r="K181" s="14">
        <v>4329.91</v>
      </c>
    </row>
    <row r="182" spans="1:11" ht="14.5" x14ac:dyDescent="0.25">
      <c r="A182" s="10"/>
      <c r="B182" s="10"/>
      <c r="C182" s="10" t="s">
        <v>262</v>
      </c>
      <c r="D182" s="12" t="s">
        <v>261</v>
      </c>
      <c r="E182" s="11">
        <v>61</v>
      </c>
      <c r="F182" s="14"/>
      <c r="G182" s="13"/>
      <c r="H182" s="11"/>
      <c r="I182" s="14">
        <v>42.47</v>
      </c>
      <c r="J182" s="11">
        <v>61</v>
      </c>
      <c r="K182" s="14">
        <v>2423.16</v>
      </c>
    </row>
    <row r="183" spans="1:11" ht="14.5" x14ac:dyDescent="0.25">
      <c r="A183" s="17"/>
      <c r="B183" s="17"/>
      <c r="C183" s="17" t="s">
        <v>263</v>
      </c>
      <c r="D183" s="18" t="s">
        <v>264</v>
      </c>
      <c r="E183" s="19">
        <v>5.01</v>
      </c>
      <c r="F183" s="20"/>
      <c r="G183" s="21" t="s">
        <v>460</v>
      </c>
      <c r="H183" s="19">
        <v>1</v>
      </c>
      <c r="I183" s="20">
        <v>4.5599999999999996</v>
      </c>
      <c r="J183" s="19"/>
      <c r="K183" s="20"/>
    </row>
    <row r="184" spans="1:11" ht="14" x14ac:dyDescent="0.25">
      <c r="C184" s="22" t="s">
        <v>265</v>
      </c>
      <c r="H184" s="143">
        <v>193.97</v>
      </c>
      <c r="I184" s="143"/>
      <c r="J184" s="143">
        <v>10768.74</v>
      </c>
      <c r="K184" s="143"/>
    </row>
    <row r="185" spans="1:11" ht="14" x14ac:dyDescent="0.25">
      <c r="C185" s="22" t="s">
        <v>267</v>
      </c>
      <c r="H185" s="141">
        <v>193.97</v>
      </c>
      <c r="I185" s="141"/>
      <c r="J185" s="141">
        <v>10768.74</v>
      </c>
      <c r="K185" s="141"/>
    </row>
    <row r="187" spans="1:11" ht="144" x14ac:dyDescent="0.25">
      <c r="A187" s="10">
        <v>31</v>
      </c>
      <c r="B187" s="10" t="s">
        <v>500</v>
      </c>
      <c r="C187" s="10" t="s">
        <v>501</v>
      </c>
      <c r="D187" s="12" t="s">
        <v>576</v>
      </c>
      <c r="E187" s="11">
        <v>1</v>
      </c>
      <c r="F187" s="14"/>
      <c r="G187" s="13"/>
      <c r="H187" s="11"/>
      <c r="I187" s="14"/>
      <c r="J187" s="11"/>
      <c r="K187" s="14"/>
    </row>
    <row r="188" spans="1:11" ht="14.5" x14ac:dyDescent="0.25">
      <c r="A188" s="10"/>
      <c r="B188" s="10"/>
      <c r="C188" s="10" t="s">
        <v>256</v>
      </c>
      <c r="D188" s="12"/>
      <c r="E188" s="11"/>
      <c r="F188" s="14">
        <v>57.09</v>
      </c>
      <c r="G188" s="15" t="s">
        <v>460</v>
      </c>
      <c r="H188" s="11">
        <v>1</v>
      </c>
      <c r="I188" s="14">
        <v>78.78</v>
      </c>
      <c r="J188" s="11">
        <v>57.05</v>
      </c>
      <c r="K188" s="14">
        <v>4494.3999999999996</v>
      </c>
    </row>
    <row r="189" spans="1:11" ht="14.5" x14ac:dyDescent="0.25">
      <c r="A189" s="10"/>
      <c r="B189" s="10"/>
      <c r="C189" s="10" t="s">
        <v>257</v>
      </c>
      <c r="D189" s="12"/>
      <c r="E189" s="11"/>
      <c r="F189" s="14">
        <v>4.03</v>
      </c>
      <c r="G189" s="15" t="s">
        <v>461</v>
      </c>
      <c r="H189" s="11">
        <v>1</v>
      </c>
      <c r="I189" s="14">
        <v>6.05</v>
      </c>
      <c r="J189" s="11">
        <v>13.74</v>
      </c>
      <c r="K189" s="14">
        <v>83.13</v>
      </c>
    </row>
    <row r="190" spans="1:11" ht="14.5" x14ac:dyDescent="0.25">
      <c r="A190" s="10"/>
      <c r="B190" s="10"/>
      <c r="C190" s="10" t="s">
        <v>258</v>
      </c>
      <c r="D190" s="12"/>
      <c r="E190" s="11"/>
      <c r="F190" s="14">
        <v>0.13</v>
      </c>
      <c r="G190" s="15" t="s">
        <v>461</v>
      </c>
      <c r="H190" s="11">
        <v>1</v>
      </c>
      <c r="I190" s="16">
        <v>0.2</v>
      </c>
      <c r="J190" s="11">
        <v>57.05</v>
      </c>
      <c r="K190" s="16">
        <v>11.41</v>
      </c>
    </row>
    <row r="191" spans="1:11" ht="14.5" x14ac:dyDescent="0.25">
      <c r="A191" s="10"/>
      <c r="B191" s="10"/>
      <c r="C191" s="10" t="s">
        <v>259</v>
      </c>
      <c r="D191" s="12"/>
      <c r="E191" s="11"/>
      <c r="F191" s="14">
        <v>13.64</v>
      </c>
      <c r="G191" s="15" t="s">
        <v>1</v>
      </c>
      <c r="H191" s="11">
        <v>1</v>
      </c>
      <c r="I191" s="14">
        <v>13.64</v>
      </c>
      <c r="J191" s="11">
        <v>7.71</v>
      </c>
      <c r="K191" s="14">
        <v>105.16</v>
      </c>
    </row>
    <row r="192" spans="1:11" ht="14.5" x14ac:dyDescent="0.25">
      <c r="A192" s="10"/>
      <c r="B192" s="10"/>
      <c r="C192" s="10" t="s">
        <v>260</v>
      </c>
      <c r="D192" s="12" t="s">
        <v>261</v>
      </c>
      <c r="E192" s="11">
        <v>109</v>
      </c>
      <c r="F192" s="14"/>
      <c r="G192" s="13"/>
      <c r="H192" s="11"/>
      <c r="I192" s="14">
        <v>86.09</v>
      </c>
      <c r="J192" s="11">
        <v>109</v>
      </c>
      <c r="K192" s="14">
        <v>4911.33</v>
      </c>
    </row>
    <row r="193" spans="1:11" ht="14.5" x14ac:dyDescent="0.25">
      <c r="A193" s="10"/>
      <c r="B193" s="10"/>
      <c r="C193" s="10" t="s">
        <v>262</v>
      </c>
      <c r="D193" s="12" t="s">
        <v>261</v>
      </c>
      <c r="E193" s="11">
        <v>61</v>
      </c>
      <c r="F193" s="14"/>
      <c r="G193" s="13"/>
      <c r="H193" s="11"/>
      <c r="I193" s="14">
        <v>48.18</v>
      </c>
      <c r="J193" s="11">
        <v>61</v>
      </c>
      <c r="K193" s="14">
        <v>2748.54</v>
      </c>
    </row>
    <row r="194" spans="1:11" ht="14.5" x14ac:dyDescent="0.25">
      <c r="A194" s="17"/>
      <c r="B194" s="17"/>
      <c r="C194" s="17" t="s">
        <v>263</v>
      </c>
      <c r="D194" s="18" t="s">
        <v>264</v>
      </c>
      <c r="E194" s="19">
        <v>4.46</v>
      </c>
      <c r="F194" s="20"/>
      <c r="G194" s="21" t="s">
        <v>460</v>
      </c>
      <c r="H194" s="19">
        <v>1</v>
      </c>
      <c r="I194" s="20">
        <v>6.15</v>
      </c>
      <c r="J194" s="19"/>
      <c r="K194" s="20"/>
    </row>
    <row r="195" spans="1:11" ht="14" x14ac:dyDescent="0.25">
      <c r="C195" s="22" t="s">
        <v>265</v>
      </c>
      <c r="H195" s="143">
        <v>232.74</v>
      </c>
      <c r="I195" s="143"/>
      <c r="J195" s="143">
        <v>12342.56</v>
      </c>
      <c r="K195" s="143"/>
    </row>
    <row r="196" spans="1:11" ht="14" x14ac:dyDescent="0.25">
      <c r="C196" s="22" t="s">
        <v>267</v>
      </c>
      <c r="H196" s="141">
        <v>232.74</v>
      </c>
      <c r="I196" s="141"/>
      <c r="J196" s="141">
        <v>12342.56</v>
      </c>
      <c r="K196" s="141"/>
    </row>
    <row r="199" spans="1:11" ht="14" x14ac:dyDescent="0.3">
      <c r="A199" s="140" t="s">
        <v>577</v>
      </c>
      <c r="B199" s="140"/>
      <c r="C199" s="140"/>
      <c r="D199" s="140"/>
      <c r="E199" s="140"/>
      <c r="F199" s="140"/>
      <c r="G199" s="140"/>
      <c r="H199" s="141">
        <v>14065.38</v>
      </c>
      <c r="I199" s="142"/>
      <c r="J199" s="141">
        <v>206116.83</v>
      </c>
      <c r="K199" s="142"/>
    </row>
    <row r="201" spans="1:11" ht="16.5" x14ac:dyDescent="0.25">
      <c r="A201" s="144" t="s">
        <v>578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</row>
    <row r="202" spans="1:11" ht="144" x14ac:dyDescent="0.25">
      <c r="A202" s="10">
        <v>32</v>
      </c>
      <c r="B202" s="10" t="s">
        <v>470</v>
      </c>
      <c r="C202" s="10" t="s">
        <v>471</v>
      </c>
      <c r="D202" s="12" t="s">
        <v>50</v>
      </c>
      <c r="E202" s="11">
        <v>0.2</v>
      </c>
      <c r="F202" s="14"/>
      <c r="G202" s="13"/>
      <c r="H202" s="11"/>
      <c r="I202" s="14"/>
      <c r="J202" s="11"/>
      <c r="K202" s="14"/>
    </row>
    <row r="203" spans="1:11" x14ac:dyDescent="0.25">
      <c r="C203" s="23" t="s">
        <v>579</v>
      </c>
    </row>
    <row r="204" spans="1:11" ht="14.5" x14ac:dyDescent="0.25">
      <c r="A204" s="10"/>
      <c r="B204" s="10"/>
      <c r="C204" s="10" t="s">
        <v>256</v>
      </c>
      <c r="D204" s="12"/>
      <c r="E204" s="11"/>
      <c r="F204" s="14">
        <v>180.31</v>
      </c>
      <c r="G204" s="15" t="s">
        <v>460</v>
      </c>
      <c r="H204" s="11">
        <v>1</v>
      </c>
      <c r="I204" s="14">
        <v>49.77</v>
      </c>
      <c r="J204" s="11">
        <v>57.05</v>
      </c>
      <c r="K204" s="14">
        <v>2839.38</v>
      </c>
    </row>
    <row r="205" spans="1:11" ht="14.5" x14ac:dyDescent="0.25">
      <c r="A205" s="10"/>
      <c r="B205" s="10"/>
      <c r="C205" s="10" t="s">
        <v>257</v>
      </c>
      <c r="D205" s="12"/>
      <c r="E205" s="11"/>
      <c r="F205" s="14">
        <v>18.38</v>
      </c>
      <c r="G205" s="15" t="s">
        <v>461</v>
      </c>
      <c r="H205" s="11">
        <v>1</v>
      </c>
      <c r="I205" s="14">
        <v>5.51</v>
      </c>
      <c r="J205" s="11">
        <v>12.64</v>
      </c>
      <c r="K205" s="14">
        <v>69.650000000000006</v>
      </c>
    </row>
    <row r="206" spans="1:11" ht="14.5" x14ac:dyDescent="0.25">
      <c r="A206" s="10"/>
      <c r="B206" s="10"/>
      <c r="C206" s="10" t="s">
        <v>258</v>
      </c>
      <c r="D206" s="12"/>
      <c r="E206" s="11"/>
      <c r="F206" s="14">
        <v>0.5</v>
      </c>
      <c r="G206" s="15" t="s">
        <v>461</v>
      </c>
      <c r="H206" s="11">
        <v>1</v>
      </c>
      <c r="I206" s="16">
        <v>0.15</v>
      </c>
      <c r="J206" s="11">
        <v>57.05</v>
      </c>
      <c r="K206" s="16">
        <v>8.56</v>
      </c>
    </row>
    <row r="207" spans="1:11" ht="14.5" x14ac:dyDescent="0.25">
      <c r="A207" s="10"/>
      <c r="B207" s="10"/>
      <c r="C207" s="10" t="s">
        <v>259</v>
      </c>
      <c r="D207" s="12"/>
      <c r="E207" s="11"/>
      <c r="F207" s="14">
        <v>153.1</v>
      </c>
      <c r="G207" s="15" t="s">
        <v>1</v>
      </c>
      <c r="H207" s="11">
        <v>1</v>
      </c>
      <c r="I207" s="14">
        <v>30.62</v>
      </c>
      <c r="J207" s="11">
        <v>1.95</v>
      </c>
      <c r="K207" s="14">
        <v>59.71</v>
      </c>
    </row>
    <row r="208" spans="1:11" ht="70" x14ac:dyDescent="0.25">
      <c r="A208" s="10" t="s">
        <v>502</v>
      </c>
      <c r="B208" s="10" t="s">
        <v>555</v>
      </c>
      <c r="C208" s="10" t="s">
        <v>473</v>
      </c>
      <c r="D208" s="12" t="s">
        <v>52</v>
      </c>
      <c r="E208" s="11">
        <v>20.5</v>
      </c>
      <c r="F208" s="14">
        <v>16.100000000000001</v>
      </c>
      <c r="G208" s="15" t="s">
        <v>1</v>
      </c>
      <c r="H208" s="11">
        <v>1</v>
      </c>
      <c r="I208" s="14">
        <v>330.05</v>
      </c>
      <c r="J208" s="11">
        <v>2.66</v>
      </c>
      <c r="K208" s="14">
        <v>877.93</v>
      </c>
    </row>
    <row r="209" spans="1:11" ht="28" x14ac:dyDescent="0.25">
      <c r="A209" s="10" t="s">
        <v>503</v>
      </c>
      <c r="B209" s="10" t="s">
        <v>556</v>
      </c>
      <c r="C209" s="10" t="s">
        <v>475</v>
      </c>
      <c r="D209" s="12" t="s">
        <v>38</v>
      </c>
      <c r="E209" s="11">
        <v>0.21</v>
      </c>
      <c r="F209" s="14">
        <v>11.82</v>
      </c>
      <c r="G209" s="15" t="s">
        <v>1</v>
      </c>
      <c r="H209" s="11">
        <v>1</v>
      </c>
      <c r="I209" s="14">
        <v>2.48</v>
      </c>
      <c r="J209" s="11">
        <v>5.77</v>
      </c>
      <c r="K209" s="14">
        <v>14.31</v>
      </c>
    </row>
    <row r="210" spans="1:11" ht="14.5" x14ac:dyDescent="0.25">
      <c r="A210" s="10"/>
      <c r="B210" s="10"/>
      <c r="C210" s="10" t="s">
        <v>260</v>
      </c>
      <c r="D210" s="12" t="s">
        <v>261</v>
      </c>
      <c r="E210" s="11">
        <v>109</v>
      </c>
      <c r="F210" s="14"/>
      <c r="G210" s="13"/>
      <c r="H210" s="11"/>
      <c r="I210" s="14">
        <v>54.41</v>
      </c>
      <c r="J210" s="11">
        <v>109</v>
      </c>
      <c r="K210" s="14">
        <v>3104.25</v>
      </c>
    </row>
    <row r="211" spans="1:11" ht="14.5" x14ac:dyDescent="0.25">
      <c r="A211" s="10"/>
      <c r="B211" s="10"/>
      <c r="C211" s="10" t="s">
        <v>262</v>
      </c>
      <c r="D211" s="12" t="s">
        <v>261</v>
      </c>
      <c r="E211" s="11">
        <v>61</v>
      </c>
      <c r="F211" s="14"/>
      <c r="G211" s="13"/>
      <c r="H211" s="11"/>
      <c r="I211" s="14">
        <v>30.45</v>
      </c>
      <c r="J211" s="11">
        <v>61</v>
      </c>
      <c r="K211" s="14">
        <v>1737.24</v>
      </c>
    </row>
    <row r="212" spans="1:11" ht="14.5" x14ac:dyDescent="0.25">
      <c r="A212" s="17"/>
      <c r="B212" s="17"/>
      <c r="C212" s="17" t="s">
        <v>263</v>
      </c>
      <c r="D212" s="18" t="s">
        <v>264</v>
      </c>
      <c r="E212" s="19">
        <v>14.56</v>
      </c>
      <c r="F212" s="20"/>
      <c r="G212" s="21" t="s">
        <v>460</v>
      </c>
      <c r="H212" s="19">
        <v>1</v>
      </c>
      <c r="I212" s="20">
        <v>4.0199999999999996</v>
      </c>
      <c r="J212" s="19"/>
      <c r="K212" s="20"/>
    </row>
    <row r="213" spans="1:11" ht="14" x14ac:dyDescent="0.25">
      <c r="C213" s="22" t="s">
        <v>265</v>
      </c>
      <c r="H213" s="143">
        <v>503.29</v>
      </c>
      <c r="I213" s="143"/>
      <c r="J213" s="143">
        <v>8702.4699999999993</v>
      </c>
      <c r="K213" s="143"/>
    </row>
    <row r="214" spans="1:11" ht="14" x14ac:dyDescent="0.25">
      <c r="C214" s="22" t="s">
        <v>267</v>
      </c>
      <c r="H214" s="141">
        <v>503.29</v>
      </c>
      <c r="I214" s="141"/>
      <c r="J214" s="141">
        <v>8702.4699999999993</v>
      </c>
      <c r="K214" s="141"/>
    </row>
    <row r="216" spans="1:11" ht="144" x14ac:dyDescent="0.25">
      <c r="A216" s="10">
        <v>33</v>
      </c>
      <c r="B216" s="10" t="s">
        <v>476</v>
      </c>
      <c r="C216" s="10" t="s">
        <v>477</v>
      </c>
      <c r="D216" s="12" t="s">
        <v>557</v>
      </c>
      <c r="E216" s="11">
        <v>1.21</v>
      </c>
      <c r="F216" s="14"/>
      <c r="G216" s="13"/>
      <c r="H216" s="11"/>
      <c r="I216" s="14"/>
      <c r="J216" s="11"/>
      <c r="K216" s="14"/>
    </row>
    <row r="217" spans="1:11" x14ac:dyDescent="0.25">
      <c r="C217" s="23" t="s">
        <v>580</v>
      </c>
    </row>
    <row r="218" spans="1:11" ht="14.5" x14ac:dyDescent="0.25">
      <c r="A218" s="10"/>
      <c r="B218" s="10"/>
      <c r="C218" s="10" t="s">
        <v>256</v>
      </c>
      <c r="D218" s="12"/>
      <c r="E218" s="11"/>
      <c r="F218" s="14">
        <v>21.01</v>
      </c>
      <c r="G218" s="15" t="s">
        <v>460</v>
      </c>
      <c r="H218" s="11">
        <v>1</v>
      </c>
      <c r="I218" s="14">
        <v>35.08</v>
      </c>
      <c r="J218" s="11">
        <v>57.05</v>
      </c>
      <c r="K218" s="14">
        <v>2001.31</v>
      </c>
    </row>
    <row r="219" spans="1:11" ht="14.5" x14ac:dyDescent="0.25">
      <c r="A219" s="10"/>
      <c r="B219" s="10"/>
      <c r="C219" s="10" t="s">
        <v>257</v>
      </c>
      <c r="D219" s="12"/>
      <c r="E219" s="11"/>
      <c r="F219" s="14">
        <v>1.1000000000000001</v>
      </c>
      <c r="G219" s="15" t="s">
        <v>461</v>
      </c>
      <c r="H219" s="11">
        <v>1</v>
      </c>
      <c r="I219" s="14">
        <v>2</v>
      </c>
      <c r="J219" s="11">
        <v>13.09</v>
      </c>
      <c r="K219" s="14">
        <v>26.18</v>
      </c>
    </row>
    <row r="220" spans="1:11" ht="14.5" x14ac:dyDescent="0.25">
      <c r="A220" s="10"/>
      <c r="B220" s="10"/>
      <c r="C220" s="10" t="s">
        <v>260</v>
      </c>
      <c r="D220" s="12" t="s">
        <v>261</v>
      </c>
      <c r="E220" s="11">
        <v>109</v>
      </c>
      <c r="F220" s="14"/>
      <c r="G220" s="13"/>
      <c r="H220" s="11"/>
      <c r="I220" s="14">
        <v>38.24</v>
      </c>
      <c r="J220" s="11">
        <v>109</v>
      </c>
      <c r="K220" s="14">
        <v>2181.4299999999998</v>
      </c>
    </row>
    <row r="221" spans="1:11" ht="14.5" x14ac:dyDescent="0.25">
      <c r="A221" s="10"/>
      <c r="B221" s="10"/>
      <c r="C221" s="10" t="s">
        <v>262</v>
      </c>
      <c r="D221" s="12" t="s">
        <v>261</v>
      </c>
      <c r="E221" s="11">
        <v>61</v>
      </c>
      <c r="F221" s="14"/>
      <c r="G221" s="13"/>
      <c r="H221" s="11"/>
      <c r="I221" s="14">
        <v>21.4</v>
      </c>
      <c r="J221" s="11">
        <v>61</v>
      </c>
      <c r="K221" s="14">
        <v>1220.8</v>
      </c>
    </row>
    <row r="222" spans="1:11" ht="14.5" x14ac:dyDescent="0.25">
      <c r="A222" s="17"/>
      <c r="B222" s="17"/>
      <c r="C222" s="17" t="s">
        <v>263</v>
      </c>
      <c r="D222" s="18" t="s">
        <v>264</v>
      </c>
      <c r="E222" s="19">
        <v>1.56</v>
      </c>
      <c r="F222" s="20"/>
      <c r="G222" s="21" t="s">
        <v>460</v>
      </c>
      <c r="H222" s="19">
        <v>1</v>
      </c>
      <c r="I222" s="20">
        <v>2.6</v>
      </c>
      <c r="J222" s="19"/>
      <c r="K222" s="20"/>
    </row>
    <row r="223" spans="1:11" ht="14" x14ac:dyDescent="0.25">
      <c r="C223" s="22" t="s">
        <v>265</v>
      </c>
      <c r="H223" s="143">
        <v>96.72</v>
      </c>
      <c r="I223" s="143"/>
      <c r="J223" s="143">
        <v>5429.72</v>
      </c>
      <c r="K223" s="143"/>
    </row>
    <row r="224" spans="1:11" ht="14" x14ac:dyDescent="0.25">
      <c r="C224" s="22" t="s">
        <v>267</v>
      </c>
      <c r="H224" s="141">
        <v>96.72</v>
      </c>
      <c r="I224" s="141"/>
      <c r="J224" s="141">
        <v>5429.72</v>
      </c>
      <c r="K224" s="141"/>
    </row>
    <row r="226" spans="1:11" ht="70" x14ac:dyDescent="0.25">
      <c r="A226" s="17">
        <v>34</v>
      </c>
      <c r="B226" s="17" t="s">
        <v>559</v>
      </c>
      <c r="C226" s="17" t="s">
        <v>478</v>
      </c>
      <c r="D226" s="18" t="s">
        <v>38</v>
      </c>
      <c r="E226" s="19">
        <v>32</v>
      </c>
      <c r="F226" s="20">
        <v>44.79</v>
      </c>
      <c r="G226" s="21" t="s">
        <v>1</v>
      </c>
      <c r="H226" s="19">
        <v>1</v>
      </c>
      <c r="I226" s="20">
        <v>1433.28</v>
      </c>
      <c r="J226" s="19">
        <v>4.2699999999999996</v>
      </c>
      <c r="K226" s="20">
        <v>6120.11</v>
      </c>
    </row>
    <row r="227" spans="1:11" ht="14" x14ac:dyDescent="0.25">
      <c r="C227" s="22" t="s">
        <v>267</v>
      </c>
      <c r="H227" s="143">
        <v>1433.28</v>
      </c>
      <c r="I227" s="143"/>
      <c r="J227" s="143">
        <v>6120.11</v>
      </c>
      <c r="K227" s="143"/>
    </row>
    <row r="229" spans="1:11" ht="70" x14ac:dyDescent="0.25">
      <c r="A229" s="17">
        <v>35</v>
      </c>
      <c r="B229" s="17" t="s">
        <v>560</v>
      </c>
      <c r="C229" s="17" t="s">
        <v>479</v>
      </c>
      <c r="D229" s="18" t="s">
        <v>38</v>
      </c>
      <c r="E229" s="19">
        <v>3</v>
      </c>
      <c r="F229" s="20">
        <v>21.19</v>
      </c>
      <c r="G229" s="21" t="s">
        <v>1</v>
      </c>
      <c r="H229" s="19">
        <v>1</v>
      </c>
      <c r="I229" s="20">
        <v>63.57</v>
      </c>
      <c r="J229" s="19">
        <v>6.74</v>
      </c>
      <c r="K229" s="20">
        <v>428.46</v>
      </c>
    </row>
    <row r="230" spans="1:11" ht="14" x14ac:dyDescent="0.25">
      <c r="C230" s="22" t="s">
        <v>267</v>
      </c>
      <c r="H230" s="143">
        <v>63.57</v>
      </c>
      <c r="I230" s="143"/>
      <c r="J230" s="143">
        <v>428.46</v>
      </c>
      <c r="K230" s="143"/>
    </row>
    <row r="232" spans="1:11" ht="56" x14ac:dyDescent="0.25">
      <c r="A232" s="17">
        <v>36</v>
      </c>
      <c r="B232" s="17" t="s">
        <v>561</v>
      </c>
      <c r="C232" s="17" t="s">
        <v>480</v>
      </c>
      <c r="D232" s="18" t="s">
        <v>38</v>
      </c>
      <c r="E232" s="19">
        <v>24</v>
      </c>
      <c r="F232" s="20">
        <v>7.39</v>
      </c>
      <c r="G232" s="21" t="s">
        <v>1</v>
      </c>
      <c r="H232" s="19">
        <v>1</v>
      </c>
      <c r="I232" s="20">
        <v>177.36</v>
      </c>
      <c r="J232" s="19">
        <v>14.62</v>
      </c>
      <c r="K232" s="20">
        <v>2593</v>
      </c>
    </row>
    <row r="233" spans="1:11" ht="14" x14ac:dyDescent="0.25">
      <c r="C233" s="22" t="s">
        <v>267</v>
      </c>
      <c r="H233" s="143">
        <v>177.36</v>
      </c>
      <c r="I233" s="143"/>
      <c r="J233" s="143">
        <v>2593</v>
      </c>
      <c r="K233" s="143"/>
    </row>
    <row r="235" spans="1:11" ht="70" x14ac:dyDescent="0.25">
      <c r="A235" s="17">
        <v>37</v>
      </c>
      <c r="B235" s="17" t="s">
        <v>546</v>
      </c>
      <c r="C235" s="17" t="s">
        <v>464</v>
      </c>
      <c r="D235" s="18" t="s">
        <v>38</v>
      </c>
      <c r="E235" s="19">
        <v>70</v>
      </c>
      <c r="F235" s="20">
        <v>17.329999999999998</v>
      </c>
      <c r="G235" s="21" t="s">
        <v>1</v>
      </c>
      <c r="H235" s="19">
        <v>1</v>
      </c>
      <c r="I235" s="20">
        <v>1213.0999999999999</v>
      </c>
      <c r="J235" s="19">
        <v>0.98</v>
      </c>
      <c r="K235" s="20">
        <v>1188.8399999999999</v>
      </c>
    </row>
    <row r="236" spans="1:11" ht="14" x14ac:dyDescent="0.25">
      <c r="C236" s="22" t="s">
        <v>267</v>
      </c>
      <c r="H236" s="143">
        <v>1213.0999999999999</v>
      </c>
      <c r="I236" s="143"/>
      <c r="J236" s="143">
        <v>1188.8399999999999</v>
      </c>
      <c r="K236" s="143"/>
    </row>
    <row r="238" spans="1:11" ht="28" x14ac:dyDescent="0.25">
      <c r="A238" s="10">
        <v>38</v>
      </c>
      <c r="B238" s="10" t="s">
        <v>581</v>
      </c>
      <c r="C238" s="10" t="s">
        <v>504</v>
      </c>
      <c r="D238" s="12" t="s">
        <v>34</v>
      </c>
      <c r="E238" s="11">
        <v>1.4</v>
      </c>
      <c r="F238" s="14">
        <v>51.07</v>
      </c>
      <c r="G238" s="15" t="s">
        <v>1</v>
      </c>
      <c r="H238" s="11">
        <v>1</v>
      </c>
      <c r="I238" s="14">
        <v>71.5</v>
      </c>
      <c r="J238" s="11">
        <v>5.56</v>
      </c>
      <c r="K238" s="14">
        <v>397.54</v>
      </c>
    </row>
    <row r="239" spans="1:11" x14ac:dyDescent="0.25">
      <c r="A239" s="24"/>
      <c r="B239" s="24"/>
      <c r="C239" s="25" t="s">
        <v>582</v>
      </c>
      <c r="D239" s="24"/>
      <c r="E239" s="24"/>
      <c r="F239" s="24"/>
      <c r="G239" s="24"/>
      <c r="H239" s="24"/>
      <c r="I239" s="24"/>
      <c r="J239" s="24"/>
      <c r="K239" s="24"/>
    </row>
    <row r="240" spans="1:11" ht="14" x14ac:dyDescent="0.25">
      <c r="C240" s="22" t="s">
        <v>267</v>
      </c>
      <c r="H240" s="143">
        <v>71.5</v>
      </c>
      <c r="I240" s="143"/>
      <c r="J240" s="143">
        <v>397.54</v>
      </c>
      <c r="K240" s="143"/>
    </row>
    <row r="242" spans="1:11" ht="70" x14ac:dyDescent="0.25">
      <c r="A242" s="17">
        <v>39</v>
      </c>
      <c r="B242" s="17" t="s">
        <v>583</v>
      </c>
      <c r="C242" s="17" t="s">
        <v>505</v>
      </c>
      <c r="D242" s="18" t="s">
        <v>38</v>
      </c>
      <c r="E242" s="19">
        <v>5</v>
      </c>
      <c r="F242" s="20">
        <v>151.24</v>
      </c>
      <c r="G242" s="21" t="s">
        <v>1</v>
      </c>
      <c r="H242" s="19">
        <v>1</v>
      </c>
      <c r="I242" s="20">
        <v>756.2</v>
      </c>
      <c r="J242" s="19">
        <v>1.99</v>
      </c>
      <c r="K242" s="20">
        <v>1504.84</v>
      </c>
    </row>
    <row r="243" spans="1:11" ht="14" x14ac:dyDescent="0.25">
      <c r="C243" s="22" t="s">
        <v>267</v>
      </c>
      <c r="H243" s="143">
        <v>756.2</v>
      </c>
      <c r="I243" s="143"/>
      <c r="J243" s="143">
        <v>1504.84</v>
      </c>
      <c r="K243" s="143"/>
    </row>
    <row r="245" spans="1:11" ht="70" x14ac:dyDescent="0.25">
      <c r="A245" s="17">
        <v>40</v>
      </c>
      <c r="B245" s="17" t="s">
        <v>584</v>
      </c>
      <c r="C245" s="17" t="s">
        <v>506</v>
      </c>
      <c r="D245" s="18" t="s">
        <v>38</v>
      </c>
      <c r="E245" s="19">
        <v>2</v>
      </c>
      <c r="F245" s="20">
        <v>124.29</v>
      </c>
      <c r="G245" s="21" t="s">
        <v>1</v>
      </c>
      <c r="H245" s="19">
        <v>1</v>
      </c>
      <c r="I245" s="20">
        <v>248.58</v>
      </c>
      <c r="J245" s="19">
        <v>1.75</v>
      </c>
      <c r="K245" s="20">
        <v>435.02</v>
      </c>
    </row>
    <row r="246" spans="1:11" ht="14" x14ac:dyDescent="0.25">
      <c r="C246" s="22" t="s">
        <v>267</v>
      </c>
      <c r="H246" s="143">
        <v>248.58</v>
      </c>
      <c r="I246" s="143"/>
      <c r="J246" s="143">
        <v>435.02</v>
      </c>
      <c r="K246" s="143"/>
    </row>
    <row r="248" spans="1:11" ht="84" x14ac:dyDescent="0.25">
      <c r="A248" s="17">
        <v>41</v>
      </c>
      <c r="B248" s="17" t="s">
        <v>585</v>
      </c>
      <c r="C248" s="17" t="s">
        <v>507</v>
      </c>
      <c r="D248" s="18" t="s">
        <v>38</v>
      </c>
      <c r="E248" s="19">
        <v>8</v>
      </c>
      <c r="F248" s="20">
        <v>34.97</v>
      </c>
      <c r="G248" s="21" t="s">
        <v>1</v>
      </c>
      <c r="H248" s="19">
        <v>1</v>
      </c>
      <c r="I248" s="20">
        <v>279.76</v>
      </c>
      <c r="J248" s="19">
        <v>11.67</v>
      </c>
      <c r="K248" s="20">
        <v>3264.8</v>
      </c>
    </row>
    <row r="249" spans="1:11" ht="14" x14ac:dyDescent="0.25">
      <c r="C249" s="22" t="s">
        <v>267</v>
      </c>
      <c r="H249" s="143">
        <v>279.76</v>
      </c>
      <c r="I249" s="143"/>
      <c r="J249" s="143">
        <v>3264.8</v>
      </c>
      <c r="K249" s="143"/>
    </row>
    <row r="251" spans="1:11" ht="144" x14ac:dyDescent="0.25">
      <c r="A251" s="10">
        <v>42</v>
      </c>
      <c r="B251" s="10" t="s">
        <v>508</v>
      </c>
      <c r="C251" s="10" t="s">
        <v>509</v>
      </c>
      <c r="D251" s="12" t="s">
        <v>586</v>
      </c>
      <c r="E251" s="11">
        <v>6</v>
      </c>
      <c r="F251" s="14"/>
      <c r="G251" s="13"/>
      <c r="H251" s="11"/>
      <c r="I251" s="14"/>
      <c r="J251" s="11"/>
      <c r="K251" s="14"/>
    </row>
    <row r="252" spans="1:11" ht="14.5" x14ac:dyDescent="0.25">
      <c r="A252" s="10"/>
      <c r="B252" s="10"/>
      <c r="C252" s="10" t="s">
        <v>256</v>
      </c>
      <c r="D252" s="12"/>
      <c r="E252" s="11"/>
      <c r="F252" s="14">
        <v>97.04</v>
      </c>
      <c r="G252" s="15" t="s">
        <v>460</v>
      </c>
      <c r="H252" s="11">
        <v>1</v>
      </c>
      <c r="I252" s="14">
        <v>803.49</v>
      </c>
      <c r="J252" s="11">
        <v>57.05</v>
      </c>
      <c r="K252" s="14">
        <v>45839.1</v>
      </c>
    </row>
    <row r="253" spans="1:11" ht="14.5" x14ac:dyDescent="0.25">
      <c r="A253" s="10"/>
      <c r="B253" s="10"/>
      <c r="C253" s="10" t="s">
        <v>257</v>
      </c>
      <c r="D253" s="12"/>
      <c r="E253" s="11"/>
      <c r="F253" s="14">
        <v>10.68</v>
      </c>
      <c r="G253" s="15" t="s">
        <v>461</v>
      </c>
      <c r="H253" s="11">
        <v>1</v>
      </c>
      <c r="I253" s="14">
        <v>96.12</v>
      </c>
      <c r="J253" s="11">
        <v>16.14</v>
      </c>
      <c r="K253" s="14">
        <v>1551.38</v>
      </c>
    </row>
    <row r="254" spans="1:11" ht="14.5" x14ac:dyDescent="0.25">
      <c r="A254" s="10"/>
      <c r="B254" s="10"/>
      <c r="C254" s="10" t="s">
        <v>258</v>
      </c>
      <c r="D254" s="12"/>
      <c r="E254" s="11"/>
      <c r="F254" s="14">
        <v>1.26</v>
      </c>
      <c r="G254" s="15" t="s">
        <v>461</v>
      </c>
      <c r="H254" s="11">
        <v>1</v>
      </c>
      <c r="I254" s="16">
        <v>11.34</v>
      </c>
      <c r="J254" s="11">
        <v>57.05</v>
      </c>
      <c r="K254" s="16">
        <v>646.95000000000005</v>
      </c>
    </row>
    <row r="255" spans="1:11" ht="14.5" x14ac:dyDescent="0.25">
      <c r="A255" s="10"/>
      <c r="B255" s="10"/>
      <c r="C255" s="10" t="s">
        <v>259</v>
      </c>
      <c r="D255" s="12"/>
      <c r="E255" s="11"/>
      <c r="F255" s="14">
        <v>1.89</v>
      </c>
      <c r="G255" s="15" t="s">
        <v>1</v>
      </c>
      <c r="H255" s="11">
        <v>1</v>
      </c>
      <c r="I255" s="14">
        <v>11.34</v>
      </c>
      <c r="J255" s="11">
        <v>7.87</v>
      </c>
      <c r="K255" s="14">
        <v>89.25</v>
      </c>
    </row>
    <row r="256" spans="1:11" ht="14.5" x14ac:dyDescent="0.25">
      <c r="A256" s="10"/>
      <c r="B256" s="10"/>
      <c r="C256" s="10" t="s">
        <v>260</v>
      </c>
      <c r="D256" s="12" t="s">
        <v>261</v>
      </c>
      <c r="E256" s="11">
        <v>109</v>
      </c>
      <c r="F256" s="14"/>
      <c r="G256" s="13"/>
      <c r="H256" s="11"/>
      <c r="I256" s="14">
        <v>888.16</v>
      </c>
      <c r="J256" s="11">
        <v>109</v>
      </c>
      <c r="K256" s="14">
        <v>50669.79</v>
      </c>
    </row>
    <row r="257" spans="1:11" ht="14.5" x14ac:dyDescent="0.25">
      <c r="A257" s="10"/>
      <c r="B257" s="10"/>
      <c r="C257" s="10" t="s">
        <v>262</v>
      </c>
      <c r="D257" s="12" t="s">
        <v>261</v>
      </c>
      <c r="E257" s="11">
        <v>61</v>
      </c>
      <c r="F257" s="14"/>
      <c r="G257" s="13"/>
      <c r="H257" s="11"/>
      <c r="I257" s="14">
        <v>497.05</v>
      </c>
      <c r="J257" s="11">
        <v>61</v>
      </c>
      <c r="K257" s="14">
        <v>28356.49</v>
      </c>
    </row>
    <row r="258" spans="1:11" ht="14.5" x14ac:dyDescent="0.25">
      <c r="A258" s="17"/>
      <c r="B258" s="17"/>
      <c r="C258" s="17" t="s">
        <v>263</v>
      </c>
      <c r="D258" s="18" t="s">
        <v>264</v>
      </c>
      <c r="E258" s="19">
        <v>7.87</v>
      </c>
      <c r="F258" s="20"/>
      <c r="G258" s="21" t="s">
        <v>460</v>
      </c>
      <c r="H258" s="19">
        <v>1</v>
      </c>
      <c r="I258" s="20">
        <v>65.16</v>
      </c>
      <c r="J258" s="19"/>
      <c r="K258" s="20"/>
    </row>
    <row r="259" spans="1:11" ht="14" x14ac:dyDescent="0.25">
      <c r="C259" s="22" t="s">
        <v>265</v>
      </c>
      <c r="H259" s="143">
        <v>2296.16</v>
      </c>
      <c r="I259" s="143"/>
      <c r="J259" s="143">
        <v>126506.01</v>
      </c>
      <c r="K259" s="143"/>
    </row>
    <row r="260" spans="1:11" ht="14" x14ac:dyDescent="0.25">
      <c r="C260" s="22" t="s">
        <v>267</v>
      </c>
      <c r="H260" s="141">
        <v>2296.16</v>
      </c>
      <c r="I260" s="141"/>
      <c r="J260" s="141">
        <v>126506.01</v>
      </c>
      <c r="K260" s="141"/>
    </row>
    <row r="262" spans="1:11" ht="55" x14ac:dyDescent="0.25">
      <c r="A262" s="17">
        <v>43</v>
      </c>
      <c r="B262" s="17" t="s">
        <v>409</v>
      </c>
      <c r="C262" s="17" t="s">
        <v>510</v>
      </c>
      <c r="D262" s="18" t="s">
        <v>11</v>
      </c>
      <c r="E262" s="19">
        <v>6</v>
      </c>
      <c r="F262" s="20">
        <v>813.07</v>
      </c>
      <c r="G262" s="21" t="s">
        <v>1</v>
      </c>
      <c r="H262" s="19">
        <v>1</v>
      </c>
      <c r="I262" s="20">
        <v>4878.42</v>
      </c>
      <c r="J262" s="19">
        <v>10.18</v>
      </c>
      <c r="K262" s="20">
        <v>49662.32</v>
      </c>
    </row>
    <row r="263" spans="1:11" ht="14" x14ac:dyDescent="0.25">
      <c r="C263" s="22" t="s">
        <v>267</v>
      </c>
      <c r="H263" s="143">
        <v>4878.42</v>
      </c>
      <c r="I263" s="143"/>
      <c r="J263" s="143">
        <v>49662.32</v>
      </c>
      <c r="K263" s="143"/>
    </row>
    <row r="265" spans="1:11" ht="79" x14ac:dyDescent="0.25">
      <c r="A265" s="10">
        <v>44</v>
      </c>
      <c r="B265" s="10" t="s">
        <v>495</v>
      </c>
      <c r="C265" s="10" t="s">
        <v>496</v>
      </c>
      <c r="D265" s="12" t="s">
        <v>24</v>
      </c>
      <c r="E265" s="11">
        <v>6</v>
      </c>
      <c r="F265" s="14"/>
      <c r="G265" s="13"/>
      <c r="H265" s="11"/>
      <c r="I265" s="14"/>
      <c r="J265" s="11"/>
      <c r="K265" s="14"/>
    </row>
    <row r="266" spans="1:11" ht="14.5" x14ac:dyDescent="0.25">
      <c r="A266" s="10"/>
      <c r="B266" s="10"/>
      <c r="C266" s="10" t="s">
        <v>256</v>
      </c>
      <c r="D266" s="12"/>
      <c r="E266" s="11"/>
      <c r="F266" s="14">
        <v>3.9</v>
      </c>
      <c r="G266" s="15" t="s">
        <v>13</v>
      </c>
      <c r="H266" s="11">
        <v>1</v>
      </c>
      <c r="I266" s="14">
        <v>28.08</v>
      </c>
      <c r="J266" s="11">
        <v>57.05</v>
      </c>
      <c r="K266" s="14">
        <v>1601.96</v>
      </c>
    </row>
    <row r="267" spans="1:11" ht="14.5" x14ac:dyDescent="0.25">
      <c r="A267" s="10"/>
      <c r="B267" s="10"/>
      <c r="C267" s="10" t="s">
        <v>259</v>
      </c>
      <c r="D267" s="12"/>
      <c r="E267" s="11"/>
      <c r="F267" s="14">
        <v>0.81</v>
      </c>
      <c r="G267" s="15" t="s">
        <v>1</v>
      </c>
      <c r="H267" s="11">
        <v>1</v>
      </c>
      <c r="I267" s="14">
        <v>4.8600000000000003</v>
      </c>
      <c r="J267" s="11">
        <v>15.15</v>
      </c>
      <c r="K267" s="14">
        <v>73.63</v>
      </c>
    </row>
    <row r="268" spans="1:11" ht="14.5" x14ac:dyDescent="0.25">
      <c r="A268" s="10"/>
      <c r="B268" s="10"/>
      <c r="C268" s="10" t="s">
        <v>260</v>
      </c>
      <c r="D268" s="12" t="s">
        <v>261</v>
      </c>
      <c r="E268" s="11">
        <v>90</v>
      </c>
      <c r="F268" s="14"/>
      <c r="G268" s="13"/>
      <c r="H268" s="11"/>
      <c r="I268" s="14">
        <v>25.27</v>
      </c>
      <c r="J268" s="11">
        <v>90</v>
      </c>
      <c r="K268" s="14">
        <v>1441.76</v>
      </c>
    </row>
    <row r="269" spans="1:11" ht="14.5" x14ac:dyDescent="0.25">
      <c r="A269" s="10"/>
      <c r="B269" s="10"/>
      <c r="C269" s="10" t="s">
        <v>262</v>
      </c>
      <c r="D269" s="12" t="s">
        <v>261</v>
      </c>
      <c r="E269" s="11">
        <v>46</v>
      </c>
      <c r="F269" s="14"/>
      <c r="G269" s="13"/>
      <c r="H269" s="11"/>
      <c r="I269" s="14">
        <v>12.92</v>
      </c>
      <c r="J269" s="11">
        <v>46</v>
      </c>
      <c r="K269" s="14">
        <v>736.9</v>
      </c>
    </row>
    <row r="270" spans="1:11" ht="14.5" x14ac:dyDescent="0.25">
      <c r="A270" s="17"/>
      <c r="B270" s="17"/>
      <c r="C270" s="17" t="s">
        <v>263</v>
      </c>
      <c r="D270" s="18" t="s">
        <v>264</v>
      </c>
      <c r="E270" s="19">
        <v>0.3</v>
      </c>
      <c r="F270" s="20"/>
      <c r="G270" s="21" t="s">
        <v>13</v>
      </c>
      <c r="H270" s="19">
        <v>1</v>
      </c>
      <c r="I270" s="20">
        <v>2.16</v>
      </c>
      <c r="J270" s="19"/>
      <c r="K270" s="20"/>
    </row>
    <row r="271" spans="1:11" ht="14" x14ac:dyDescent="0.25">
      <c r="C271" s="22" t="s">
        <v>265</v>
      </c>
      <c r="H271" s="143">
        <v>71.13</v>
      </c>
      <c r="I271" s="143"/>
      <c r="J271" s="143">
        <v>3854.25</v>
      </c>
      <c r="K271" s="143"/>
    </row>
    <row r="272" spans="1:11" ht="14" x14ac:dyDescent="0.25">
      <c r="C272" s="22" t="s">
        <v>267</v>
      </c>
      <c r="H272" s="141">
        <v>71.13</v>
      </c>
      <c r="I272" s="141"/>
      <c r="J272" s="141">
        <v>3854.25</v>
      </c>
      <c r="K272" s="141"/>
    </row>
    <row r="274" spans="1:11" ht="126" x14ac:dyDescent="0.25">
      <c r="A274" s="17">
        <v>45</v>
      </c>
      <c r="B274" s="17" t="s">
        <v>587</v>
      </c>
      <c r="C274" s="17" t="s">
        <v>511</v>
      </c>
      <c r="D274" s="18" t="s">
        <v>38</v>
      </c>
      <c r="E274" s="19">
        <v>6</v>
      </c>
      <c r="F274" s="20">
        <v>87.88</v>
      </c>
      <c r="G274" s="21" t="s">
        <v>1</v>
      </c>
      <c r="H274" s="19">
        <v>1</v>
      </c>
      <c r="I274" s="20">
        <v>527.28</v>
      </c>
      <c r="J274" s="19">
        <v>17.29</v>
      </c>
      <c r="K274" s="20">
        <v>9116.67</v>
      </c>
    </row>
    <row r="275" spans="1:11" ht="14" x14ac:dyDescent="0.25">
      <c r="C275" s="22" t="s">
        <v>267</v>
      </c>
      <c r="H275" s="143">
        <v>527.28</v>
      </c>
      <c r="I275" s="143"/>
      <c r="J275" s="143">
        <v>9116.67</v>
      </c>
      <c r="K275" s="143"/>
    </row>
    <row r="277" spans="1:11" ht="79" x14ac:dyDescent="0.25">
      <c r="A277" s="10">
        <v>46</v>
      </c>
      <c r="B277" s="10" t="s">
        <v>495</v>
      </c>
      <c r="C277" s="10" t="s">
        <v>496</v>
      </c>
      <c r="D277" s="12" t="s">
        <v>24</v>
      </c>
      <c r="E277" s="11">
        <v>13</v>
      </c>
      <c r="F277" s="14"/>
      <c r="G277" s="13"/>
      <c r="H277" s="11"/>
      <c r="I277" s="14"/>
      <c r="J277" s="11"/>
      <c r="K277" s="14"/>
    </row>
    <row r="278" spans="1:11" ht="14.5" x14ac:dyDescent="0.25">
      <c r="A278" s="10"/>
      <c r="B278" s="10"/>
      <c r="C278" s="10" t="s">
        <v>256</v>
      </c>
      <c r="D278" s="12"/>
      <c r="E278" s="11"/>
      <c r="F278" s="14">
        <v>3.9</v>
      </c>
      <c r="G278" s="15" t="s">
        <v>13</v>
      </c>
      <c r="H278" s="11">
        <v>1</v>
      </c>
      <c r="I278" s="14">
        <v>60.84</v>
      </c>
      <c r="J278" s="11">
        <v>57.05</v>
      </c>
      <c r="K278" s="14">
        <v>3470.92</v>
      </c>
    </row>
    <row r="279" spans="1:11" ht="14.5" x14ac:dyDescent="0.25">
      <c r="A279" s="10"/>
      <c r="B279" s="10"/>
      <c r="C279" s="10" t="s">
        <v>259</v>
      </c>
      <c r="D279" s="12"/>
      <c r="E279" s="11"/>
      <c r="F279" s="14">
        <v>0.81</v>
      </c>
      <c r="G279" s="15" t="s">
        <v>1</v>
      </c>
      <c r="H279" s="11">
        <v>1</v>
      </c>
      <c r="I279" s="14">
        <v>10.53</v>
      </c>
      <c r="J279" s="11">
        <v>15.15</v>
      </c>
      <c r="K279" s="14">
        <v>159.53</v>
      </c>
    </row>
    <row r="280" spans="1:11" ht="14.5" x14ac:dyDescent="0.25">
      <c r="A280" s="10"/>
      <c r="B280" s="10"/>
      <c r="C280" s="10" t="s">
        <v>260</v>
      </c>
      <c r="D280" s="12" t="s">
        <v>261</v>
      </c>
      <c r="E280" s="11">
        <v>90</v>
      </c>
      <c r="F280" s="14"/>
      <c r="G280" s="13"/>
      <c r="H280" s="11"/>
      <c r="I280" s="14">
        <v>54.76</v>
      </c>
      <c r="J280" s="11">
        <v>90</v>
      </c>
      <c r="K280" s="14">
        <v>3123.83</v>
      </c>
    </row>
    <row r="281" spans="1:11" ht="14.5" x14ac:dyDescent="0.25">
      <c r="A281" s="10"/>
      <c r="B281" s="10"/>
      <c r="C281" s="10" t="s">
        <v>262</v>
      </c>
      <c r="D281" s="12" t="s">
        <v>261</v>
      </c>
      <c r="E281" s="11">
        <v>46</v>
      </c>
      <c r="F281" s="14"/>
      <c r="G281" s="13"/>
      <c r="H281" s="11"/>
      <c r="I281" s="14">
        <v>27.99</v>
      </c>
      <c r="J281" s="11">
        <v>46</v>
      </c>
      <c r="K281" s="14">
        <v>1596.62</v>
      </c>
    </row>
    <row r="282" spans="1:11" ht="14.5" x14ac:dyDescent="0.25">
      <c r="A282" s="17"/>
      <c r="B282" s="17"/>
      <c r="C282" s="17" t="s">
        <v>263</v>
      </c>
      <c r="D282" s="18" t="s">
        <v>264</v>
      </c>
      <c r="E282" s="19">
        <v>0.3</v>
      </c>
      <c r="F282" s="20"/>
      <c r="G282" s="21" t="s">
        <v>13</v>
      </c>
      <c r="H282" s="19">
        <v>1</v>
      </c>
      <c r="I282" s="20">
        <v>4.68</v>
      </c>
      <c r="J282" s="19"/>
      <c r="K282" s="20"/>
    </row>
    <row r="283" spans="1:11" ht="14" x14ac:dyDescent="0.25">
      <c r="C283" s="22" t="s">
        <v>265</v>
      </c>
      <c r="H283" s="143">
        <v>154.12</v>
      </c>
      <c r="I283" s="143"/>
      <c r="J283" s="143">
        <v>8350.9</v>
      </c>
      <c r="K283" s="143"/>
    </row>
    <row r="284" spans="1:11" ht="14" x14ac:dyDescent="0.25">
      <c r="C284" s="22" t="s">
        <v>267</v>
      </c>
      <c r="H284" s="141">
        <v>154.12</v>
      </c>
      <c r="I284" s="141"/>
      <c r="J284" s="141">
        <v>8350.9</v>
      </c>
      <c r="K284" s="141"/>
    </row>
    <row r="286" spans="1:11" ht="70" x14ac:dyDescent="0.25">
      <c r="A286" s="17">
        <v>47</v>
      </c>
      <c r="B286" s="17" t="s">
        <v>584</v>
      </c>
      <c r="C286" s="17" t="s">
        <v>506</v>
      </c>
      <c r="D286" s="18" t="s">
        <v>38</v>
      </c>
      <c r="E286" s="19">
        <v>12</v>
      </c>
      <c r="F286" s="20">
        <v>124.29</v>
      </c>
      <c r="G286" s="21" t="s">
        <v>1</v>
      </c>
      <c r="H286" s="19">
        <v>1</v>
      </c>
      <c r="I286" s="20">
        <v>1491.48</v>
      </c>
      <c r="J286" s="19">
        <v>1.75</v>
      </c>
      <c r="K286" s="20">
        <v>2610.09</v>
      </c>
    </row>
    <row r="287" spans="1:11" ht="14" x14ac:dyDescent="0.25">
      <c r="C287" s="22" t="s">
        <v>267</v>
      </c>
      <c r="H287" s="143">
        <v>1491.48</v>
      </c>
      <c r="I287" s="143"/>
      <c r="J287" s="143">
        <v>2610.09</v>
      </c>
      <c r="K287" s="143"/>
    </row>
    <row r="289" spans="1:11" ht="84" x14ac:dyDescent="0.25">
      <c r="A289" s="17">
        <v>48</v>
      </c>
      <c r="B289" s="17" t="s">
        <v>585</v>
      </c>
      <c r="C289" s="17" t="s">
        <v>507</v>
      </c>
      <c r="D289" s="18" t="s">
        <v>38</v>
      </c>
      <c r="E289" s="19">
        <v>12</v>
      </c>
      <c r="F289" s="20">
        <v>34.97</v>
      </c>
      <c r="G289" s="21" t="s">
        <v>1</v>
      </c>
      <c r="H289" s="19">
        <v>1</v>
      </c>
      <c r="I289" s="20">
        <v>419.64</v>
      </c>
      <c r="J289" s="19">
        <v>11.67</v>
      </c>
      <c r="K289" s="20">
        <v>4897.2</v>
      </c>
    </row>
    <row r="290" spans="1:11" ht="14" x14ac:dyDescent="0.25">
      <c r="C290" s="22" t="s">
        <v>267</v>
      </c>
      <c r="H290" s="143">
        <v>419.64</v>
      </c>
      <c r="I290" s="143"/>
      <c r="J290" s="143">
        <v>4897.2</v>
      </c>
      <c r="K290" s="143"/>
    </row>
    <row r="292" spans="1:11" ht="56" x14ac:dyDescent="0.25">
      <c r="A292" s="17">
        <v>49</v>
      </c>
      <c r="B292" s="17" t="s">
        <v>588</v>
      </c>
      <c r="C292" s="17" t="s">
        <v>512</v>
      </c>
      <c r="D292" s="18" t="s">
        <v>38</v>
      </c>
      <c r="E292" s="19">
        <v>1</v>
      </c>
      <c r="F292" s="20">
        <v>827.37</v>
      </c>
      <c r="G292" s="21" t="s">
        <v>1</v>
      </c>
      <c r="H292" s="19">
        <v>1</v>
      </c>
      <c r="I292" s="20">
        <v>827.37</v>
      </c>
      <c r="J292" s="19">
        <v>20.58</v>
      </c>
      <c r="K292" s="20">
        <v>17027.27</v>
      </c>
    </row>
    <row r="293" spans="1:11" ht="14" x14ac:dyDescent="0.25">
      <c r="C293" s="22" t="s">
        <v>267</v>
      </c>
      <c r="H293" s="143">
        <v>827.37</v>
      </c>
      <c r="I293" s="143"/>
      <c r="J293" s="143">
        <v>17027.27</v>
      </c>
      <c r="K293" s="143"/>
    </row>
    <row r="296" spans="1:11" ht="14" x14ac:dyDescent="0.3">
      <c r="A296" s="140" t="s">
        <v>589</v>
      </c>
      <c r="B296" s="140"/>
      <c r="C296" s="140"/>
      <c r="D296" s="140"/>
      <c r="E296" s="140"/>
      <c r="F296" s="140"/>
      <c r="G296" s="140"/>
      <c r="H296" s="141">
        <v>15508.96</v>
      </c>
      <c r="I296" s="142"/>
      <c r="J296" s="141">
        <v>252089.51</v>
      </c>
      <c r="K296" s="142"/>
    </row>
    <row r="298" spans="1:11" ht="16.5" x14ac:dyDescent="0.25">
      <c r="A298" s="144" t="s">
        <v>590</v>
      </c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</row>
    <row r="299" spans="1:11" ht="144" x14ac:dyDescent="0.25">
      <c r="A299" s="10">
        <v>50</v>
      </c>
      <c r="B299" s="10" t="s">
        <v>513</v>
      </c>
      <c r="C299" s="10" t="s">
        <v>514</v>
      </c>
      <c r="D299" s="12" t="s">
        <v>34</v>
      </c>
      <c r="E299" s="11">
        <v>0.01</v>
      </c>
      <c r="F299" s="14"/>
      <c r="G299" s="13"/>
      <c r="H299" s="11"/>
      <c r="I299" s="14"/>
      <c r="J299" s="11"/>
      <c r="K299" s="14"/>
    </row>
    <row r="300" spans="1:11" x14ac:dyDescent="0.25">
      <c r="C300" s="23" t="s">
        <v>591</v>
      </c>
    </row>
    <row r="301" spans="1:11" ht="14.5" x14ac:dyDescent="0.25">
      <c r="A301" s="10"/>
      <c r="B301" s="10"/>
      <c r="C301" s="10" t="s">
        <v>256</v>
      </c>
      <c r="D301" s="12"/>
      <c r="E301" s="11"/>
      <c r="F301" s="14">
        <v>207.15</v>
      </c>
      <c r="G301" s="15" t="s">
        <v>460</v>
      </c>
      <c r="H301" s="11">
        <v>1</v>
      </c>
      <c r="I301" s="14">
        <v>2.86</v>
      </c>
      <c r="J301" s="11">
        <v>57.05</v>
      </c>
      <c r="K301" s="14">
        <v>163.16</v>
      </c>
    </row>
    <row r="302" spans="1:11" ht="14.5" x14ac:dyDescent="0.25">
      <c r="A302" s="10"/>
      <c r="B302" s="10"/>
      <c r="C302" s="10" t="s">
        <v>257</v>
      </c>
      <c r="D302" s="12"/>
      <c r="E302" s="11"/>
      <c r="F302" s="14">
        <v>18.28</v>
      </c>
      <c r="G302" s="15" t="s">
        <v>461</v>
      </c>
      <c r="H302" s="11">
        <v>1</v>
      </c>
      <c r="I302" s="14">
        <v>0.27</v>
      </c>
      <c r="J302" s="11">
        <v>17.45</v>
      </c>
      <c r="K302" s="14">
        <v>4.71</v>
      </c>
    </row>
    <row r="303" spans="1:11" ht="14.5" x14ac:dyDescent="0.25">
      <c r="A303" s="10"/>
      <c r="B303" s="10"/>
      <c r="C303" s="10" t="s">
        <v>258</v>
      </c>
      <c r="D303" s="12"/>
      <c r="E303" s="11"/>
      <c r="F303" s="14">
        <v>2.78</v>
      </c>
      <c r="G303" s="15" t="s">
        <v>461</v>
      </c>
      <c r="H303" s="11">
        <v>1</v>
      </c>
      <c r="I303" s="16">
        <v>0.04</v>
      </c>
      <c r="J303" s="11">
        <v>57.05</v>
      </c>
      <c r="K303" s="16">
        <v>2.2799999999999998</v>
      </c>
    </row>
    <row r="304" spans="1:11" ht="29" x14ac:dyDescent="0.25">
      <c r="A304" s="10" t="s">
        <v>515</v>
      </c>
      <c r="B304" s="10" t="s">
        <v>592</v>
      </c>
      <c r="C304" s="10" t="s">
        <v>516</v>
      </c>
      <c r="D304" s="12" t="s">
        <v>230</v>
      </c>
      <c r="E304" s="11">
        <v>1</v>
      </c>
      <c r="F304" s="14">
        <v>220.9</v>
      </c>
      <c r="G304" s="15" t="s">
        <v>1</v>
      </c>
      <c r="H304" s="11">
        <v>1</v>
      </c>
      <c r="I304" s="14">
        <v>220.9</v>
      </c>
      <c r="J304" s="11">
        <v>6.13</v>
      </c>
      <c r="K304" s="14">
        <v>1354.12</v>
      </c>
    </row>
    <row r="305" spans="1:11" ht="14.5" x14ac:dyDescent="0.25">
      <c r="A305" s="10"/>
      <c r="B305" s="10"/>
      <c r="C305" s="10" t="s">
        <v>260</v>
      </c>
      <c r="D305" s="12" t="s">
        <v>261</v>
      </c>
      <c r="E305" s="11">
        <v>109</v>
      </c>
      <c r="F305" s="14"/>
      <c r="G305" s="13"/>
      <c r="H305" s="11"/>
      <c r="I305" s="14">
        <v>3.16</v>
      </c>
      <c r="J305" s="11">
        <v>109</v>
      </c>
      <c r="K305" s="14">
        <v>180.33</v>
      </c>
    </row>
    <row r="306" spans="1:11" ht="14.5" x14ac:dyDescent="0.25">
      <c r="A306" s="10"/>
      <c r="B306" s="10"/>
      <c r="C306" s="10" t="s">
        <v>262</v>
      </c>
      <c r="D306" s="12" t="s">
        <v>261</v>
      </c>
      <c r="E306" s="11">
        <v>61</v>
      </c>
      <c r="F306" s="14"/>
      <c r="G306" s="13"/>
      <c r="H306" s="11"/>
      <c r="I306" s="14">
        <v>1.77</v>
      </c>
      <c r="J306" s="11">
        <v>61</v>
      </c>
      <c r="K306" s="14">
        <v>100.92</v>
      </c>
    </row>
    <row r="307" spans="1:11" ht="14.5" x14ac:dyDescent="0.25">
      <c r="A307" s="17"/>
      <c r="B307" s="17"/>
      <c r="C307" s="17" t="s">
        <v>263</v>
      </c>
      <c r="D307" s="18" t="s">
        <v>264</v>
      </c>
      <c r="E307" s="19">
        <v>16.59</v>
      </c>
      <c r="F307" s="20"/>
      <c r="G307" s="21" t="s">
        <v>460</v>
      </c>
      <c r="H307" s="19">
        <v>1</v>
      </c>
      <c r="I307" s="20">
        <v>0.23</v>
      </c>
      <c r="J307" s="19"/>
      <c r="K307" s="20"/>
    </row>
    <row r="308" spans="1:11" ht="14" x14ac:dyDescent="0.25">
      <c r="C308" s="22" t="s">
        <v>265</v>
      </c>
      <c r="H308" s="143">
        <v>228.96</v>
      </c>
      <c r="I308" s="143"/>
      <c r="J308" s="143">
        <v>1803.24</v>
      </c>
      <c r="K308" s="143"/>
    </row>
    <row r="309" spans="1:11" ht="14" x14ac:dyDescent="0.25">
      <c r="C309" s="22" t="s">
        <v>267</v>
      </c>
      <c r="H309" s="141">
        <v>228.96</v>
      </c>
      <c r="I309" s="141"/>
      <c r="J309" s="141">
        <v>1803.24</v>
      </c>
      <c r="K309" s="141"/>
    </row>
    <row r="311" spans="1:11" ht="144" x14ac:dyDescent="0.25">
      <c r="A311" s="10">
        <v>51</v>
      </c>
      <c r="B311" s="10" t="s">
        <v>517</v>
      </c>
      <c r="C311" s="10" t="s">
        <v>518</v>
      </c>
      <c r="D311" s="12" t="s">
        <v>34</v>
      </c>
      <c r="E311" s="11">
        <v>0.05</v>
      </c>
      <c r="F311" s="14"/>
      <c r="G311" s="13"/>
      <c r="H311" s="11"/>
      <c r="I311" s="14"/>
      <c r="J311" s="11"/>
      <c r="K311" s="14"/>
    </row>
    <row r="312" spans="1:11" x14ac:dyDescent="0.25">
      <c r="C312" s="23" t="s">
        <v>593</v>
      </c>
    </row>
    <row r="313" spans="1:11" ht="14.5" x14ac:dyDescent="0.25">
      <c r="A313" s="10"/>
      <c r="B313" s="10"/>
      <c r="C313" s="10" t="s">
        <v>256</v>
      </c>
      <c r="D313" s="12"/>
      <c r="E313" s="11"/>
      <c r="F313" s="14">
        <v>187.75</v>
      </c>
      <c r="G313" s="15" t="s">
        <v>460</v>
      </c>
      <c r="H313" s="11">
        <v>1</v>
      </c>
      <c r="I313" s="14">
        <v>12.95</v>
      </c>
      <c r="J313" s="11">
        <v>57.05</v>
      </c>
      <c r="K313" s="14">
        <v>738.8</v>
      </c>
    </row>
    <row r="314" spans="1:11" ht="14.5" x14ac:dyDescent="0.25">
      <c r="A314" s="10"/>
      <c r="B314" s="10"/>
      <c r="C314" s="10" t="s">
        <v>257</v>
      </c>
      <c r="D314" s="12"/>
      <c r="E314" s="11"/>
      <c r="F314" s="14">
        <v>12.47</v>
      </c>
      <c r="G314" s="15" t="s">
        <v>461</v>
      </c>
      <c r="H314" s="11">
        <v>1</v>
      </c>
      <c r="I314" s="14">
        <v>0.94</v>
      </c>
      <c r="J314" s="11">
        <v>17.440000000000001</v>
      </c>
      <c r="K314" s="14">
        <v>16.39</v>
      </c>
    </row>
    <row r="315" spans="1:11" ht="14.5" x14ac:dyDescent="0.25">
      <c r="A315" s="10"/>
      <c r="B315" s="10"/>
      <c r="C315" s="10" t="s">
        <v>258</v>
      </c>
      <c r="D315" s="12"/>
      <c r="E315" s="11"/>
      <c r="F315" s="14">
        <v>1.89</v>
      </c>
      <c r="G315" s="15" t="s">
        <v>461</v>
      </c>
      <c r="H315" s="11">
        <v>1</v>
      </c>
      <c r="I315" s="16">
        <v>0.14000000000000001</v>
      </c>
      <c r="J315" s="11">
        <v>57.05</v>
      </c>
      <c r="K315" s="16">
        <v>7.99</v>
      </c>
    </row>
    <row r="316" spans="1:11" ht="42" x14ac:dyDescent="0.25">
      <c r="A316" s="10" t="s">
        <v>519</v>
      </c>
      <c r="B316" s="10" t="s">
        <v>594</v>
      </c>
      <c r="C316" s="10" t="s">
        <v>520</v>
      </c>
      <c r="D316" s="12" t="s">
        <v>230</v>
      </c>
      <c r="E316" s="11">
        <v>5</v>
      </c>
      <c r="F316" s="14">
        <v>370.66</v>
      </c>
      <c r="G316" s="15" t="s">
        <v>1</v>
      </c>
      <c r="H316" s="11">
        <v>1</v>
      </c>
      <c r="I316" s="14">
        <v>1853.3</v>
      </c>
      <c r="J316" s="11">
        <v>10.130000000000001</v>
      </c>
      <c r="K316" s="14">
        <v>18773.93</v>
      </c>
    </row>
    <row r="317" spans="1:11" ht="14.5" x14ac:dyDescent="0.25">
      <c r="A317" s="10"/>
      <c r="B317" s="10"/>
      <c r="C317" s="10" t="s">
        <v>260</v>
      </c>
      <c r="D317" s="12" t="s">
        <v>261</v>
      </c>
      <c r="E317" s="11">
        <v>109</v>
      </c>
      <c r="F317" s="14"/>
      <c r="G317" s="13"/>
      <c r="H317" s="11"/>
      <c r="I317" s="14">
        <v>14.27</v>
      </c>
      <c r="J317" s="11">
        <v>109</v>
      </c>
      <c r="K317" s="14">
        <v>814</v>
      </c>
    </row>
    <row r="318" spans="1:11" ht="14.5" x14ac:dyDescent="0.25">
      <c r="A318" s="10"/>
      <c r="B318" s="10"/>
      <c r="C318" s="10" t="s">
        <v>262</v>
      </c>
      <c r="D318" s="12" t="s">
        <v>261</v>
      </c>
      <c r="E318" s="11">
        <v>61</v>
      </c>
      <c r="F318" s="14"/>
      <c r="G318" s="13"/>
      <c r="H318" s="11"/>
      <c r="I318" s="14">
        <v>7.98</v>
      </c>
      <c r="J318" s="11">
        <v>61</v>
      </c>
      <c r="K318" s="14">
        <v>455.54</v>
      </c>
    </row>
    <row r="319" spans="1:11" ht="14.5" x14ac:dyDescent="0.25">
      <c r="A319" s="17"/>
      <c r="B319" s="17"/>
      <c r="C319" s="17" t="s">
        <v>263</v>
      </c>
      <c r="D319" s="18" t="s">
        <v>264</v>
      </c>
      <c r="E319" s="19">
        <v>15</v>
      </c>
      <c r="F319" s="20"/>
      <c r="G319" s="21" t="s">
        <v>460</v>
      </c>
      <c r="H319" s="19">
        <v>1</v>
      </c>
      <c r="I319" s="20">
        <v>1.04</v>
      </c>
      <c r="J319" s="19"/>
      <c r="K319" s="20"/>
    </row>
    <row r="320" spans="1:11" ht="14" x14ac:dyDescent="0.25">
      <c r="C320" s="22" t="s">
        <v>265</v>
      </c>
      <c r="H320" s="143">
        <v>1889.44</v>
      </c>
      <c r="I320" s="143"/>
      <c r="J320" s="143">
        <v>20798.66</v>
      </c>
      <c r="K320" s="143"/>
    </row>
    <row r="321" spans="1:11" ht="14" x14ac:dyDescent="0.25">
      <c r="C321" s="22" t="s">
        <v>267</v>
      </c>
      <c r="H321" s="141">
        <v>1889.44</v>
      </c>
      <c r="I321" s="141"/>
      <c r="J321" s="141">
        <v>20798.66</v>
      </c>
      <c r="K321" s="141"/>
    </row>
    <row r="323" spans="1:11" ht="41" x14ac:dyDescent="0.25">
      <c r="A323" s="17">
        <v>52</v>
      </c>
      <c r="B323" s="17" t="s">
        <v>409</v>
      </c>
      <c r="C323" s="17" t="s">
        <v>521</v>
      </c>
      <c r="D323" s="18" t="s">
        <v>11</v>
      </c>
      <c r="E323" s="19">
        <v>6</v>
      </c>
      <c r="F323" s="20">
        <v>41.72</v>
      </c>
      <c r="G323" s="21" t="s">
        <v>1</v>
      </c>
      <c r="H323" s="19">
        <v>1</v>
      </c>
      <c r="I323" s="20">
        <v>250.32</v>
      </c>
      <c r="J323" s="19">
        <v>10.18</v>
      </c>
      <c r="K323" s="20">
        <v>2548.2600000000002</v>
      </c>
    </row>
    <row r="324" spans="1:11" ht="14" x14ac:dyDescent="0.25">
      <c r="C324" s="22" t="s">
        <v>267</v>
      </c>
      <c r="H324" s="143">
        <v>250.32</v>
      </c>
      <c r="I324" s="143"/>
      <c r="J324" s="143">
        <v>2548.2600000000002</v>
      </c>
      <c r="K324" s="143"/>
    </row>
    <row r="327" spans="1:11" ht="14" x14ac:dyDescent="0.3">
      <c r="A327" s="140" t="s">
        <v>595</v>
      </c>
      <c r="B327" s="140"/>
      <c r="C327" s="140"/>
      <c r="D327" s="140"/>
      <c r="E327" s="140"/>
      <c r="F327" s="140"/>
      <c r="G327" s="140"/>
      <c r="H327" s="141">
        <v>2368.7199999999998</v>
      </c>
      <c r="I327" s="142"/>
      <c r="J327" s="141">
        <v>25150.16</v>
      </c>
      <c r="K327" s="142"/>
    </row>
    <row r="329" spans="1:11" ht="16.5" x14ac:dyDescent="0.25">
      <c r="A329" s="144" t="s">
        <v>596</v>
      </c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</row>
    <row r="330" spans="1:11" ht="144" x14ac:dyDescent="0.25">
      <c r="A330" s="10">
        <v>53</v>
      </c>
      <c r="B330" s="10" t="s">
        <v>522</v>
      </c>
      <c r="C330" s="10" t="s">
        <v>523</v>
      </c>
      <c r="D330" s="12" t="s">
        <v>597</v>
      </c>
      <c r="E330" s="11">
        <v>4</v>
      </c>
      <c r="F330" s="14"/>
      <c r="G330" s="13"/>
      <c r="H330" s="11"/>
      <c r="I330" s="14"/>
      <c r="J330" s="11"/>
      <c r="K330" s="14"/>
    </row>
    <row r="331" spans="1:11" ht="14.5" x14ac:dyDescent="0.25">
      <c r="A331" s="10"/>
      <c r="B331" s="10"/>
      <c r="C331" s="10" t="s">
        <v>256</v>
      </c>
      <c r="D331" s="12"/>
      <c r="E331" s="11"/>
      <c r="F331" s="14">
        <v>70.569999999999993</v>
      </c>
      <c r="G331" s="15" t="s">
        <v>460</v>
      </c>
      <c r="H331" s="11">
        <v>1</v>
      </c>
      <c r="I331" s="14">
        <v>389.55</v>
      </c>
      <c r="J331" s="11">
        <v>57.05</v>
      </c>
      <c r="K331" s="14">
        <v>22223.83</v>
      </c>
    </row>
    <row r="332" spans="1:11" ht="14.5" x14ac:dyDescent="0.25">
      <c r="A332" s="10"/>
      <c r="B332" s="10"/>
      <c r="C332" s="10" t="s">
        <v>257</v>
      </c>
      <c r="D332" s="12"/>
      <c r="E332" s="11"/>
      <c r="F332" s="14">
        <v>8.1999999999999993</v>
      </c>
      <c r="G332" s="15" t="s">
        <v>461</v>
      </c>
      <c r="H332" s="11">
        <v>1</v>
      </c>
      <c r="I332" s="14">
        <v>49.2</v>
      </c>
      <c r="J332" s="11">
        <v>14.8</v>
      </c>
      <c r="K332" s="14">
        <v>728.16</v>
      </c>
    </row>
    <row r="333" spans="1:11" ht="14.5" x14ac:dyDescent="0.25">
      <c r="A333" s="10"/>
      <c r="B333" s="10"/>
      <c r="C333" s="10" t="s">
        <v>258</v>
      </c>
      <c r="D333" s="12"/>
      <c r="E333" s="11"/>
      <c r="F333" s="14">
        <v>0.55000000000000004</v>
      </c>
      <c r="G333" s="15" t="s">
        <v>461</v>
      </c>
      <c r="H333" s="11">
        <v>1</v>
      </c>
      <c r="I333" s="16">
        <v>3.3</v>
      </c>
      <c r="J333" s="11">
        <v>57.05</v>
      </c>
      <c r="K333" s="16">
        <v>188.27</v>
      </c>
    </row>
    <row r="334" spans="1:11" ht="14.5" x14ac:dyDescent="0.25">
      <c r="A334" s="10"/>
      <c r="B334" s="10"/>
      <c r="C334" s="10" t="s">
        <v>259</v>
      </c>
      <c r="D334" s="12"/>
      <c r="E334" s="11"/>
      <c r="F334" s="14">
        <v>356.4</v>
      </c>
      <c r="G334" s="15" t="s">
        <v>1</v>
      </c>
      <c r="H334" s="11">
        <v>1</v>
      </c>
      <c r="I334" s="14">
        <v>1425.6</v>
      </c>
      <c r="J334" s="11">
        <v>8.8699999999999992</v>
      </c>
      <c r="K334" s="14">
        <v>12645.07</v>
      </c>
    </row>
    <row r="335" spans="1:11" ht="14.5" x14ac:dyDescent="0.25">
      <c r="A335" s="10"/>
      <c r="B335" s="10"/>
      <c r="C335" s="10" t="s">
        <v>260</v>
      </c>
      <c r="D335" s="12" t="s">
        <v>261</v>
      </c>
      <c r="E335" s="11">
        <v>109</v>
      </c>
      <c r="F335" s="14"/>
      <c r="G335" s="13"/>
      <c r="H335" s="11"/>
      <c r="I335" s="14">
        <v>428.21</v>
      </c>
      <c r="J335" s="11">
        <v>109</v>
      </c>
      <c r="K335" s="14">
        <v>24429.19</v>
      </c>
    </row>
    <row r="336" spans="1:11" ht="14.5" x14ac:dyDescent="0.25">
      <c r="A336" s="10"/>
      <c r="B336" s="10"/>
      <c r="C336" s="10" t="s">
        <v>262</v>
      </c>
      <c r="D336" s="12" t="s">
        <v>261</v>
      </c>
      <c r="E336" s="11">
        <v>61</v>
      </c>
      <c r="F336" s="14"/>
      <c r="G336" s="13"/>
      <c r="H336" s="11"/>
      <c r="I336" s="14">
        <v>239.64</v>
      </c>
      <c r="J336" s="11">
        <v>61</v>
      </c>
      <c r="K336" s="14">
        <v>13671.38</v>
      </c>
    </row>
    <row r="337" spans="1:11" ht="14.5" x14ac:dyDescent="0.25">
      <c r="A337" s="17"/>
      <c r="B337" s="17"/>
      <c r="C337" s="17" t="s">
        <v>263</v>
      </c>
      <c r="D337" s="18" t="s">
        <v>264</v>
      </c>
      <c r="E337" s="19">
        <v>5.93</v>
      </c>
      <c r="F337" s="20"/>
      <c r="G337" s="21" t="s">
        <v>460</v>
      </c>
      <c r="H337" s="19">
        <v>1</v>
      </c>
      <c r="I337" s="20">
        <v>32.729999999999997</v>
      </c>
      <c r="J337" s="19"/>
      <c r="K337" s="20"/>
    </row>
    <row r="338" spans="1:11" ht="14" x14ac:dyDescent="0.25">
      <c r="C338" s="22" t="s">
        <v>265</v>
      </c>
      <c r="H338" s="143">
        <v>2532.1999999999998</v>
      </c>
      <c r="I338" s="143"/>
      <c r="J338" s="143">
        <v>73697.63</v>
      </c>
      <c r="K338" s="143"/>
    </row>
    <row r="339" spans="1:11" ht="14" x14ac:dyDescent="0.25">
      <c r="C339" s="22" t="s">
        <v>267</v>
      </c>
      <c r="H339" s="141">
        <v>2532.1999999999998</v>
      </c>
      <c r="I339" s="141"/>
      <c r="J339" s="141">
        <v>73697.63</v>
      </c>
      <c r="K339" s="141"/>
    </row>
    <row r="341" spans="1:11" ht="126" x14ac:dyDescent="0.25">
      <c r="A341" s="17">
        <v>54</v>
      </c>
      <c r="B341" s="17" t="s">
        <v>598</v>
      </c>
      <c r="C341" s="17" t="s">
        <v>524</v>
      </c>
      <c r="D341" s="18" t="s">
        <v>38</v>
      </c>
      <c r="E341" s="19">
        <v>3</v>
      </c>
      <c r="F341" s="20">
        <v>88.54</v>
      </c>
      <c r="G341" s="21" t="s">
        <v>1</v>
      </c>
      <c r="H341" s="19">
        <v>1</v>
      </c>
      <c r="I341" s="20">
        <v>265.62</v>
      </c>
      <c r="J341" s="19">
        <v>15.09</v>
      </c>
      <c r="K341" s="20">
        <v>4008.21</v>
      </c>
    </row>
    <row r="342" spans="1:11" ht="14" x14ac:dyDescent="0.25">
      <c r="C342" s="22" t="s">
        <v>267</v>
      </c>
      <c r="H342" s="143">
        <v>265.62</v>
      </c>
      <c r="I342" s="143"/>
      <c r="J342" s="143">
        <v>4008.21</v>
      </c>
      <c r="K342" s="143"/>
    </row>
    <row r="344" spans="1:11" ht="56" x14ac:dyDescent="0.25">
      <c r="A344" s="17">
        <v>55</v>
      </c>
      <c r="B344" s="17" t="s">
        <v>599</v>
      </c>
      <c r="C344" s="17" t="s">
        <v>525</v>
      </c>
      <c r="D344" s="18" t="s">
        <v>38</v>
      </c>
      <c r="E344" s="19">
        <v>1</v>
      </c>
      <c r="F344" s="20">
        <v>75.53</v>
      </c>
      <c r="G344" s="21" t="s">
        <v>1</v>
      </c>
      <c r="H344" s="19">
        <v>1</v>
      </c>
      <c r="I344" s="20">
        <v>75.53</v>
      </c>
      <c r="J344" s="19">
        <v>12.19</v>
      </c>
      <c r="K344" s="20">
        <v>920.71</v>
      </c>
    </row>
    <row r="345" spans="1:11" ht="14" x14ac:dyDescent="0.25">
      <c r="C345" s="22" t="s">
        <v>267</v>
      </c>
      <c r="H345" s="143">
        <v>75.53</v>
      </c>
      <c r="I345" s="143"/>
      <c r="J345" s="143">
        <v>920.71</v>
      </c>
      <c r="K345" s="143"/>
    </row>
    <row r="347" spans="1:11" ht="27" x14ac:dyDescent="0.25">
      <c r="A347" s="17">
        <v>56</v>
      </c>
      <c r="B347" s="17" t="s">
        <v>409</v>
      </c>
      <c r="C347" s="38" t="s">
        <v>1951</v>
      </c>
      <c r="D347" s="18" t="s">
        <v>11</v>
      </c>
      <c r="E347" s="19">
        <v>4</v>
      </c>
      <c r="F347" s="20">
        <v>268.31</v>
      </c>
      <c r="G347" s="21" t="s">
        <v>1</v>
      </c>
      <c r="H347" s="19">
        <v>1</v>
      </c>
      <c r="I347" s="20">
        <v>1073.24</v>
      </c>
      <c r="J347" s="19">
        <v>10.18</v>
      </c>
      <c r="K347" s="20">
        <v>10925.58</v>
      </c>
    </row>
    <row r="348" spans="1:11" ht="14" x14ac:dyDescent="0.25">
      <c r="C348" s="22" t="s">
        <v>267</v>
      </c>
      <c r="H348" s="143">
        <v>1073.24</v>
      </c>
      <c r="I348" s="143"/>
      <c r="J348" s="143">
        <v>10925.58</v>
      </c>
      <c r="K348" s="143"/>
    </row>
    <row r="351" spans="1:11" ht="14" x14ac:dyDescent="0.3">
      <c r="A351" s="140" t="s">
        <v>600</v>
      </c>
      <c r="B351" s="140"/>
      <c r="C351" s="140"/>
      <c r="D351" s="140"/>
      <c r="E351" s="140"/>
      <c r="F351" s="140"/>
      <c r="G351" s="140"/>
      <c r="H351" s="141">
        <v>3946.59</v>
      </c>
      <c r="I351" s="142"/>
      <c r="J351" s="141">
        <v>89552.13</v>
      </c>
      <c r="K351" s="142"/>
    </row>
    <row r="353" spans="1:11" ht="16.5" x14ac:dyDescent="0.25">
      <c r="A353" s="144" t="s">
        <v>601</v>
      </c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</row>
    <row r="354" spans="1:11" ht="144" x14ac:dyDescent="0.25">
      <c r="A354" s="10">
        <v>57</v>
      </c>
      <c r="B354" s="10" t="s">
        <v>526</v>
      </c>
      <c r="C354" s="10" t="s">
        <v>527</v>
      </c>
      <c r="D354" s="12" t="s">
        <v>602</v>
      </c>
      <c r="E354" s="11">
        <v>1</v>
      </c>
      <c r="F354" s="14"/>
      <c r="G354" s="13"/>
      <c r="H354" s="11"/>
      <c r="I354" s="14"/>
      <c r="J354" s="11"/>
      <c r="K354" s="14"/>
    </row>
    <row r="355" spans="1:11" ht="14.5" x14ac:dyDescent="0.25">
      <c r="A355" s="10"/>
      <c r="B355" s="10"/>
      <c r="C355" s="10" t="s">
        <v>256</v>
      </c>
      <c r="D355" s="12"/>
      <c r="E355" s="11"/>
      <c r="F355" s="14">
        <v>5</v>
      </c>
      <c r="G355" s="15" t="s">
        <v>460</v>
      </c>
      <c r="H355" s="11">
        <v>1</v>
      </c>
      <c r="I355" s="14">
        <v>6.9</v>
      </c>
      <c r="J355" s="11">
        <v>57.05</v>
      </c>
      <c r="K355" s="14">
        <v>393.65</v>
      </c>
    </row>
    <row r="356" spans="1:11" ht="14.5" x14ac:dyDescent="0.25">
      <c r="A356" s="10"/>
      <c r="B356" s="10"/>
      <c r="C356" s="10" t="s">
        <v>257</v>
      </c>
      <c r="D356" s="12"/>
      <c r="E356" s="11"/>
      <c r="F356" s="14">
        <v>0.83</v>
      </c>
      <c r="G356" s="15" t="s">
        <v>461</v>
      </c>
      <c r="H356" s="11">
        <v>1</v>
      </c>
      <c r="I356" s="14">
        <v>1.25</v>
      </c>
      <c r="J356" s="11">
        <v>17.47</v>
      </c>
      <c r="K356" s="14">
        <v>21.84</v>
      </c>
    </row>
    <row r="357" spans="1:11" ht="14.5" x14ac:dyDescent="0.25">
      <c r="A357" s="10"/>
      <c r="B357" s="10"/>
      <c r="C357" s="10" t="s">
        <v>258</v>
      </c>
      <c r="D357" s="12"/>
      <c r="E357" s="11"/>
      <c r="F357" s="14">
        <v>0.13</v>
      </c>
      <c r="G357" s="15" t="s">
        <v>461</v>
      </c>
      <c r="H357" s="11">
        <v>1</v>
      </c>
      <c r="I357" s="16">
        <v>0.2</v>
      </c>
      <c r="J357" s="11">
        <v>57.05</v>
      </c>
      <c r="K357" s="16">
        <v>11.41</v>
      </c>
    </row>
    <row r="358" spans="1:11" ht="14.5" x14ac:dyDescent="0.25">
      <c r="A358" s="10"/>
      <c r="B358" s="10"/>
      <c r="C358" s="10" t="s">
        <v>259</v>
      </c>
      <c r="D358" s="12"/>
      <c r="E358" s="11"/>
      <c r="F358" s="14">
        <v>0.91</v>
      </c>
      <c r="G358" s="15" t="s">
        <v>1</v>
      </c>
      <c r="H358" s="11">
        <v>1</v>
      </c>
      <c r="I358" s="14">
        <v>0.91</v>
      </c>
      <c r="J358" s="11">
        <v>5.58</v>
      </c>
      <c r="K358" s="14">
        <v>5.08</v>
      </c>
    </row>
    <row r="359" spans="1:11" ht="56" x14ac:dyDescent="0.25">
      <c r="A359" s="10" t="s">
        <v>528</v>
      </c>
      <c r="B359" s="10" t="s">
        <v>603</v>
      </c>
      <c r="C359" s="10" t="s">
        <v>529</v>
      </c>
      <c r="D359" s="12" t="s">
        <v>38</v>
      </c>
      <c r="E359" s="11">
        <v>1</v>
      </c>
      <c r="F359" s="14">
        <v>1106.27</v>
      </c>
      <c r="G359" s="15" t="s">
        <v>1</v>
      </c>
      <c r="H359" s="11">
        <v>1</v>
      </c>
      <c r="I359" s="14">
        <v>1106.27</v>
      </c>
      <c r="J359" s="11">
        <v>1.57</v>
      </c>
      <c r="K359" s="14">
        <v>1736.84</v>
      </c>
    </row>
    <row r="360" spans="1:11" ht="14.5" x14ac:dyDescent="0.25">
      <c r="A360" s="10"/>
      <c r="B360" s="10"/>
      <c r="C360" s="10" t="s">
        <v>260</v>
      </c>
      <c r="D360" s="12" t="s">
        <v>261</v>
      </c>
      <c r="E360" s="11">
        <v>109</v>
      </c>
      <c r="F360" s="14"/>
      <c r="G360" s="13"/>
      <c r="H360" s="11"/>
      <c r="I360" s="14">
        <v>7.74</v>
      </c>
      <c r="J360" s="11">
        <v>109</v>
      </c>
      <c r="K360" s="14">
        <v>441.52</v>
      </c>
    </row>
    <row r="361" spans="1:11" ht="14.5" x14ac:dyDescent="0.25">
      <c r="A361" s="10"/>
      <c r="B361" s="10"/>
      <c r="C361" s="10" t="s">
        <v>262</v>
      </c>
      <c r="D361" s="12" t="s">
        <v>261</v>
      </c>
      <c r="E361" s="11">
        <v>61</v>
      </c>
      <c r="F361" s="14"/>
      <c r="G361" s="13"/>
      <c r="H361" s="11"/>
      <c r="I361" s="14">
        <v>4.33</v>
      </c>
      <c r="J361" s="11">
        <v>61</v>
      </c>
      <c r="K361" s="14">
        <v>247.09</v>
      </c>
    </row>
    <row r="362" spans="1:11" ht="14.5" x14ac:dyDescent="0.25">
      <c r="A362" s="17"/>
      <c r="B362" s="17"/>
      <c r="C362" s="17" t="s">
        <v>263</v>
      </c>
      <c r="D362" s="18" t="s">
        <v>264</v>
      </c>
      <c r="E362" s="19">
        <v>0.41</v>
      </c>
      <c r="F362" s="20"/>
      <c r="G362" s="21" t="s">
        <v>460</v>
      </c>
      <c r="H362" s="19">
        <v>1</v>
      </c>
      <c r="I362" s="20">
        <v>0.56999999999999995</v>
      </c>
      <c r="J362" s="19"/>
      <c r="K362" s="20"/>
    </row>
    <row r="363" spans="1:11" ht="14" x14ac:dyDescent="0.25">
      <c r="C363" s="22" t="s">
        <v>265</v>
      </c>
      <c r="H363" s="143">
        <v>1127.4000000000001</v>
      </c>
      <c r="I363" s="143"/>
      <c r="J363" s="143">
        <v>2846.02</v>
      </c>
      <c r="K363" s="143"/>
    </row>
    <row r="364" spans="1:11" ht="14" x14ac:dyDescent="0.25">
      <c r="C364" s="22" t="s">
        <v>267</v>
      </c>
      <c r="H364" s="141">
        <v>1127.4000000000001</v>
      </c>
      <c r="I364" s="141"/>
      <c r="J364" s="141">
        <v>2846.02</v>
      </c>
      <c r="K364" s="141"/>
    </row>
    <row r="366" spans="1:11" ht="144" x14ac:dyDescent="0.25">
      <c r="A366" s="10">
        <v>58</v>
      </c>
      <c r="B366" s="10" t="s">
        <v>530</v>
      </c>
      <c r="C366" s="10" t="s">
        <v>531</v>
      </c>
      <c r="D366" s="12" t="s">
        <v>604</v>
      </c>
      <c r="E366" s="11">
        <v>1</v>
      </c>
      <c r="F366" s="14"/>
      <c r="G366" s="13"/>
      <c r="H366" s="11"/>
      <c r="I366" s="14"/>
      <c r="J366" s="11"/>
      <c r="K366" s="14"/>
    </row>
    <row r="367" spans="1:11" ht="14.5" x14ac:dyDescent="0.25">
      <c r="A367" s="10"/>
      <c r="B367" s="10"/>
      <c r="C367" s="10" t="s">
        <v>256</v>
      </c>
      <c r="D367" s="12"/>
      <c r="E367" s="11"/>
      <c r="F367" s="14">
        <v>9.25</v>
      </c>
      <c r="G367" s="15" t="s">
        <v>460</v>
      </c>
      <c r="H367" s="11">
        <v>1</v>
      </c>
      <c r="I367" s="14">
        <v>12.77</v>
      </c>
      <c r="J367" s="11">
        <v>57.05</v>
      </c>
      <c r="K367" s="14">
        <v>728.53</v>
      </c>
    </row>
    <row r="368" spans="1:11" ht="14.5" x14ac:dyDescent="0.25">
      <c r="A368" s="10"/>
      <c r="B368" s="10"/>
      <c r="C368" s="10" t="s">
        <v>257</v>
      </c>
      <c r="D368" s="12"/>
      <c r="E368" s="11"/>
      <c r="F368" s="14">
        <v>4.54</v>
      </c>
      <c r="G368" s="15" t="s">
        <v>461</v>
      </c>
      <c r="H368" s="11">
        <v>1</v>
      </c>
      <c r="I368" s="14">
        <v>6.81</v>
      </c>
      <c r="J368" s="11">
        <v>15.68</v>
      </c>
      <c r="K368" s="14">
        <v>106.78</v>
      </c>
    </row>
    <row r="369" spans="1:11" ht="14.5" x14ac:dyDescent="0.25">
      <c r="A369" s="10"/>
      <c r="B369" s="10"/>
      <c r="C369" s="10" t="s">
        <v>258</v>
      </c>
      <c r="D369" s="12"/>
      <c r="E369" s="11"/>
      <c r="F369" s="14">
        <v>0.42</v>
      </c>
      <c r="G369" s="15" t="s">
        <v>461</v>
      </c>
      <c r="H369" s="11">
        <v>1</v>
      </c>
      <c r="I369" s="16">
        <v>0.63</v>
      </c>
      <c r="J369" s="11">
        <v>57.05</v>
      </c>
      <c r="K369" s="16">
        <v>35.94</v>
      </c>
    </row>
    <row r="370" spans="1:11" ht="14.5" x14ac:dyDescent="0.25">
      <c r="A370" s="10"/>
      <c r="B370" s="10"/>
      <c r="C370" s="10" t="s">
        <v>259</v>
      </c>
      <c r="D370" s="12"/>
      <c r="E370" s="11"/>
      <c r="F370" s="14">
        <v>0.5</v>
      </c>
      <c r="G370" s="15" t="s">
        <v>1</v>
      </c>
      <c r="H370" s="11">
        <v>1</v>
      </c>
      <c r="I370" s="14">
        <v>0.5</v>
      </c>
      <c r="J370" s="11">
        <v>13.44</v>
      </c>
      <c r="K370" s="14">
        <v>6.72</v>
      </c>
    </row>
    <row r="371" spans="1:11" ht="84" x14ac:dyDescent="0.25">
      <c r="A371" s="10" t="s">
        <v>532</v>
      </c>
      <c r="B371" s="10" t="s">
        <v>605</v>
      </c>
      <c r="C371" s="10" t="s">
        <v>533</v>
      </c>
      <c r="D371" s="12" t="s">
        <v>38</v>
      </c>
      <c r="E371" s="11">
        <v>1</v>
      </c>
      <c r="F371" s="14">
        <v>676.14</v>
      </c>
      <c r="G371" s="15" t="s">
        <v>1</v>
      </c>
      <c r="H371" s="11">
        <v>1</v>
      </c>
      <c r="I371" s="14">
        <v>676.14</v>
      </c>
      <c r="J371" s="11">
        <v>2.1</v>
      </c>
      <c r="K371" s="14">
        <v>1419.89</v>
      </c>
    </row>
    <row r="372" spans="1:11" ht="14.5" x14ac:dyDescent="0.25">
      <c r="A372" s="10"/>
      <c r="B372" s="10"/>
      <c r="C372" s="10" t="s">
        <v>260</v>
      </c>
      <c r="D372" s="12" t="s">
        <v>261</v>
      </c>
      <c r="E372" s="11">
        <v>109</v>
      </c>
      <c r="F372" s="14"/>
      <c r="G372" s="13"/>
      <c r="H372" s="11"/>
      <c r="I372" s="14">
        <v>14.61</v>
      </c>
      <c r="J372" s="11">
        <v>109</v>
      </c>
      <c r="K372" s="14">
        <v>833.27</v>
      </c>
    </row>
    <row r="373" spans="1:11" ht="14.5" x14ac:dyDescent="0.25">
      <c r="A373" s="10"/>
      <c r="B373" s="10"/>
      <c r="C373" s="10" t="s">
        <v>262</v>
      </c>
      <c r="D373" s="12" t="s">
        <v>261</v>
      </c>
      <c r="E373" s="11">
        <v>61</v>
      </c>
      <c r="F373" s="14"/>
      <c r="G373" s="13"/>
      <c r="H373" s="11"/>
      <c r="I373" s="14">
        <v>8.17</v>
      </c>
      <c r="J373" s="11">
        <v>61</v>
      </c>
      <c r="K373" s="14">
        <v>466.33</v>
      </c>
    </row>
    <row r="374" spans="1:11" ht="14.5" x14ac:dyDescent="0.25">
      <c r="A374" s="17"/>
      <c r="B374" s="17"/>
      <c r="C374" s="17" t="s">
        <v>263</v>
      </c>
      <c r="D374" s="18" t="s">
        <v>264</v>
      </c>
      <c r="E374" s="19">
        <v>0.75</v>
      </c>
      <c r="F374" s="20"/>
      <c r="G374" s="21" t="s">
        <v>460</v>
      </c>
      <c r="H374" s="19">
        <v>1</v>
      </c>
      <c r="I374" s="20">
        <v>1.04</v>
      </c>
      <c r="J374" s="19"/>
      <c r="K374" s="20"/>
    </row>
    <row r="375" spans="1:11" ht="14" x14ac:dyDescent="0.25">
      <c r="C375" s="22" t="s">
        <v>265</v>
      </c>
      <c r="H375" s="143">
        <v>719</v>
      </c>
      <c r="I375" s="143"/>
      <c r="J375" s="143">
        <v>3561.52</v>
      </c>
      <c r="K375" s="143"/>
    </row>
    <row r="376" spans="1:11" ht="14" x14ac:dyDescent="0.25">
      <c r="C376" s="22" t="s">
        <v>267</v>
      </c>
      <c r="H376" s="141">
        <v>719</v>
      </c>
      <c r="I376" s="141"/>
      <c r="J376" s="141">
        <v>3561.52</v>
      </c>
      <c r="K376" s="141"/>
    </row>
    <row r="378" spans="1:11" ht="70" x14ac:dyDescent="0.25">
      <c r="A378" s="17">
        <v>59</v>
      </c>
      <c r="B378" s="17" t="s">
        <v>606</v>
      </c>
      <c r="C378" s="17" t="s">
        <v>534</v>
      </c>
      <c r="D378" s="18" t="s">
        <v>230</v>
      </c>
      <c r="E378" s="19">
        <v>1</v>
      </c>
      <c r="F378" s="20">
        <v>4.79</v>
      </c>
      <c r="G378" s="21" t="s">
        <v>1</v>
      </c>
      <c r="H378" s="19">
        <v>1</v>
      </c>
      <c r="I378" s="20">
        <v>4.79</v>
      </c>
      <c r="J378" s="19">
        <v>17.649999999999999</v>
      </c>
      <c r="K378" s="20">
        <v>84.54</v>
      </c>
    </row>
    <row r="379" spans="1:11" ht="14" x14ac:dyDescent="0.25">
      <c r="C379" s="22" t="s">
        <v>267</v>
      </c>
      <c r="H379" s="143">
        <v>4.79</v>
      </c>
      <c r="I379" s="143"/>
      <c r="J379" s="143">
        <v>84.54</v>
      </c>
      <c r="K379" s="143"/>
    </row>
    <row r="381" spans="1:11" ht="70" x14ac:dyDescent="0.25">
      <c r="A381" s="17">
        <v>60</v>
      </c>
      <c r="B381" s="17" t="s">
        <v>607</v>
      </c>
      <c r="C381" s="17" t="s">
        <v>535</v>
      </c>
      <c r="D381" s="18" t="s">
        <v>230</v>
      </c>
      <c r="E381" s="19">
        <v>2</v>
      </c>
      <c r="F381" s="20">
        <v>7.92</v>
      </c>
      <c r="G381" s="21" t="s">
        <v>1</v>
      </c>
      <c r="H381" s="19">
        <v>1</v>
      </c>
      <c r="I381" s="20">
        <v>15.84</v>
      </c>
      <c r="J381" s="19">
        <v>18.97</v>
      </c>
      <c r="K381" s="20">
        <v>300.48</v>
      </c>
    </row>
    <row r="382" spans="1:11" ht="14" x14ac:dyDescent="0.25">
      <c r="C382" s="22" t="s">
        <v>267</v>
      </c>
      <c r="H382" s="143">
        <v>15.84</v>
      </c>
      <c r="I382" s="143"/>
      <c r="J382" s="143">
        <v>300.48</v>
      </c>
      <c r="K382" s="143"/>
    </row>
    <row r="384" spans="1:11" ht="56" x14ac:dyDescent="0.25">
      <c r="A384" s="17">
        <v>61</v>
      </c>
      <c r="B384" s="17" t="s">
        <v>608</v>
      </c>
      <c r="C384" s="17" t="s">
        <v>536</v>
      </c>
      <c r="D384" s="18" t="s">
        <v>38</v>
      </c>
      <c r="E384" s="19">
        <v>2</v>
      </c>
      <c r="F384" s="20">
        <v>47.2</v>
      </c>
      <c r="G384" s="21" t="s">
        <v>1</v>
      </c>
      <c r="H384" s="19">
        <v>1</v>
      </c>
      <c r="I384" s="20">
        <v>94.4</v>
      </c>
      <c r="J384" s="19">
        <v>5.76</v>
      </c>
      <c r="K384" s="20">
        <v>543.74</v>
      </c>
    </row>
    <row r="385" spans="1:11" ht="14" x14ac:dyDescent="0.25">
      <c r="C385" s="22" t="s">
        <v>267</v>
      </c>
      <c r="H385" s="143">
        <v>94.4</v>
      </c>
      <c r="I385" s="143"/>
      <c r="J385" s="143">
        <v>543.74</v>
      </c>
      <c r="K385" s="143"/>
    </row>
    <row r="387" spans="1:11" ht="70" x14ac:dyDescent="0.25">
      <c r="A387" s="17">
        <v>62</v>
      </c>
      <c r="B387" s="17" t="s">
        <v>609</v>
      </c>
      <c r="C387" s="17" t="s">
        <v>537</v>
      </c>
      <c r="D387" s="18" t="s">
        <v>38</v>
      </c>
      <c r="E387" s="19">
        <v>1</v>
      </c>
      <c r="F387" s="20">
        <v>17.28</v>
      </c>
      <c r="G387" s="21" t="s">
        <v>1</v>
      </c>
      <c r="H387" s="19">
        <v>1</v>
      </c>
      <c r="I387" s="20">
        <v>17.28</v>
      </c>
      <c r="J387" s="19">
        <v>11.99</v>
      </c>
      <c r="K387" s="20">
        <v>207.19</v>
      </c>
    </row>
    <row r="388" spans="1:11" ht="14" x14ac:dyDescent="0.25">
      <c r="C388" s="22" t="s">
        <v>267</v>
      </c>
      <c r="H388" s="143">
        <v>17.28</v>
      </c>
      <c r="I388" s="143"/>
      <c r="J388" s="143">
        <v>207.19</v>
      </c>
      <c r="K388" s="143"/>
    </row>
    <row r="390" spans="1:11" ht="144" x14ac:dyDescent="0.25">
      <c r="A390" s="10">
        <v>63</v>
      </c>
      <c r="B390" s="10" t="s">
        <v>538</v>
      </c>
      <c r="C390" s="10" t="s">
        <v>539</v>
      </c>
      <c r="D390" s="12" t="s">
        <v>586</v>
      </c>
      <c r="E390" s="11">
        <v>1</v>
      </c>
      <c r="F390" s="14"/>
      <c r="G390" s="13"/>
      <c r="H390" s="11"/>
      <c r="I390" s="14"/>
      <c r="J390" s="11"/>
      <c r="K390" s="14"/>
    </row>
    <row r="391" spans="1:11" ht="14.5" x14ac:dyDescent="0.25">
      <c r="A391" s="10"/>
      <c r="B391" s="10"/>
      <c r="C391" s="10" t="s">
        <v>256</v>
      </c>
      <c r="D391" s="12"/>
      <c r="E391" s="11"/>
      <c r="F391" s="14">
        <v>2.86</v>
      </c>
      <c r="G391" s="15" t="s">
        <v>460</v>
      </c>
      <c r="H391" s="11">
        <v>1</v>
      </c>
      <c r="I391" s="14">
        <v>3.95</v>
      </c>
      <c r="J391" s="11">
        <v>57.05</v>
      </c>
      <c r="K391" s="14">
        <v>225.35</v>
      </c>
    </row>
    <row r="392" spans="1:11" ht="14.5" x14ac:dyDescent="0.25">
      <c r="A392" s="10"/>
      <c r="B392" s="10"/>
      <c r="C392" s="10" t="s">
        <v>259</v>
      </c>
      <c r="D392" s="12"/>
      <c r="E392" s="11"/>
      <c r="F392" s="14">
        <v>0.93</v>
      </c>
      <c r="G392" s="15" t="s">
        <v>1</v>
      </c>
      <c r="H392" s="11">
        <v>1</v>
      </c>
      <c r="I392" s="14">
        <v>0.93</v>
      </c>
      <c r="J392" s="11">
        <v>5.42</v>
      </c>
      <c r="K392" s="14">
        <v>5.04</v>
      </c>
    </row>
    <row r="393" spans="1:11" ht="14.5" x14ac:dyDescent="0.25">
      <c r="A393" s="10"/>
      <c r="B393" s="10"/>
      <c r="C393" s="10" t="s">
        <v>260</v>
      </c>
      <c r="D393" s="12" t="s">
        <v>261</v>
      </c>
      <c r="E393" s="11">
        <v>109</v>
      </c>
      <c r="F393" s="14"/>
      <c r="G393" s="13"/>
      <c r="H393" s="11"/>
      <c r="I393" s="14">
        <v>4.3099999999999996</v>
      </c>
      <c r="J393" s="11">
        <v>109</v>
      </c>
      <c r="K393" s="14">
        <v>245.63</v>
      </c>
    </row>
    <row r="394" spans="1:11" ht="14.5" x14ac:dyDescent="0.25">
      <c r="A394" s="10"/>
      <c r="B394" s="10"/>
      <c r="C394" s="10" t="s">
        <v>262</v>
      </c>
      <c r="D394" s="12" t="s">
        <v>261</v>
      </c>
      <c r="E394" s="11">
        <v>61</v>
      </c>
      <c r="F394" s="14"/>
      <c r="G394" s="13"/>
      <c r="H394" s="11"/>
      <c r="I394" s="14">
        <v>2.41</v>
      </c>
      <c r="J394" s="11">
        <v>61</v>
      </c>
      <c r="K394" s="14">
        <v>137.46</v>
      </c>
    </row>
    <row r="395" spans="1:11" ht="14.5" x14ac:dyDescent="0.25">
      <c r="A395" s="17"/>
      <c r="B395" s="17"/>
      <c r="C395" s="17" t="s">
        <v>263</v>
      </c>
      <c r="D395" s="18" t="s">
        <v>264</v>
      </c>
      <c r="E395" s="19">
        <v>0.22</v>
      </c>
      <c r="F395" s="20"/>
      <c r="G395" s="21" t="s">
        <v>460</v>
      </c>
      <c r="H395" s="19">
        <v>1</v>
      </c>
      <c r="I395" s="20">
        <v>0.3</v>
      </c>
      <c r="J395" s="19"/>
      <c r="K395" s="20"/>
    </row>
    <row r="396" spans="1:11" ht="14" x14ac:dyDescent="0.25">
      <c r="C396" s="22" t="s">
        <v>265</v>
      </c>
      <c r="H396" s="143">
        <v>11.6</v>
      </c>
      <c r="I396" s="143"/>
      <c r="J396" s="143">
        <v>613.48</v>
      </c>
      <c r="K396" s="143"/>
    </row>
    <row r="397" spans="1:11" ht="14" x14ac:dyDescent="0.25">
      <c r="C397" s="22" t="s">
        <v>267</v>
      </c>
      <c r="H397" s="141">
        <v>11.6</v>
      </c>
      <c r="I397" s="141"/>
      <c r="J397" s="141">
        <v>613.48</v>
      </c>
      <c r="K397" s="141"/>
    </row>
    <row r="399" spans="1:11" ht="56" x14ac:dyDescent="0.25">
      <c r="A399" s="17">
        <v>64</v>
      </c>
      <c r="B399" s="17" t="s">
        <v>610</v>
      </c>
      <c r="C399" s="17" t="s">
        <v>540</v>
      </c>
      <c r="D399" s="18" t="s">
        <v>38</v>
      </c>
      <c r="E399" s="19">
        <v>1</v>
      </c>
      <c r="F399" s="20">
        <v>196.13</v>
      </c>
      <c r="G399" s="21" t="s">
        <v>1</v>
      </c>
      <c r="H399" s="19">
        <v>1</v>
      </c>
      <c r="I399" s="20">
        <v>196.13</v>
      </c>
      <c r="J399" s="19">
        <v>3.59</v>
      </c>
      <c r="K399" s="20">
        <v>704.11</v>
      </c>
    </row>
    <row r="400" spans="1:11" ht="14" x14ac:dyDescent="0.25">
      <c r="C400" s="22" t="s">
        <v>267</v>
      </c>
      <c r="H400" s="143">
        <v>196.13</v>
      </c>
      <c r="I400" s="143"/>
      <c r="J400" s="143">
        <v>704.11</v>
      </c>
      <c r="K400" s="143"/>
    </row>
    <row r="402" spans="1:11" ht="112" x14ac:dyDescent="0.25">
      <c r="A402" s="17">
        <v>65</v>
      </c>
      <c r="B402" s="17" t="s">
        <v>611</v>
      </c>
      <c r="C402" s="17" t="s">
        <v>541</v>
      </c>
      <c r="D402" s="18" t="s">
        <v>38</v>
      </c>
      <c r="E402" s="19">
        <v>1</v>
      </c>
      <c r="F402" s="20">
        <v>145.63</v>
      </c>
      <c r="G402" s="21" t="s">
        <v>1</v>
      </c>
      <c r="H402" s="19">
        <v>1</v>
      </c>
      <c r="I402" s="20">
        <v>145.63</v>
      </c>
      <c r="J402" s="19">
        <v>4.03</v>
      </c>
      <c r="K402" s="20">
        <v>586.89</v>
      </c>
    </row>
    <row r="403" spans="1:11" ht="14" x14ac:dyDescent="0.25">
      <c r="C403" s="22" t="s">
        <v>267</v>
      </c>
      <c r="H403" s="143">
        <v>145.63</v>
      </c>
      <c r="I403" s="143"/>
      <c r="J403" s="143">
        <v>586.89</v>
      </c>
      <c r="K403" s="143"/>
    </row>
    <row r="405" spans="1:11" ht="70" x14ac:dyDescent="0.25">
      <c r="A405" s="17">
        <v>66</v>
      </c>
      <c r="B405" s="17" t="s">
        <v>606</v>
      </c>
      <c r="C405" s="17" t="s">
        <v>534</v>
      </c>
      <c r="D405" s="18" t="s">
        <v>230</v>
      </c>
      <c r="E405" s="19">
        <v>2</v>
      </c>
      <c r="F405" s="20">
        <v>4.79</v>
      </c>
      <c r="G405" s="21" t="s">
        <v>1</v>
      </c>
      <c r="H405" s="19">
        <v>1</v>
      </c>
      <c r="I405" s="20">
        <v>9.58</v>
      </c>
      <c r="J405" s="19">
        <v>17.649999999999999</v>
      </c>
      <c r="K405" s="20">
        <v>169.09</v>
      </c>
    </row>
    <row r="406" spans="1:11" ht="14" x14ac:dyDescent="0.25">
      <c r="C406" s="22" t="s">
        <v>267</v>
      </c>
      <c r="H406" s="143">
        <v>9.58</v>
      </c>
      <c r="I406" s="143"/>
      <c r="J406" s="143">
        <v>169.09</v>
      </c>
      <c r="K406" s="143"/>
    </row>
    <row r="409" spans="1:11" ht="14" x14ac:dyDescent="0.3">
      <c r="A409" s="140" t="s">
        <v>612</v>
      </c>
      <c r="B409" s="140"/>
      <c r="C409" s="140"/>
      <c r="D409" s="140"/>
      <c r="E409" s="140"/>
      <c r="F409" s="140"/>
      <c r="G409" s="140"/>
      <c r="H409" s="141">
        <v>2341.65</v>
      </c>
      <c r="I409" s="142"/>
      <c r="J409" s="141">
        <v>9617.06</v>
      </c>
      <c r="K409" s="142"/>
    </row>
    <row r="411" spans="1:11" ht="14" x14ac:dyDescent="0.3">
      <c r="A411" s="140" t="s">
        <v>435</v>
      </c>
      <c r="B411" s="140"/>
      <c r="C411" s="140"/>
      <c r="D411" s="140"/>
      <c r="E411" s="140"/>
      <c r="F411" s="140"/>
      <c r="G411" s="140"/>
      <c r="H411" s="141">
        <v>38231.300000000003</v>
      </c>
      <c r="I411" s="142"/>
      <c r="J411" s="141">
        <v>582525.68999999994</v>
      </c>
      <c r="K411" s="142"/>
    </row>
  </sheetData>
  <mergeCells count="207">
    <mergeCell ref="E16:H16"/>
    <mergeCell ref="E17:H17"/>
    <mergeCell ref="A20:K20"/>
    <mergeCell ref="E13:H13"/>
    <mergeCell ref="E14:H14"/>
    <mergeCell ref="E15:H15"/>
    <mergeCell ref="J2:K2"/>
    <mergeCell ref="A3:K3"/>
    <mergeCell ref="A4:K4"/>
    <mergeCell ref="A6:K6"/>
    <mergeCell ref="A8:K8"/>
    <mergeCell ref="A9:K9"/>
    <mergeCell ref="H37:I37"/>
    <mergeCell ref="J37:K37"/>
    <mergeCell ref="H40:I40"/>
    <mergeCell ref="J40:K40"/>
    <mergeCell ref="H43:I43"/>
    <mergeCell ref="J43:K43"/>
    <mergeCell ref="A23:K23"/>
    <mergeCell ref="H33:I33"/>
    <mergeCell ref="J33:K33"/>
    <mergeCell ref="H34:I34"/>
    <mergeCell ref="J34:K34"/>
    <mergeCell ref="H56:I56"/>
    <mergeCell ref="J56:K56"/>
    <mergeCell ref="H60:I60"/>
    <mergeCell ref="J60:K60"/>
    <mergeCell ref="H63:I63"/>
    <mergeCell ref="J63:K63"/>
    <mergeCell ref="H46:I46"/>
    <mergeCell ref="J46:K46"/>
    <mergeCell ref="H50:I50"/>
    <mergeCell ref="J50:K50"/>
    <mergeCell ref="H53:I53"/>
    <mergeCell ref="J53:K53"/>
    <mergeCell ref="H93:I93"/>
    <mergeCell ref="J93:K93"/>
    <mergeCell ref="H96:I96"/>
    <mergeCell ref="J96:K96"/>
    <mergeCell ref="H83:I83"/>
    <mergeCell ref="J83:K83"/>
    <mergeCell ref="H92:I92"/>
    <mergeCell ref="J92:K92"/>
    <mergeCell ref="H66:I66"/>
    <mergeCell ref="J66:K66"/>
    <mergeCell ref="H69:I69"/>
    <mergeCell ref="J69:K69"/>
    <mergeCell ref="H82:I82"/>
    <mergeCell ref="J82:K82"/>
    <mergeCell ref="H126:I126"/>
    <mergeCell ref="J126:K126"/>
    <mergeCell ref="H129:I129"/>
    <mergeCell ref="J129:K129"/>
    <mergeCell ref="H116:I116"/>
    <mergeCell ref="J116:K116"/>
    <mergeCell ref="H125:I125"/>
    <mergeCell ref="J125:K125"/>
    <mergeCell ref="H99:I99"/>
    <mergeCell ref="J99:K99"/>
    <mergeCell ref="H102:I102"/>
    <mergeCell ref="J102:K102"/>
    <mergeCell ref="H115:I115"/>
    <mergeCell ref="J115:K115"/>
    <mergeCell ref="H150:I150"/>
    <mergeCell ref="J150:K150"/>
    <mergeCell ref="H151:I151"/>
    <mergeCell ref="J151:K151"/>
    <mergeCell ref="H132:I132"/>
    <mergeCell ref="J132:K132"/>
    <mergeCell ref="H135:I135"/>
    <mergeCell ref="J135:K135"/>
    <mergeCell ref="H138:I138"/>
    <mergeCell ref="J138:K138"/>
    <mergeCell ref="H171:I171"/>
    <mergeCell ref="J171:K171"/>
    <mergeCell ref="H172:I172"/>
    <mergeCell ref="J172:K172"/>
    <mergeCell ref="H155:I155"/>
    <mergeCell ref="J155:K155"/>
    <mergeCell ref="H159:I159"/>
    <mergeCell ref="J159:K159"/>
    <mergeCell ref="H163:I163"/>
    <mergeCell ref="J163:K163"/>
    <mergeCell ref="A199:G199"/>
    <mergeCell ref="H199:I199"/>
    <mergeCell ref="J199:K199"/>
    <mergeCell ref="A201:K201"/>
    <mergeCell ref="H185:I185"/>
    <mergeCell ref="J185:K185"/>
    <mergeCell ref="H195:I195"/>
    <mergeCell ref="J195:K195"/>
    <mergeCell ref="H175:I175"/>
    <mergeCell ref="J175:K175"/>
    <mergeCell ref="H184:I184"/>
    <mergeCell ref="J184:K184"/>
    <mergeCell ref="H223:I223"/>
    <mergeCell ref="J223:K223"/>
    <mergeCell ref="H224:I224"/>
    <mergeCell ref="J224:K224"/>
    <mergeCell ref="H213:I213"/>
    <mergeCell ref="J213:K213"/>
    <mergeCell ref="H214:I214"/>
    <mergeCell ref="J214:K214"/>
    <mergeCell ref="H196:I196"/>
    <mergeCell ref="J196:K196"/>
    <mergeCell ref="H236:I236"/>
    <mergeCell ref="J236:K236"/>
    <mergeCell ref="H240:I240"/>
    <mergeCell ref="J240:K240"/>
    <mergeCell ref="H243:I243"/>
    <mergeCell ref="J243:K243"/>
    <mergeCell ref="H227:I227"/>
    <mergeCell ref="J227:K227"/>
    <mergeCell ref="H230:I230"/>
    <mergeCell ref="J230:K230"/>
    <mergeCell ref="H233:I233"/>
    <mergeCell ref="J233:K233"/>
    <mergeCell ref="H271:I271"/>
    <mergeCell ref="J271:K271"/>
    <mergeCell ref="H272:I272"/>
    <mergeCell ref="J272:K272"/>
    <mergeCell ref="H260:I260"/>
    <mergeCell ref="J260:K260"/>
    <mergeCell ref="H263:I263"/>
    <mergeCell ref="J263:K263"/>
    <mergeCell ref="H246:I246"/>
    <mergeCell ref="J246:K246"/>
    <mergeCell ref="H249:I249"/>
    <mergeCell ref="J249:K249"/>
    <mergeCell ref="H259:I259"/>
    <mergeCell ref="J259:K259"/>
    <mergeCell ref="H284:I284"/>
    <mergeCell ref="J284:K284"/>
    <mergeCell ref="H287:I287"/>
    <mergeCell ref="J287:K287"/>
    <mergeCell ref="H290:I290"/>
    <mergeCell ref="J290:K290"/>
    <mergeCell ref="H275:I275"/>
    <mergeCell ref="J275:K275"/>
    <mergeCell ref="H283:I283"/>
    <mergeCell ref="J283:K283"/>
    <mergeCell ref="H308:I308"/>
    <mergeCell ref="J308:K308"/>
    <mergeCell ref="H309:I309"/>
    <mergeCell ref="J309:K309"/>
    <mergeCell ref="H293:I293"/>
    <mergeCell ref="J293:K293"/>
    <mergeCell ref="A296:G296"/>
    <mergeCell ref="H296:I296"/>
    <mergeCell ref="J296:K296"/>
    <mergeCell ref="A298:K298"/>
    <mergeCell ref="H324:I324"/>
    <mergeCell ref="J324:K324"/>
    <mergeCell ref="A327:G327"/>
    <mergeCell ref="H327:I327"/>
    <mergeCell ref="J327:K327"/>
    <mergeCell ref="A329:K329"/>
    <mergeCell ref="H320:I320"/>
    <mergeCell ref="J320:K320"/>
    <mergeCell ref="H321:I321"/>
    <mergeCell ref="J321:K321"/>
    <mergeCell ref="H342:I342"/>
    <mergeCell ref="J342:K342"/>
    <mergeCell ref="H345:I345"/>
    <mergeCell ref="J345:K345"/>
    <mergeCell ref="H348:I348"/>
    <mergeCell ref="J348:K348"/>
    <mergeCell ref="H338:I338"/>
    <mergeCell ref="J338:K338"/>
    <mergeCell ref="H339:I339"/>
    <mergeCell ref="J339:K339"/>
    <mergeCell ref="H376:I376"/>
    <mergeCell ref="J376:K376"/>
    <mergeCell ref="H379:I379"/>
    <mergeCell ref="J379:K379"/>
    <mergeCell ref="H364:I364"/>
    <mergeCell ref="J364:K364"/>
    <mergeCell ref="H375:I375"/>
    <mergeCell ref="J375:K375"/>
    <mergeCell ref="A351:G351"/>
    <mergeCell ref="H351:I351"/>
    <mergeCell ref="J351:K351"/>
    <mergeCell ref="A353:K353"/>
    <mergeCell ref="H363:I363"/>
    <mergeCell ref="J363:K363"/>
    <mergeCell ref="H396:I396"/>
    <mergeCell ref="J396:K396"/>
    <mergeCell ref="H397:I397"/>
    <mergeCell ref="J397:K397"/>
    <mergeCell ref="H382:I382"/>
    <mergeCell ref="J382:K382"/>
    <mergeCell ref="H385:I385"/>
    <mergeCell ref="J385:K385"/>
    <mergeCell ref="H388:I388"/>
    <mergeCell ref="J388:K388"/>
    <mergeCell ref="A411:G411"/>
    <mergeCell ref="H411:I411"/>
    <mergeCell ref="J411:K411"/>
    <mergeCell ref="A409:G409"/>
    <mergeCell ref="H409:I409"/>
    <mergeCell ref="J409:K409"/>
    <mergeCell ref="H400:I400"/>
    <mergeCell ref="J400:K400"/>
    <mergeCell ref="H403:I403"/>
    <mergeCell ref="J403:K403"/>
    <mergeCell ref="H406:I406"/>
    <mergeCell ref="J406:K40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C189-518B-4FE9-B998-DB84DB5146E4}">
  <dimension ref="A1:K258"/>
  <sheetViews>
    <sheetView topLeftCell="A239" zoomScale="64" workbookViewId="0">
      <selection activeCell="B59" sqref="B59"/>
    </sheetView>
  </sheetViews>
  <sheetFormatPr defaultRowHeight="12.5" x14ac:dyDescent="0.25"/>
  <cols>
    <col min="1" max="1" width="5.54296875" customWidth="1"/>
    <col min="2" max="2" width="11.54296875" customWidth="1"/>
    <col min="3" max="3" width="40.54296875" customWidth="1"/>
    <col min="4" max="4" width="11.54296875" customWidth="1"/>
    <col min="5" max="5" width="7.453125" bestFit="1" customWidth="1"/>
    <col min="6" max="6" width="12.453125" customWidth="1"/>
    <col min="7" max="7" width="8.453125" bestFit="1" customWidth="1"/>
    <col min="9" max="9" width="12.81640625" customWidth="1"/>
    <col min="11" max="11" width="14.1796875" customWidth="1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679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717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66.73</v>
      </c>
      <c r="J13" s="5">
        <v>841.37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66.73</v>
      </c>
      <c r="J14" s="7">
        <v>841.37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239</v>
      </c>
      <c r="F15" s="145"/>
      <c r="G15" s="145"/>
      <c r="H15" s="145"/>
      <c r="I15" s="7">
        <v>2.2999999999999998</v>
      </c>
      <c r="J15" s="7">
        <v>131.44999999999999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240</v>
      </c>
      <c r="F16" s="145"/>
      <c r="G16" s="145"/>
      <c r="H16" s="145"/>
      <c r="I16" s="7">
        <v>185.35</v>
      </c>
      <c r="J16" s="7"/>
      <c r="K16" s="2" t="s">
        <v>224</v>
      </c>
    </row>
    <row r="17" spans="1:11" ht="14" x14ac:dyDescent="0.3">
      <c r="A17" s="2"/>
      <c r="B17" s="2"/>
      <c r="C17" s="2"/>
      <c r="D17" s="2"/>
      <c r="E17" s="2"/>
      <c r="F17" s="26"/>
      <c r="G17" s="26"/>
      <c r="H17" s="26"/>
      <c r="I17" s="7"/>
      <c r="J17" s="7"/>
      <c r="K17" s="2"/>
    </row>
    <row r="18" spans="1:11" ht="14" x14ac:dyDescent="0.3">
      <c r="A18" s="2" t="s">
        <v>252</v>
      </c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36.75" customHeight="1" x14ac:dyDescent="0.3">
      <c r="A19" s="146" t="s">
        <v>457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</row>
    <row r="20" spans="1:11" ht="140" x14ac:dyDescent="0.25">
      <c r="A20" s="8" t="s">
        <v>241</v>
      </c>
      <c r="B20" s="8" t="s">
        <v>242</v>
      </c>
      <c r="C20" s="8" t="s">
        <v>243</v>
      </c>
      <c r="D20" s="8" t="s">
        <v>244</v>
      </c>
      <c r="E20" s="8" t="s">
        <v>245</v>
      </c>
      <c r="F20" s="8" t="s">
        <v>246</v>
      </c>
      <c r="G20" s="9" t="s">
        <v>247</v>
      </c>
      <c r="H20" s="9" t="s">
        <v>248</v>
      </c>
      <c r="I20" s="8" t="s">
        <v>254</v>
      </c>
      <c r="J20" s="8" t="s">
        <v>249</v>
      </c>
      <c r="K20" s="8" t="s">
        <v>250</v>
      </c>
    </row>
    <row r="21" spans="1:11" ht="14" x14ac:dyDescent="0.25">
      <c r="A21" s="8">
        <v>1</v>
      </c>
      <c r="B21" s="8">
        <v>2</v>
      </c>
      <c r="C21" s="8">
        <v>3</v>
      </c>
      <c r="D21" s="8">
        <v>4</v>
      </c>
      <c r="E21" s="8">
        <v>5</v>
      </c>
      <c r="F21" s="8">
        <v>6</v>
      </c>
      <c r="G21" s="8">
        <v>7</v>
      </c>
      <c r="H21" s="8">
        <v>8</v>
      </c>
      <c r="I21" s="8">
        <v>9</v>
      </c>
      <c r="J21" s="8">
        <v>10</v>
      </c>
      <c r="K21" s="8">
        <v>11</v>
      </c>
    </row>
    <row r="22" spans="1:11" ht="16.5" x14ac:dyDescent="0.25">
      <c r="A22" s="144" t="s">
        <v>680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ht="144" x14ac:dyDescent="0.25">
      <c r="A23" s="10">
        <v>1</v>
      </c>
      <c r="B23" s="10" t="s">
        <v>619</v>
      </c>
      <c r="C23" s="10" t="s">
        <v>620</v>
      </c>
      <c r="D23" s="12" t="s">
        <v>681</v>
      </c>
      <c r="E23" s="11">
        <v>0.5</v>
      </c>
      <c r="F23" s="14"/>
      <c r="G23" s="13"/>
      <c r="H23" s="11"/>
      <c r="I23" s="14"/>
      <c r="J23" s="11"/>
      <c r="K23" s="14"/>
    </row>
    <row r="24" spans="1:11" x14ac:dyDescent="0.25">
      <c r="C24" s="23" t="s">
        <v>402</v>
      </c>
    </row>
    <row r="25" spans="1:11" ht="14.5" x14ac:dyDescent="0.25">
      <c r="A25" s="10"/>
      <c r="B25" s="10"/>
      <c r="C25" s="10" t="s">
        <v>256</v>
      </c>
      <c r="D25" s="12"/>
      <c r="E25" s="11"/>
      <c r="F25" s="14">
        <v>1395.48</v>
      </c>
      <c r="G25" s="15" t="s">
        <v>460</v>
      </c>
      <c r="H25" s="11">
        <v>1</v>
      </c>
      <c r="I25" s="14">
        <v>962.88</v>
      </c>
      <c r="J25" s="11">
        <v>57.05</v>
      </c>
      <c r="K25" s="14">
        <v>54932.3</v>
      </c>
    </row>
    <row r="26" spans="1:11" ht="14.5" x14ac:dyDescent="0.25">
      <c r="A26" s="10"/>
      <c r="B26" s="10"/>
      <c r="C26" s="10" t="s">
        <v>257</v>
      </c>
      <c r="D26" s="12"/>
      <c r="E26" s="11"/>
      <c r="F26" s="14">
        <v>144.94999999999999</v>
      </c>
      <c r="G26" s="15" t="s">
        <v>461</v>
      </c>
      <c r="H26" s="11">
        <v>1</v>
      </c>
      <c r="I26" s="14">
        <v>108.71</v>
      </c>
      <c r="J26" s="11">
        <v>17.13</v>
      </c>
      <c r="K26" s="14">
        <v>1862.2</v>
      </c>
    </row>
    <row r="27" spans="1:11" ht="14.5" x14ac:dyDescent="0.25">
      <c r="A27" s="10"/>
      <c r="B27" s="10"/>
      <c r="C27" s="10" t="s">
        <v>258</v>
      </c>
      <c r="D27" s="12"/>
      <c r="E27" s="11"/>
      <c r="F27" s="14">
        <v>20.7</v>
      </c>
      <c r="G27" s="15" t="s">
        <v>461</v>
      </c>
      <c r="H27" s="11">
        <v>1</v>
      </c>
      <c r="I27" s="16">
        <v>15.53</v>
      </c>
      <c r="J27" s="11">
        <v>57.05</v>
      </c>
      <c r="K27" s="16">
        <v>885.99</v>
      </c>
    </row>
    <row r="28" spans="1:11" ht="14.5" x14ac:dyDescent="0.25">
      <c r="A28" s="10"/>
      <c r="B28" s="10"/>
      <c r="C28" s="10" t="s">
        <v>259</v>
      </c>
      <c r="D28" s="12"/>
      <c r="E28" s="11"/>
      <c r="F28" s="14">
        <v>202.76</v>
      </c>
      <c r="G28" s="15" t="s">
        <v>1</v>
      </c>
      <c r="H28" s="11">
        <v>1</v>
      </c>
      <c r="I28" s="14">
        <v>101.38</v>
      </c>
      <c r="J28" s="11">
        <v>10.9</v>
      </c>
      <c r="K28" s="14">
        <v>1105.04</v>
      </c>
    </row>
    <row r="29" spans="1:11" ht="56" x14ac:dyDescent="0.25">
      <c r="A29" s="10" t="s">
        <v>6</v>
      </c>
      <c r="B29" s="10" t="s">
        <v>682</v>
      </c>
      <c r="C29" s="10" t="s">
        <v>621</v>
      </c>
      <c r="D29" s="12" t="s">
        <v>52</v>
      </c>
      <c r="E29" s="11">
        <v>50.5</v>
      </c>
      <c r="F29" s="14">
        <v>129.06</v>
      </c>
      <c r="G29" s="15" t="s">
        <v>1</v>
      </c>
      <c r="H29" s="11">
        <v>1</v>
      </c>
      <c r="I29" s="14">
        <v>6517.53</v>
      </c>
      <c r="J29" s="11">
        <v>24.94</v>
      </c>
      <c r="K29" s="14">
        <v>162547.20000000001</v>
      </c>
    </row>
    <row r="30" spans="1:11" ht="14.5" x14ac:dyDescent="0.25">
      <c r="A30" s="10"/>
      <c r="B30" s="10"/>
      <c r="C30" s="10" t="s">
        <v>260</v>
      </c>
      <c r="D30" s="12" t="s">
        <v>261</v>
      </c>
      <c r="E30" s="11">
        <v>109</v>
      </c>
      <c r="F30" s="14"/>
      <c r="G30" s="13"/>
      <c r="H30" s="11"/>
      <c r="I30" s="14">
        <v>1066.47</v>
      </c>
      <c r="J30" s="11">
        <v>109</v>
      </c>
      <c r="K30" s="14">
        <v>60841.94</v>
      </c>
    </row>
    <row r="31" spans="1:11" ht="14.5" x14ac:dyDescent="0.25">
      <c r="A31" s="10"/>
      <c r="B31" s="10"/>
      <c r="C31" s="10" t="s">
        <v>262</v>
      </c>
      <c r="D31" s="12" t="s">
        <v>261</v>
      </c>
      <c r="E31" s="11">
        <v>61</v>
      </c>
      <c r="F31" s="14"/>
      <c r="G31" s="13"/>
      <c r="H31" s="11"/>
      <c r="I31" s="14">
        <v>596.83000000000004</v>
      </c>
      <c r="J31" s="11">
        <v>61</v>
      </c>
      <c r="K31" s="14">
        <v>34049.160000000003</v>
      </c>
    </row>
    <row r="32" spans="1:11" ht="14.5" x14ac:dyDescent="0.25">
      <c r="A32" s="17"/>
      <c r="B32" s="17"/>
      <c r="C32" s="17" t="s">
        <v>263</v>
      </c>
      <c r="D32" s="18" t="s">
        <v>264</v>
      </c>
      <c r="E32" s="19">
        <v>116</v>
      </c>
      <c r="F32" s="20"/>
      <c r="G32" s="21" t="s">
        <v>460</v>
      </c>
      <c r="H32" s="19">
        <v>1</v>
      </c>
      <c r="I32" s="20">
        <v>80.040000000000006</v>
      </c>
      <c r="J32" s="19"/>
      <c r="K32" s="20"/>
    </row>
    <row r="33" spans="1:11" ht="14" x14ac:dyDescent="0.25">
      <c r="C33" s="22" t="s">
        <v>265</v>
      </c>
      <c r="H33" s="143">
        <v>9353.7999999999993</v>
      </c>
      <c r="I33" s="143"/>
      <c r="J33" s="143">
        <v>315337.84000000003</v>
      </c>
      <c r="K33" s="143"/>
    </row>
    <row r="34" spans="1:11" ht="14" x14ac:dyDescent="0.25">
      <c r="C34" s="22" t="s">
        <v>267</v>
      </c>
      <c r="H34" s="141">
        <v>9353.7999999999993</v>
      </c>
      <c r="I34" s="141"/>
      <c r="J34" s="141">
        <v>315337.84000000003</v>
      </c>
      <c r="K34" s="141"/>
    </row>
    <row r="36" spans="1:11" ht="28" x14ac:dyDescent="0.25">
      <c r="A36" s="17">
        <v>2</v>
      </c>
      <c r="B36" s="17" t="s">
        <v>683</v>
      </c>
      <c r="C36" s="17" t="s">
        <v>622</v>
      </c>
      <c r="D36" s="18" t="s">
        <v>38</v>
      </c>
      <c r="E36" s="19">
        <v>6</v>
      </c>
      <c r="F36" s="20">
        <v>66.36</v>
      </c>
      <c r="G36" s="21" t="s">
        <v>1</v>
      </c>
      <c r="H36" s="19">
        <v>1</v>
      </c>
      <c r="I36" s="20">
        <v>398.16</v>
      </c>
      <c r="J36" s="19">
        <v>23.78</v>
      </c>
      <c r="K36" s="20">
        <v>9468.24</v>
      </c>
    </row>
    <row r="37" spans="1:11" ht="14" x14ac:dyDescent="0.25">
      <c r="C37" s="22" t="s">
        <v>267</v>
      </c>
      <c r="H37" s="143">
        <v>398.16</v>
      </c>
      <c r="I37" s="143"/>
      <c r="J37" s="143">
        <v>9468.24</v>
      </c>
      <c r="K37" s="143"/>
    </row>
    <row r="39" spans="1:11" ht="144" x14ac:dyDescent="0.25">
      <c r="A39" s="10">
        <v>3</v>
      </c>
      <c r="B39" s="10" t="s">
        <v>623</v>
      </c>
      <c r="C39" s="10" t="s">
        <v>624</v>
      </c>
      <c r="D39" s="12" t="s">
        <v>576</v>
      </c>
      <c r="E39" s="11">
        <v>1</v>
      </c>
      <c r="F39" s="14"/>
      <c r="G39" s="13"/>
      <c r="H39" s="11"/>
      <c r="I39" s="14"/>
      <c r="J39" s="11"/>
      <c r="K39" s="14"/>
    </row>
    <row r="40" spans="1:11" ht="14.5" x14ac:dyDescent="0.25">
      <c r="A40" s="10"/>
      <c r="B40" s="10"/>
      <c r="C40" s="10" t="s">
        <v>256</v>
      </c>
      <c r="D40" s="12"/>
      <c r="E40" s="11"/>
      <c r="F40" s="14">
        <v>99.95</v>
      </c>
      <c r="G40" s="15" t="s">
        <v>460</v>
      </c>
      <c r="H40" s="11">
        <v>1</v>
      </c>
      <c r="I40" s="14">
        <v>137.93</v>
      </c>
      <c r="J40" s="11">
        <v>57.05</v>
      </c>
      <c r="K40" s="14">
        <v>7868.91</v>
      </c>
    </row>
    <row r="41" spans="1:11" ht="14.5" x14ac:dyDescent="0.25">
      <c r="A41" s="10"/>
      <c r="B41" s="10"/>
      <c r="C41" s="10" t="s">
        <v>257</v>
      </c>
      <c r="D41" s="12"/>
      <c r="E41" s="11"/>
      <c r="F41" s="14">
        <v>0.83</v>
      </c>
      <c r="G41" s="15" t="s">
        <v>461</v>
      </c>
      <c r="H41" s="11">
        <v>1</v>
      </c>
      <c r="I41" s="14">
        <v>1.25</v>
      </c>
      <c r="J41" s="11">
        <v>17.47</v>
      </c>
      <c r="K41" s="14">
        <v>21.84</v>
      </c>
    </row>
    <row r="42" spans="1:11" ht="14.5" x14ac:dyDescent="0.25">
      <c r="A42" s="10"/>
      <c r="B42" s="10"/>
      <c r="C42" s="10" t="s">
        <v>258</v>
      </c>
      <c r="D42" s="12"/>
      <c r="E42" s="11"/>
      <c r="F42" s="14">
        <v>0.13</v>
      </c>
      <c r="G42" s="15" t="s">
        <v>461</v>
      </c>
      <c r="H42" s="11">
        <v>1</v>
      </c>
      <c r="I42" s="16">
        <v>0.2</v>
      </c>
      <c r="J42" s="11">
        <v>57.05</v>
      </c>
      <c r="K42" s="16">
        <v>11.41</v>
      </c>
    </row>
    <row r="43" spans="1:11" ht="14.5" x14ac:dyDescent="0.25">
      <c r="A43" s="10"/>
      <c r="B43" s="10"/>
      <c r="C43" s="10" t="s">
        <v>259</v>
      </c>
      <c r="D43" s="12"/>
      <c r="E43" s="11"/>
      <c r="F43" s="14">
        <v>8.01</v>
      </c>
      <c r="G43" s="15" t="s">
        <v>1</v>
      </c>
      <c r="H43" s="11">
        <v>1</v>
      </c>
      <c r="I43" s="14">
        <v>8.01</v>
      </c>
      <c r="J43" s="11">
        <v>22.99</v>
      </c>
      <c r="K43" s="14">
        <v>184.15</v>
      </c>
    </row>
    <row r="44" spans="1:11" ht="14.5" x14ac:dyDescent="0.25">
      <c r="A44" s="10"/>
      <c r="B44" s="10"/>
      <c r="C44" s="10" t="s">
        <v>260</v>
      </c>
      <c r="D44" s="12" t="s">
        <v>261</v>
      </c>
      <c r="E44" s="11">
        <v>109</v>
      </c>
      <c r="F44" s="14"/>
      <c r="G44" s="13"/>
      <c r="H44" s="11"/>
      <c r="I44" s="14">
        <v>150.56</v>
      </c>
      <c r="J44" s="11">
        <v>109</v>
      </c>
      <c r="K44" s="14">
        <v>8589.5499999999993</v>
      </c>
    </row>
    <row r="45" spans="1:11" ht="14.5" x14ac:dyDescent="0.25">
      <c r="A45" s="10"/>
      <c r="B45" s="10"/>
      <c r="C45" s="10" t="s">
        <v>262</v>
      </c>
      <c r="D45" s="12" t="s">
        <v>261</v>
      </c>
      <c r="E45" s="11">
        <v>61</v>
      </c>
      <c r="F45" s="14"/>
      <c r="G45" s="13"/>
      <c r="H45" s="11"/>
      <c r="I45" s="14">
        <v>84.26</v>
      </c>
      <c r="J45" s="11">
        <v>61</v>
      </c>
      <c r="K45" s="14">
        <v>4807</v>
      </c>
    </row>
    <row r="46" spans="1:11" ht="14.5" x14ac:dyDescent="0.25">
      <c r="A46" s="17"/>
      <c r="B46" s="17"/>
      <c r="C46" s="17" t="s">
        <v>263</v>
      </c>
      <c r="D46" s="18" t="s">
        <v>264</v>
      </c>
      <c r="E46" s="19">
        <v>8.94</v>
      </c>
      <c r="F46" s="20"/>
      <c r="G46" s="21" t="s">
        <v>460</v>
      </c>
      <c r="H46" s="19">
        <v>1</v>
      </c>
      <c r="I46" s="20">
        <v>12.34</v>
      </c>
      <c r="J46" s="19"/>
      <c r="K46" s="20"/>
    </row>
    <row r="47" spans="1:11" ht="14" x14ac:dyDescent="0.25">
      <c r="C47" s="22" t="s">
        <v>265</v>
      </c>
      <c r="H47" s="143">
        <v>382.01</v>
      </c>
      <c r="I47" s="143"/>
      <c r="J47" s="143">
        <v>21471.45</v>
      </c>
      <c r="K47" s="143"/>
    </row>
    <row r="48" spans="1:11" ht="14" x14ac:dyDescent="0.25">
      <c r="C48" s="22" t="s">
        <v>267</v>
      </c>
      <c r="H48" s="141">
        <v>382.01</v>
      </c>
      <c r="I48" s="141"/>
      <c r="J48" s="141">
        <v>21471.45</v>
      </c>
      <c r="K48" s="141"/>
    </row>
    <row r="50" spans="1:11" ht="144" x14ac:dyDescent="0.25">
      <c r="A50" s="10">
        <v>4</v>
      </c>
      <c r="B50" s="10" t="s">
        <v>625</v>
      </c>
      <c r="C50" s="10" t="s">
        <v>626</v>
      </c>
      <c r="D50" s="12" t="s">
        <v>50</v>
      </c>
      <c r="E50" s="11">
        <v>0.62</v>
      </c>
      <c r="F50" s="14"/>
      <c r="G50" s="13"/>
      <c r="H50" s="11"/>
      <c r="I50" s="14"/>
      <c r="J50" s="11"/>
      <c r="K50" s="14"/>
    </row>
    <row r="51" spans="1:11" x14ac:dyDescent="0.25">
      <c r="C51" s="23" t="s">
        <v>684</v>
      </c>
    </row>
    <row r="52" spans="1:11" ht="14.5" x14ac:dyDescent="0.25">
      <c r="A52" s="10"/>
      <c r="B52" s="10"/>
      <c r="C52" s="10" t="s">
        <v>256</v>
      </c>
      <c r="D52" s="12"/>
      <c r="E52" s="11"/>
      <c r="F52" s="14">
        <v>716.8</v>
      </c>
      <c r="G52" s="15" t="s">
        <v>460</v>
      </c>
      <c r="H52" s="11">
        <v>1</v>
      </c>
      <c r="I52" s="14">
        <v>613.29</v>
      </c>
      <c r="J52" s="11">
        <v>57.05</v>
      </c>
      <c r="K52" s="14">
        <v>34988.19</v>
      </c>
    </row>
    <row r="53" spans="1:11" ht="14.5" x14ac:dyDescent="0.25">
      <c r="A53" s="10"/>
      <c r="B53" s="10"/>
      <c r="C53" s="10" t="s">
        <v>257</v>
      </c>
      <c r="D53" s="12"/>
      <c r="E53" s="11"/>
      <c r="F53" s="14">
        <v>20.2</v>
      </c>
      <c r="G53" s="15" t="s">
        <v>461</v>
      </c>
      <c r="H53" s="11">
        <v>1</v>
      </c>
      <c r="I53" s="14">
        <v>18.79</v>
      </c>
      <c r="J53" s="11">
        <v>17.059999999999999</v>
      </c>
      <c r="K53" s="14">
        <v>320.56</v>
      </c>
    </row>
    <row r="54" spans="1:11" ht="14.5" x14ac:dyDescent="0.25">
      <c r="A54" s="10"/>
      <c r="B54" s="10"/>
      <c r="C54" s="10" t="s">
        <v>258</v>
      </c>
      <c r="D54" s="12"/>
      <c r="E54" s="11"/>
      <c r="F54" s="14">
        <v>2.86</v>
      </c>
      <c r="G54" s="15" t="s">
        <v>461</v>
      </c>
      <c r="H54" s="11">
        <v>1</v>
      </c>
      <c r="I54" s="16">
        <v>2.66</v>
      </c>
      <c r="J54" s="11">
        <v>57.05</v>
      </c>
      <c r="K54" s="16">
        <v>151.75</v>
      </c>
    </row>
    <row r="55" spans="1:11" ht="14.5" x14ac:dyDescent="0.25">
      <c r="A55" s="10"/>
      <c r="B55" s="10"/>
      <c r="C55" s="10" t="s">
        <v>259</v>
      </c>
      <c r="D55" s="12"/>
      <c r="E55" s="11"/>
      <c r="F55" s="14">
        <v>231.71</v>
      </c>
      <c r="G55" s="15" t="s">
        <v>1</v>
      </c>
      <c r="H55" s="11">
        <v>1</v>
      </c>
      <c r="I55" s="14">
        <v>143.66</v>
      </c>
      <c r="J55" s="11">
        <v>12.69</v>
      </c>
      <c r="K55" s="14">
        <v>1823.05</v>
      </c>
    </row>
    <row r="56" spans="1:11" ht="70" x14ac:dyDescent="0.25">
      <c r="A56" s="10" t="s">
        <v>627</v>
      </c>
      <c r="B56" s="10" t="s">
        <v>2063</v>
      </c>
      <c r="C56" s="10" t="s">
        <v>628</v>
      </c>
      <c r="D56" s="12" t="s">
        <v>38</v>
      </c>
      <c r="E56" s="11">
        <v>75</v>
      </c>
      <c r="F56" s="14">
        <v>54.28</v>
      </c>
      <c r="G56" s="15" t="s">
        <v>1</v>
      </c>
      <c r="H56" s="11">
        <v>1</v>
      </c>
      <c r="I56" s="14">
        <v>4071</v>
      </c>
      <c r="J56" s="11">
        <v>0.82</v>
      </c>
      <c r="K56" s="14">
        <v>3338.22</v>
      </c>
    </row>
    <row r="57" spans="1:11" ht="70" x14ac:dyDescent="0.25">
      <c r="A57" s="10" t="s">
        <v>629</v>
      </c>
      <c r="B57" s="10" t="s">
        <v>685</v>
      </c>
      <c r="C57" s="10" t="s">
        <v>630</v>
      </c>
      <c r="D57" s="12" t="s">
        <v>52</v>
      </c>
      <c r="E57" s="11">
        <v>62</v>
      </c>
      <c r="F57" s="14">
        <v>179.22</v>
      </c>
      <c r="G57" s="15" t="s">
        <v>1</v>
      </c>
      <c r="H57" s="11">
        <v>1</v>
      </c>
      <c r="I57" s="14">
        <v>11111.64</v>
      </c>
      <c r="J57" s="11">
        <v>2.2799999999999998</v>
      </c>
      <c r="K57" s="14">
        <v>25334.54</v>
      </c>
    </row>
    <row r="58" spans="1:11" ht="28" x14ac:dyDescent="0.25">
      <c r="A58" s="10" t="s">
        <v>631</v>
      </c>
      <c r="B58" s="10" t="s">
        <v>2107</v>
      </c>
      <c r="C58" s="10" t="s">
        <v>632</v>
      </c>
      <c r="D58" s="12" t="s">
        <v>38</v>
      </c>
      <c r="E58" s="11">
        <v>6</v>
      </c>
      <c r="F58" s="14">
        <v>53.05</v>
      </c>
      <c r="G58" s="15" t="s">
        <v>1</v>
      </c>
      <c r="H58" s="11">
        <v>1</v>
      </c>
      <c r="I58" s="14">
        <v>318.3</v>
      </c>
      <c r="J58" s="11">
        <v>3.92</v>
      </c>
      <c r="K58" s="14">
        <v>1247.74</v>
      </c>
    </row>
    <row r="59" spans="1:11" ht="14.5" x14ac:dyDescent="0.25">
      <c r="A59" s="10"/>
      <c r="B59" s="10"/>
      <c r="C59" s="10" t="s">
        <v>260</v>
      </c>
      <c r="D59" s="12" t="s">
        <v>261</v>
      </c>
      <c r="E59" s="11">
        <v>109</v>
      </c>
      <c r="F59" s="14"/>
      <c r="G59" s="13"/>
      <c r="H59" s="11"/>
      <c r="I59" s="14">
        <v>671.39</v>
      </c>
      <c r="J59" s="11">
        <v>109</v>
      </c>
      <c r="K59" s="14">
        <v>38302.53</v>
      </c>
    </row>
    <row r="60" spans="1:11" ht="14.5" x14ac:dyDescent="0.25">
      <c r="A60" s="10"/>
      <c r="B60" s="10"/>
      <c r="C60" s="10" t="s">
        <v>262</v>
      </c>
      <c r="D60" s="12" t="s">
        <v>261</v>
      </c>
      <c r="E60" s="11">
        <v>61</v>
      </c>
      <c r="F60" s="14"/>
      <c r="G60" s="13"/>
      <c r="H60" s="11"/>
      <c r="I60" s="14">
        <v>375.73</v>
      </c>
      <c r="J60" s="11">
        <v>61</v>
      </c>
      <c r="K60" s="14">
        <v>21435.360000000001</v>
      </c>
    </row>
    <row r="61" spans="1:11" ht="14.5" x14ac:dyDescent="0.25">
      <c r="A61" s="17"/>
      <c r="B61" s="17"/>
      <c r="C61" s="17" t="s">
        <v>263</v>
      </c>
      <c r="D61" s="18" t="s">
        <v>264</v>
      </c>
      <c r="E61" s="19">
        <v>56</v>
      </c>
      <c r="F61" s="20"/>
      <c r="G61" s="21" t="s">
        <v>460</v>
      </c>
      <c r="H61" s="19">
        <v>1</v>
      </c>
      <c r="I61" s="20">
        <v>47.91</v>
      </c>
      <c r="J61" s="19"/>
      <c r="K61" s="20"/>
    </row>
    <row r="62" spans="1:11" ht="14" x14ac:dyDescent="0.25">
      <c r="C62" s="22" t="s">
        <v>265</v>
      </c>
      <c r="H62" s="143">
        <v>17323.8</v>
      </c>
      <c r="I62" s="143"/>
      <c r="J62" s="143">
        <v>126790.19</v>
      </c>
      <c r="K62" s="143"/>
    </row>
    <row r="63" spans="1:11" ht="14" x14ac:dyDescent="0.25">
      <c r="C63" s="22" t="s">
        <v>267</v>
      </c>
      <c r="H63" s="141">
        <v>17323.8</v>
      </c>
      <c r="I63" s="141"/>
      <c r="J63" s="141">
        <v>126790.19</v>
      </c>
      <c r="K63" s="141"/>
    </row>
    <row r="65" spans="1:11" ht="28" x14ac:dyDescent="0.25">
      <c r="A65" s="17">
        <v>5</v>
      </c>
      <c r="B65" s="17" t="s">
        <v>686</v>
      </c>
      <c r="C65" s="17" t="s">
        <v>633</v>
      </c>
      <c r="D65" s="18" t="s">
        <v>38</v>
      </c>
      <c r="E65" s="19">
        <v>6</v>
      </c>
      <c r="F65" s="20">
        <v>20.21</v>
      </c>
      <c r="G65" s="21" t="s">
        <v>1</v>
      </c>
      <c r="H65" s="19">
        <v>1</v>
      </c>
      <c r="I65" s="20">
        <v>121.26</v>
      </c>
      <c r="J65" s="19">
        <v>4.67</v>
      </c>
      <c r="K65" s="20">
        <v>566.28</v>
      </c>
    </row>
    <row r="66" spans="1:11" ht="14" x14ac:dyDescent="0.25">
      <c r="C66" s="22" t="s">
        <v>267</v>
      </c>
      <c r="H66" s="143">
        <v>121.26</v>
      </c>
      <c r="I66" s="143"/>
      <c r="J66" s="143">
        <v>566.28</v>
      </c>
      <c r="K66" s="143"/>
    </row>
    <row r="68" spans="1:11" ht="28" x14ac:dyDescent="0.25">
      <c r="A68" s="17">
        <v>6</v>
      </c>
      <c r="B68" s="17" t="s">
        <v>687</v>
      </c>
      <c r="C68" s="17" t="s">
        <v>634</v>
      </c>
      <c r="D68" s="18" t="s">
        <v>38</v>
      </c>
      <c r="E68" s="19">
        <v>5</v>
      </c>
      <c r="F68" s="20">
        <v>53.05</v>
      </c>
      <c r="G68" s="21" t="s">
        <v>1</v>
      </c>
      <c r="H68" s="19">
        <v>1</v>
      </c>
      <c r="I68" s="20">
        <v>265.25</v>
      </c>
      <c r="J68" s="19">
        <v>3.92</v>
      </c>
      <c r="K68" s="20">
        <v>1039.78</v>
      </c>
    </row>
    <row r="69" spans="1:11" ht="14" x14ac:dyDescent="0.25">
      <c r="C69" s="22" t="s">
        <v>267</v>
      </c>
      <c r="H69" s="143">
        <v>265.25</v>
      </c>
      <c r="I69" s="143"/>
      <c r="J69" s="143">
        <v>1039.78</v>
      </c>
      <c r="K69" s="143"/>
    </row>
    <row r="71" spans="1:11" ht="14.5" x14ac:dyDescent="0.25">
      <c r="A71" s="10">
        <v>7</v>
      </c>
      <c r="B71" s="10" t="s">
        <v>548</v>
      </c>
      <c r="C71" s="10" t="s">
        <v>465</v>
      </c>
      <c r="D71" s="12" t="s">
        <v>28</v>
      </c>
      <c r="E71" s="11">
        <v>4.4999999999999998E-2</v>
      </c>
      <c r="F71" s="14">
        <v>26867.38</v>
      </c>
      <c r="G71" s="15" t="s">
        <v>1</v>
      </c>
      <c r="H71" s="11">
        <v>1</v>
      </c>
      <c r="I71" s="14">
        <v>1209.03</v>
      </c>
      <c r="J71" s="11">
        <v>4.3899999999999997</v>
      </c>
      <c r="K71" s="14">
        <v>5307.64</v>
      </c>
    </row>
    <row r="72" spans="1:11" x14ac:dyDescent="0.25">
      <c r="A72" s="24"/>
      <c r="B72" s="24"/>
      <c r="C72" s="25" t="s">
        <v>688</v>
      </c>
      <c r="D72" s="24"/>
      <c r="E72" s="24"/>
      <c r="F72" s="24"/>
      <c r="G72" s="24"/>
      <c r="H72" s="24"/>
      <c r="I72" s="24"/>
      <c r="J72" s="24"/>
      <c r="K72" s="24"/>
    </row>
    <row r="73" spans="1:11" ht="14" x14ac:dyDescent="0.25">
      <c r="C73" s="22" t="s">
        <v>267</v>
      </c>
      <c r="H73" s="143">
        <v>1209.03</v>
      </c>
      <c r="I73" s="143"/>
      <c r="J73" s="143">
        <v>5307.64</v>
      </c>
      <c r="K73" s="143"/>
    </row>
    <row r="75" spans="1:11" ht="144" x14ac:dyDescent="0.25">
      <c r="A75" s="10">
        <v>8</v>
      </c>
      <c r="B75" s="10" t="s">
        <v>635</v>
      </c>
      <c r="C75" s="10" t="s">
        <v>636</v>
      </c>
      <c r="D75" s="12" t="s">
        <v>50</v>
      </c>
      <c r="E75" s="11">
        <v>0.17</v>
      </c>
      <c r="F75" s="14"/>
      <c r="G75" s="13"/>
      <c r="H75" s="11"/>
      <c r="I75" s="14"/>
      <c r="J75" s="11"/>
      <c r="K75" s="14"/>
    </row>
    <row r="76" spans="1:11" x14ac:dyDescent="0.25">
      <c r="C76" s="23" t="s">
        <v>689</v>
      </c>
    </row>
    <row r="77" spans="1:11" ht="14.5" x14ac:dyDescent="0.25">
      <c r="A77" s="10"/>
      <c r="B77" s="10"/>
      <c r="C77" s="10" t="s">
        <v>256</v>
      </c>
      <c r="D77" s="12"/>
      <c r="E77" s="11"/>
      <c r="F77" s="14">
        <v>747.52</v>
      </c>
      <c r="G77" s="15" t="s">
        <v>460</v>
      </c>
      <c r="H77" s="11">
        <v>1</v>
      </c>
      <c r="I77" s="14">
        <v>175.37</v>
      </c>
      <c r="J77" s="11">
        <v>57.05</v>
      </c>
      <c r="K77" s="14">
        <v>10004.86</v>
      </c>
    </row>
    <row r="78" spans="1:11" ht="14.5" x14ac:dyDescent="0.25">
      <c r="A78" s="10"/>
      <c r="B78" s="10"/>
      <c r="C78" s="10" t="s">
        <v>257</v>
      </c>
      <c r="D78" s="12"/>
      <c r="E78" s="11"/>
      <c r="F78" s="14">
        <v>10.1</v>
      </c>
      <c r="G78" s="15" t="s">
        <v>461</v>
      </c>
      <c r="H78" s="11">
        <v>1</v>
      </c>
      <c r="I78" s="14">
        <v>2.58</v>
      </c>
      <c r="J78" s="11">
        <v>17.059999999999999</v>
      </c>
      <c r="K78" s="14">
        <v>44.01</v>
      </c>
    </row>
    <row r="79" spans="1:11" ht="14.5" x14ac:dyDescent="0.25">
      <c r="A79" s="10"/>
      <c r="B79" s="10"/>
      <c r="C79" s="10" t="s">
        <v>258</v>
      </c>
      <c r="D79" s="12"/>
      <c r="E79" s="11"/>
      <c r="F79" s="14">
        <v>1.43</v>
      </c>
      <c r="G79" s="15" t="s">
        <v>461</v>
      </c>
      <c r="H79" s="11">
        <v>1</v>
      </c>
      <c r="I79" s="16">
        <v>0.36</v>
      </c>
      <c r="J79" s="11">
        <v>57.05</v>
      </c>
      <c r="K79" s="16">
        <v>20.54</v>
      </c>
    </row>
    <row r="80" spans="1:11" ht="14.5" x14ac:dyDescent="0.25">
      <c r="A80" s="10"/>
      <c r="B80" s="10"/>
      <c r="C80" s="10" t="s">
        <v>259</v>
      </c>
      <c r="D80" s="12"/>
      <c r="E80" s="11"/>
      <c r="F80" s="14">
        <v>85.16</v>
      </c>
      <c r="G80" s="15" t="s">
        <v>1</v>
      </c>
      <c r="H80" s="11">
        <v>1</v>
      </c>
      <c r="I80" s="14">
        <v>14.48</v>
      </c>
      <c r="J80" s="11">
        <v>12.65</v>
      </c>
      <c r="K80" s="14">
        <v>183.17</v>
      </c>
    </row>
    <row r="81" spans="1:11" ht="70" x14ac:dyDescent="0.25">
      <c r="A81" s="10" t="s">
        <v>637</v>
      </c>
      <c r="B81" s="10" t="s">
        <v>2064</v>
      </c>
      <c r="C81" s="10" t="s">
        <v>638</v>
      </c>
      <c r="D81" s="12" t="s">
        <v>38</v>
      </c>
      <c r="E81" s="11">
        <v>23</v>
      </c>
      <c r="F81" s="14">
        <v>21.9</v>
      </c>
      <c r="G81" s="15" t="s">
        <v>1</v>
      </c>
      <c r="H81" s="11">
        <v>1</v>
      </c>
      <c r="I81" s="14">
        <v>503.7</v>
      </c>
      <c r="J81" s="11">
        <v>0.93</v>
      </c>
      <c r="K81" s="14">
        <v>468.44</v>
      </c>
    </row>
    <row r="82" spans="1:11" ht="70" x14ac:dyDescent="0.25">
      <c r="A82" s="10" t="s">
        <v>639</v>
      </c>
      <c r="B82" s="10" t="s">
        <v>690</v>
      </c>
      <c r="C82" s="10" t="s">
        <v>640</v>
      </c>
      <c r="D82" s="12" t="s">
        <v>52</v>
      </c>
      <c r="E82" s="11">
        <v>17</v>
      </c>
      <c r="F82" s="14">
        <v>123.2</v>
      </c>
      <c r="G82" s="15" t="s">
        <v>1</v>
      </c>
      <c r="H82" s="11">
        <v>1</v>
      </c>
      <c r="I82" s="14">
        <v>2094.4</v>
      </c>
      <c r="J82" s="11">
        <v>1.76</v>
      </c>
      <c r="K82" s="14">
        <v>3686.14</v>
      </c>
    </row>
    <row r="83" spans="1:11" ht="42" x14ac:dyDescent="0.25">
      <c r="A83" s="10" t="s">
        <v>641</v>
      </c>
      <c r="B83" s="10" t="s">
        <v>2065</v>
      </c>
      <c r="C83" s="10" t="s">
        <v>642</v>
      </c>
      <c r="D83" s="12" t="s">
        <v>38</v>
      </c>
      <c r="E83" s="11">
        <v>1</v>
      </c>
      <c r="F83" s="14">
        <v>16.739999999999998</v>
      </c>
      <c r="G83" s="15" t="s">
        <v>1</v>
      </c>
      <c r="H83" s="11">
        <v>1</v>
      </c>
      <c r="I83" s="14">
        <v>16.739999999999998</v>
      </c>
      <c r="J83" s="11">
        <v>3.51</v>
      </c>
      <c r="K83" s="14">
        <v>58.76</v>
      </c>
    </row>
    <row r="84" spans="1:11" ht="14.5" x14ac:dyDescent="0.25">
      <c r="A84" s="10"/>
      <c r="B84" s="10"/>
      <c r="C84" s="10" t="s">
        <v>260</v>
      </c>
      <c r="D84" s="12" t="s">
        <v>261</v>
      </c>
      <c r="E84" s="11">
        <v>109</v>
      </c>
      <c r="F84" s="14"/>
      <c r="G84" s="13"/>
      <c r="H84" s="11"/>
      <c r="I84" s="14">
        <v>191.55</v>
      </c>
      <c r="J84" s="11">
        <v>109</v>
      </c>
      <c r="K84" s="14">
        <v>10927.69</v>
      </c>
    </row>
    <row r="85" spans="1:11" ht="14.5" x14ac:dyDescent="0.25">
      <c r="A85" s="10"/>
      <c r="B85" s="10"/>
      <c r="C85" s="10" t="s">
        <v>262</v>
      </c>
      <c r="D85" s="12" t="s">
        <v>261</v>
      </c>
      <c r="E85" s="11">
        <v>61</v>
      </c>
      <c r="F85" s="14"/>
      <c r="G85" s="13"/>
      <c r="H85" s="11"/>
      <c r="I85" s="14">
        <v>107.2</v>
      </c>
      <c r="J85" s="11">
        <v>61</v>
      </c>
      <c r="K85" s="14">
        <v>6115.49</v>
      </c>
    </row>
    <row r="86" spans="1:11" ht="14.5" x14ac:dyDescent="0.25">
      <c r="A86" s="17"/>
      <c r="B86" s="17"/>
      <c r="C86" s="17" t="s">
        <v>263</v>
      </c>
      <c r="D86" s="18" t="s">
        <v>264</v>
      </c>
      <c r="E86" s="19">
        <v>58.4</v>
      </c>
      <c r="F86" s="20"/>
      <c r="G86" s="21" t="s">
        <v>460</v>
      </c>
      <c r="H86" s="19">
        <v>1</v>
      </c>
      <c r="I86" s="20">
        <v>13.7</v>
      </c>
      <c r="J86" s="19"/>
      <c r="K86" s="20"/>
    </row>
    <row r="87" spans="1:11" ht="14" x14ac:dyDescent="0.25">
      <c r="C87" s="22" t="s">
        <v>265</v>
      </c>
      <c r="H87" s="143">
        <v>3106.02</v>
      </c>
      <c r="I87" s="143"/>
      <c r="J87" s="143">
        <v>31488.560000000001</v>
      </c>
      <c r="K87" s="143"/>
    </row>
    <row r="88" spans="1:11" ht="14" x14ac:dyDescent="0.25">
      <c r="C88" s="22" t="s">
        <v>267</v>
      </c>
      <c r="H88" s="141">
        <v>3106.02</v>
      </c>
      <c r="I88" s="141"/>
      <c r="J88" s="141">
        <v>31488.560000000001</v>
      </c>
      <c r="K88" s="141"/>
    </row>
    <row r="90" spans="1:11" ht="14.5" x14ac:dyDescent="0.25">
      <c r="A90" s="10">
        <v>9</v>
      </c>
      <c r="B90" s="10" t="s">
        <v>548</v>
      </c>
      <c r="C90" s="10" t="s">
        <v>465</v>
      </c>
      <c r="D90" s="12" t="s">
        <v>28</v>
      </c>
      <c r="E90" s="11">
        <v>1.38E-2</v>
      </c>
      <c r="F90" s="14">
        <v>26867.38</v>
      </c>
      <c r="G90" s="15" t="s">
        <v>1</v>
      </c>
      <c r="H90" s="11">
        <v>1</v>
      </c>
      <c r="I90" s="14">
        <v>370.77</v>
      </c>
      <c r="J90" s="11">
        <v>4.3899999999999997</v>
      </c>
      <c r="K90" s="14">
        <v>1627.68</v>
      </c>
    </row>
    <row r="91" spans="1:11" x14ac:dyDescent="0.25">
      <c r="A91" s="24"/>
      <c r="B91" s="24"/>
      <c r="C91" s="25" t="s">
        <v>691</v>
      </c>
      <c r="D91" s="24"/>
      <c r="E91" s="24"/>
      <c r="F91" s="24"/>
      <c r="G91" s="24"/>
      <c r="H91" s="24"/>
      <c r="I91" s="24"/>
      <c r="J91" s="24"/>
      <c r="K91" s="24"/>
    </row>
    <row r="92" spans="1:11" ht="14" x14ac:dyDescent="0.25">
      <c r="C92" s="22" t="s">
        <v>267</v>
      </c>
      <c r="H92" s="143">
        <v>370.77</v>
      </c>
      <c r="I92" s="143"/>
      <c r="J92" s="143">
        <v>1627.68</v>
      </c>
      <c r="K92" s="143"/>
    </row>
    <row r="94" spans="1:11" ht="144" x14ac:dyDescent="0.25">
      <c r="A94" s="10">
        <v>10</v>
      </c>
      <c r="B94" s="10" t="s">
        <v>643</v>
      </c>
      <c r="C94" s="10" t="s">
        <v>644</v>
      </c>
      <c r="D94" s="12" t="s">
        <v>34</v>
      </c>
      <c r="E94" s="11">
        <v>0.15</v>
      </c>
      <c r="F94" s="14"/>
      <c r="G94" s="13"/>
      <c r="H94" s="11"/>
      <c r="I94" s="14"/>
      <c r="J94" s="11"/>
      <c r="K94" s="14"/>
    </row>
    <row r="95" spans="1:11" x14ac:dyDescent="0.25">
      <c r="C95" s="23" t="s">
        <v>692</v>
      </c>
    </row>
    <row r="96" spans="1:11" ht="14.5" x14ac:dyDescent="0.25">
      <c r="A96" s="10"/>
      <c r="B96" s="10"/>
      <c r="C96" s="10" t="s">
        <v>256</v>
      </c>
      <c r="D96" s="12"/>
      <c r="E96" s="11"/>
      <c r="F96" s="14">
        <v>184.13</v>
      </c>
      <c r="G96" s="15" t="s">
        <v>460</v>
      </c>
      <c r="H96" s="11">
        <v>1</v>
      </c>
      <c r="I96" s="14">
        <v>38.11</v>
      </c>
      <c r="J96" s="11">
        <v>57.05</v>
      </c>
      <c r="K96" s="14">
        <v>2174.1799999999998</v>
      </c>
    </row>
    <row r="97" spans="1:11" ht="14.5" x14ac:dyDescent="0.25">
      <c r="A97" s="10"/>
      <c r="B97" s="10"/>
      <c r="C97" s="10" t="s">
        <v>260</v>
      </c>
      <c r="D97" s="12" t="s">
        <v>261</v>
      </c>
      <c r="E97" s="11">
        <v>109</v>
      </c>
      <c r="F97" s="14"/>
      <c r="G97" s="13"/>
      <c r="H97" s="11"/>
      <c r="I97" s="14">
        <v>41.54</v>
      </c>
      <c r="J97" s="11">
        <v>109</v>
      </c>
      <c r="K97" s="14">
        <v>2369.86</v>
      </c>
    </row>
    <row r="98" spans="1:11" ht="14.5" x14ac:dyDescent="0.25">
      <c r="A98" s="10"/>
      <c r="B98" s="10"/>
      <c r="C98" s="10" t="s">
        <v>262</v>
      </c>
      <c r="D98" s="12" t="s">
        <v>261</v>
      </c>
      <c r="E98" s="11">
        <v>61</v>
      </c>
      <c r="F98" s="14"/>
      <c r="G98" s="13"/>
      <c r="H98" s="11"/>
      <c r="I98" s="14">
        <v>23.25</v>
      </c>
      <c r="J98" s="11">
        <v>61</v>
      </c>
      <c r="K98" s="14">
        <v>1326.25</v>
      </c>
    </row>
    <row r="99" spans="1:11" ht="14.5" x14ac:dyDescent="0.25">
      <c r="A99" s="17"/>
      <c r="B99" s="17"/>
      <c r="C99" s="17" t="s">
        <v>263</v>
      </c>
      <c r="D99" s="18" t="s">
        <v>264</v>
      </c>
      <c r="E99" s="19">
        <v>14.63</v>
      </c>
      <c r="F99" s="20"/>
      <c r="G99" s="21" t="s">
        <v>460</v>
      </c>
      <c r="H99" s="19">
        <v>1</v>
      </c>
      <c r="I99" s="20">
        <v>3.03</v>
      </c>
      <c r="J99" s="19"/>
      <c r="K99" s="20"/>
    </row>
    <row r="100" spans="1:11" ht="14" x14ac:dyDescent="0.25">
      <c r="C100" s="22" t="s">
        <v>265</v>
      </c>
      <c r="H100" s="143">
        <v>102.9</v>
      </c>
      <c r="I100" s="143"/>
      <c r="J100" s="143">
        <v>5870.29</v>
      </c>
      <c r="K100" s="143"/>
    </row>
    <row r="101" spans="1:11" ht="14" x14ac:dyDescent="0.25">
      <c r="C101" s="22" t="s">
        <v>267</v>
      </c>
      <c r="H101" s="141">
        <v>102.9</v>
      </c>
      <c r="I101" s="141"/>
      <c r="J101" s="141">
        <v>5870.29</v>
      </c>
      <c r="K101" s="141"/>
    </row>
    <row r="103" spans="1:11" ht="56" x14ac:dyDescent="0.25">
      <c r="A103" s="17">
        <v>11</v>
      </c>
      <c r="B103" s="17" t="s">
        <v>693</v>
      </c>
      <c r="C103" s="17" t="s">
        <v>645</v>
      </c>
      <c r="D103" s="18" t="s">
        <v>38</v>
      </c>
      <c r="E103" s="19">
        <v>3</v>
      </c>
      <c r="F103" s="20">
        <v>181.59</v>
      </c>
      <c r="G103" s="21" t="s">
        <v>1</v>
      </c>
      <c r="H103" s="19">
        <v>1</v>
      </c>
      <c r="I103" s="20">
        <v>544.77</v>
      </c>
      <c r="J103" s="19">
        <v>0.76</v>
      </c>
      <c r="K103" s="20">
        <v>414.03</v>
      </c>
    </row>
    <row r="104" spans="1:11" ht="14" x14ac:dyDescent="0.25">
      <c r="C104" s="22" t="s">
        <v>267</v>
      </c>
      <c r="H104" s="143">
        <v>544.77</v>
      </c>
      <c r="I104" s="143"/>
      <c r="J104" s="143">
        <v>414.03</v>
      </c>
      <c r="K104" s="143"/>
    </row>
    <row r="106" spans="1:11" ht="56" x14ac:dyDescent="0.25">
      <c r="A106" s="17">
        <v>12</v>
      </c>
      <c r="B106" s="17" t="s">
        <v>694</v>
      </c>
      <c r="C106" s="17" t="s">
        <v>646</v>
      </c>
      <c r="D106" s="18" t="s">
        <v>38</v>
      </c>
      <c r="E106" s="19">
        <v>12</v>
      </c>
      <c r="F106" s="20">
        <v>265.24</v>
      </c>
      <c r="G106" s="21" t="s">
        <v>1</v>
      </c>
      <c r="H106" s="19">
        <v>1</v>
      </c>
      <c r="I106" s="20">
        <v>3182.88</v>
      </c>
      <c r="J106" s="19">
        <v>0.83</v>
      </c>
      <c r="K106" s="20">
        <v>2641.79</v>
      </c>
    </row>
    <row r="107" spans="1:11" ht="14" x14ac:dyDescent="0.25">
      <c r="C107" s="22" t="s">
        <v>267</v>
      </c>
      <c r="H107" s="143">
        <v>3182.88</v>
      </c>
      <c r="I107" s="143"/>
      <c r="J107" s="143">
        <v>2641.79</v>
      </c>
      <c r="K107" s="143"/>
    </row>
    <row r="109" spans="1:11" ht="144" x14ac:dyDescent="0.25">
      <c r="A109" s="10">
        <v>13</v>
      </c>
      <c r="B109" s="10" t="s">
        <v>647</v>
      </c>
      <c r="C109" s="10" t="s">
        <v>648</v>
      </c>
      <c r="D109" s="12" t="s">
        <v>695</v>
      </c>
      <c r="E109" s="11">
        <v>0.01</v>
      </c>
      <c r="F109" s="14"/>
      <c r="G109" s="13"/>
      <c r="H109" s="11"/>
      <c r="I109" s="14"/>
      <c r="J109" s="11"/>
      <c r="K109" s="14"/>
    </row>
    <row r="110" spans="1:11" x14ac:dyDescent="0.25">
      <c r="C110" s="23" t="s">
        <v>696</v>
      </c>
    </row>
    <row r="111" spans="1:11" ht="14.5" x14ac:dyDescent="0.25">
      <c r="A111" s="10"/>
      <c r="B111" s="10"/>
      <c r="C111" s="10" t="s">
        <v>256</v>
      </c>
      <c r="D111" s="12"/>
      <c r="E111" s="11"/>
      <c r="F111" s="14">
        <v>226.39</v>
      </c>
      <c r="G111" s="15" t="s">
        <v>460</v>
      </c>
      <c r="H111" s="11">
        <v>1</v>
      </c>
      <c r="I111" s="14">
        <v>3.12</v>
      </c>
      <c r="J111" s="11">
        <v>57.05</v>
      </c>
      <c r="K111" s="14">
        <v>178</v>
      </c>
    </row>
    <row r="112" spans="1:11" ht="14.5" x14ac:dyDescent="0.25">
      <c r="A112" s="10"/>
      <c r="B112" s="10"/>
      <c r="C112" s="10" t="s">
        <v>259</v>
      </c>
      <c r="D112" s="12"/>
      <c r="E112" s="11"/>
      <c r="F112" s="14">
        <v>199.37</v>
      </c>
      <c r="G112" s="15" t="s">
        <v>1</v>
      </c>
      <c r="H112" s="11">
        <v>1</v>
      </c>
      <c r="I112" s="14">
        <v>1.99</v>
      </c>
      <c r="J112" s="11">
        <v>7.75</v>
      </c>
      <c r="K112" s="14">
        <v>15.42</v>
      </c>
    </row>
    <row r="113" spans="1:11" ht="14.5" x14ac:dyDescent="0.25">
      <c r="A113" s="10"/>
      <c r="B113" s="10"/>
      <c r="C113" s="10" t="s">
        <v>260</v>
      </c>
      <c r="D113" s="12" t="s">
        <v>261</v>
      </c>
      <c r="E113" s="11">
        <v>105</v>
      </c>
      <c r="F113" s="14"/>
      <c r="G113" s="13"/>
      <c r="H113" s="11"/>
      <c r="I113" s="14">
        <v>3.28</v>
      </c>
      <c r="J113" s="11">
        <v>105</v>
      </c>
      <c r="K113" s="14">
        <v>186.9</v>
      </c>
    </row>
    <row r="114" spans="1:11" ht="14.5" x14ac:dyDescent="0.25">
      <c r="A114" s="10"/>
      <c r="B114" s="10"/>
      <c r="C114" s="10" t="s">
        <v>262</v>
      </c>
      <c r="D114" s="12" t="s">
        <v>261</v>
      </c>
      <c r="E114" s="11">
        <v>63</v>
      </c>
      <c r="F114" s="14"/>
      <c r="G114" s="13"/>
      <c r="H114" s="11"/>
      <c r="I114" s="14">
        <v>1.97</v>
      </c>
      <c r="J114" s="11">
        <v>63</v>
      </c>
      <c r="K114" s="14">
        <v>112.14</v>
      </c>
    </row>
    <row r="115" spans="1:11" ht="14.5" x14ac:dyDescent="0.25">
      <c r="A115" s="17"/>
      <c r="B115" s="17"/>
      <c r="C115" s="17" t="s">
        <v>263</v>
      </c>
      <c r="D115" s="18" t="s">
        <v>264</v>
      </c>
      <c r="E115" s="19">
        <v>20.6</v>
      </c>
      <c r="F115" s="20"/>
      <c r="G115" s="21" t="s">
        <v>460</v>
      </c>
      <c r="H115" s="19">
        <v>1</v>
      </c>
      <c r="I115" s="20">
        <v>0.28000000000000003</v>
      </c>
      <c r="J115" s="19"/>
      <c r="K115" s="20"/>
    </row>
    <row r="116" spans="1:11" ht="14" x14ac:dyDescent="0.25">
      <c r="C116" s="22" t="s">
        <v>265</v>
      </c>
      <c r="H116" s="143">
        <v>10.36</v>
      </c>
      <c r="I116" s="143"/>
      <c r="J116" s="143">
        <v>492.46</v>
      </c>
      <c r="K116" s="143"/>
    </row>
    <row r="117" spans="1:11" ht="14" x14ac:dyDescent="0.25">
      <c r="C117" s="22" t="s">
        <v>267</v>
      </c>
      <c r="H117" s="141">
        <v>10.36</v>
      </c>
      <c r="I117" s="141"/>
      <c r="J117" s="141">
        <v>492.46</v>
      </c>
      <c r="K117" s="141"/>
    </row>
    <row r="119" spans="1:11" ht="144" x14ac:dyDescent="0.25">
      <c r="A119" s="10">
        <v>14</v>
      </c>
      <c r="B119" s="10" t="s">
        <v>491</v>
      </c>
      <c r="C119" s="10" t="s">
        <v>492</v>
      </c>
      <c r="D119" s="12" t="s">
        <v>567</v>
      </c>
      <c r="E119" s="11">
        <v>1.5</v>
      </c>
      <c r="F119" s="14"/>
      <c r="G119" s="13"/>
      <c r="H119" s="11"/>
      <c r="I119" s="14"/>
      <c r="J119" s="11"/>
      <c r="K119" s="14"/>
    </row>
    <row r="120" spans="1:11" x14ac:dyDescent="0.25">
      <c r="C120" s="23" t="s">
        <v>697</v>
      </c>
    </row>
    <row r="121" spans="1:11" ht="14.5" x14ac:dyDescent="0.25">
      <c r="A121" s="10"/>
      <c r="B121" s="10"/>
      <c r="C121" s="10" t="s">
        <v>256</v>
      </c>
      <c r="D121" s="12"/>
      <c r="E121" s="11"/>
      <c r="F121" s="14">
        <v>28.6</v>
      </c>
      <c r="G121" s="15" t="s">
        <v>460</v>
      </c>
      <c r="H121" s="11">
        <v>1</v>
      </c>
      <c r="I121" s="14">
        <v>59.2</v>
      </c>
      <c r="J121" s="11">
        <v>57.05</v>
      </c>
      <c r="K121" s="14">
        <v>3377.36</v>
      </c>
    </row>
    <row r="122" spans="1:11" ht="14.5" x14ac:dyDescent="0.25">
      <c r="A122" s="10"/>
      <c r="B122" s="10"/>
      <c r="C122" s="10" t="s">
        <v>257</v>
      </c>
      <c r="D122" s="12"/>
      <c r="E122" s="11"/>
      <c r="F122" s="14">
        <v>0.75</v>
      </c>
      <c r="G122" s="15" t="s">
        <v>461</v>
      </c>
      <c r="H122" s="11">
        <v>1</v>
      </c>
      <c r="I122" s="14">
        <v>1.69</v>
      </c>
      <c r="J122" s="11">
        <v>17.399999999999999</v>
      </c>
      <c r="K122" s="14">
        <v>29.41</v>
      </c>
    </row>
    <row r="123" spans="1:11" ht="14.5" x14ac:dyDescent="0.25">
      <c r="A123" s="10"/>
      <c r="B123" s="10"/>
      <c r="C123" s="10" t="s">
        <v>258</v>
      </c>
      <c r="D123" s="12"/>
      <c r="E123" s="11"/>
      <c r="F123" s="14">
        <v>0.11</v>
      </c>
      <c r="G123" s="15" t="s">
        <v>461</v>
      </c>
      <c r="H123" s="11">
        <v>1</v>
      </c>
      <c r="I123" s="16">
        <v>0.25</v>
      </c>
      <c r="J123" s="11">
        <v>57.05</v>
      </c>
      <c r="K123" s="16">
        <v>14.26</v>
      </c>
    </row>
    <row r="124" spans="1:11" ht="14.5" x14ac:dyDescent="0.25">
      <c r="A124" s="10"/>
      <c r="B124" s="10"/>
      <c r="C124" s="10" t="s">
        <v>259</v>
      </c>
      <c r="D124" s="12"/>
      <c r="E124" s="11"/>
      <c r="F124" s="14">
        <v>55.68</v>
      </c>
      <c r="G124" s="15" t="s">
        <v>1</v>
      </c>
      <c r="H124" s="11">
        <v>1</v>
      </c>
      <c r="I124" s="14">
        <v>83.52</v>
      </c>
      <c r="J124" s="11">
        <v>19.07</v>
      </c>
      <c r="K124" s="14">
        <v>1592.73</v>
      </c>
    </row>
    <row r="125" spans="1:11" ht="42" x14ac:dyDescent="0.25">
      <c r="A125" s="10" t="s">
        <v>649</v>
      </c>
      <c r="B125" s="10" t="s">
        <v>569</v>
      </c>
      <c r="C125" s="10" t="s">
        <v>493</v>
      </c>
      <c r="D125" s="12" t="s">
        <v>52</v>
      </c>
      <c r="E125" s="11">
        <v>22.5</v>
      </c>
      <c r="F125" s="14">
        <v>1.5</v>
      </c>
      <c r="G125" s="15" t="s">
        <v>1</v>
      </c>
      <c r="H125" s="11">
        <v>1</v>
      </c>
      <c r="I125" s="14">
        <v>33.75</v>
      </c>
      <c r="J125" s="11">
        <v>3.35</v>
      </c>
      <c r="K125" s="14">
        <v>113.06</v>
      </c>
    </row>
    <row r="126" spans="1:11" ht="84" x14ac:dyDescent="0.25">
      <c r="A126" s="10" t="s">
        <v>650</v>
      </c>
      <c r="B126" s="10" t="s">
        <v>2066</v>
      </c>
      <c r="C126" s="10" t="s">
        <v>651</v>
      </c>
      <c r="D126" s="12" t="s">
        <v>225</v>
      </c>
      <c r="E126" s="11">
        <v>0.36</v>
      </c>
      <c r="F126" s="14">
        <v>231.63</v>
      </c>
      <c r="G126" s="15" t="s">
        <v>1</v>
      </c>
      <c r="H126" s="11">
        <v>1</v>
      </c>
      <c r="I126" s="14">
        <v>83.39</v>
      </c>
      <c r="J126" s="11">
        <v>5.12</v>
      </c>
      <c r="K126" s="14">
        <v>426.96</v>
      </c>
    </row>
    <row r="127" spans="1:11" ht="14.5" x14ac:dyDescent="0.25">
      <c r="A127" s="10"/>
      <c r="B127" s="10"/>
      <c r="C127" s="10" t="s">
        <v>260</v>
      </c>
      <c r="D127" s="12" t="s">
        <v>261</v>
      </c>
      <c r="E127" s="11">
        <v>87</v>
      </c>
      <c r="F127" s="14"/>
      <c r="G127" s="13"/>
      <c r="H127" s="11"/>
      <c r="I127" s="14">
        <v>51.72</v>
      </c>
      <c r="J127" s="11">
        <v>87</v>
      </c>
      <c r="K127" s="14">
        <v>2950.71</v>
      </c>
    </row>
    <row r="128" spans="1:11" ht="14.5" x14ac:dyDescent="0.25">
      <c r="A128" s="10"/>
      <c r="B128" s="10"/>
      <c r="C128" s="10" t="s">
        <v>262</v>
      </c>
      <c r="D128" s="12" t="s">
        <v>261</v>
      </c>
      <c r="E128" s="11">
        <v>47</v>
      </c>
      <c r="F128" s="14"/>
      <c r="G128" s="13"/>
      <c r="H128" s="11"/>
      <c r="I128" s="14">
        <v>27.94</v>
      </c>
      <c r="J128" s="11">
        <v>47</v>
      </c>
      <c r="K128" s="14">
        <v>1594.06</v>
      </c>
    </row>
    <row r="129" spans="1:11" ht="14.5" x14ac:dyDescent="0.25">
      <c r="A129" s="17"/>
      <c r="B129" s="17"/>
      <c r="C129" s="17" t="s">
        <v>263</v>
      </c>
      <c r="D129" s="18" t="s">
        <v>264</v>
      </c>
      <c r="E129" s="19">
        <v>2.2000000000000002</v>
      </c>
      <c r="F129" s="20"/>
      <c r="G129" s="21" t="s">
        <v>460</v>
      </c>
      <c r="H129" s="19">
        <v>1</v>
      </c>
      <c r="I129" s="20">
        <v>4.55</v>
      </c>
      <c r="J129" s="19"/>
      <c r="K129" s="20"/>
    </row>
    <row r="130" spans="1:11" ht="14" x14ac:dyDescent="0.25">
      <c r="C130" s="22" t="s">
        <v>265</v>
      </c>
      <c r="H130" s="143">
        <v>341.21</v>
      </c>
      <c r="I130" s="143"/>
      <c r="J130" s="143">
        <v>10084.290000000001</v>
      </c>
      <c r="K130" s="143"/>
    </row>
    <row r="131" spans="1:11" ht="14" x14ac:dyDescent="0.25">
      <c r="C131" s="22" t="s">
        <v>267</v>
      </c>
      <c r="H131" s="141">
        <v>341.21</v>
      </c>
      <c r="I131" s="141"/>
      <c r="J131" s="141">
        <v>10084.290000000001</v>
      </c>
      <c r="K131" s="141"/>
    </row>
    <row r="133" spans="1:11" ht="140" x14ac:dyDescent="0.25">
      <c r="A133" s="10">
        <v>15</v>
      </c>
      <c r="B133" s="10" t="s">
        <v>698</v>
      </c>
      <c r="C133" s="10" t="s">
        <v>652</v>
      </c>
      <c r="D133" s="12" t="s">
        <v>52</v>
      </c>
      <c r="E133" s="11">
        <v>15.75</v>
      </c>
      <c r="F133" s="14">
        <v>56.85</v>
      </c>
      <c r="G133" s="15" t="s">
        <v>1</v>
      </c>
      <c r="H133" s="11">
        <v>1</v>
      </c>
      <c r="I133" s="14">
        <v>895.39</v>
      </c>
      <c r="J133" s="11">
        <v>6.02</v>
      </c>
      <c r="K133" s="14">
        <v>5390.25</v>
      </c>
    </row>
    <row r="134" spans="1:11" x14ac:dyDescent="0.25">
      <c r="A134" s="24"/>
      <c r="B134" s="24"/>
      <c r="C134" s="25" t="s">
        <v>699</v>
      </c>
      <c r="D134" s="24"/>
      <c r="E134" s="24"/>
      <c r="F134" s="24"/>
      <c r="G134" s="24"/>
      <c r="H134" s="24"/>
      <c r="I134" s="24"/>
      <c r="J134" s="24"/>
      <c r="K134" s="24"/>
    </row>
    <row r="135" spans="1:11" ht="14" x14ac:dyDescent="0.25">
      <c r="C135" s="22" t="s">
        <v>267</v>
      </c>
      <c r="H135" s="143">
        <v>895.39</v>
      </c>
      <c r="I135" s="143"/>
      <c r="J135" s="143">
        <v>5390.25</v>
      </c>
      <c r="K135" s="143"/>
    </row>
    <row r="138" spans="1:11" ht="14" x14ac:dyDescent="0.3">
      <c r="A138" s="140" t="s">
        <v>700</v>
      </c>
      <c r="B138" s="140"/>
      <c r="C138" s="140"/>
      <c r="D138" s="140"/>
      <c r="E138" s="140"/>
      <c r="F138" s="140"/>
      <c r="G138" s="140"/>
      <c r="H138" s="141">
        <v>37607.61</v>
      </c>
      <c r="I138" s="142"/>
      <c r="J138" s="141">
        <v>537990.77</v>
      </c>
      <c r="K138" s="142"/>
    </row>
    <row r="140" spans="1:11" ht="16.5" x14ac:dyDescent="0.25">
      <c r="A140" s="144" t="s">
        <v>701</v>
      </c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</row>
    <row r="141" spans="1:11" ht="144" x14ac:dyDescent="0.25">
      <c r="A141" s="10">
        <v>16</v>
      </c>
      <c r="B141" s="10" t="s">
        <v>653</v>
      </c>
      <c r="C141" s="10" t="s">
        <v>654</v>
      </c>
      <c r="D141" s="12" t="s">
        <v>586</v>
      </c>
      <c r="E141" s="11">
        <v>5</v>
      </c>
      <c r="F141" s="14"/>
      <c r="G141" s="13"/>
      <c r="H141" s="11"/>
      <c r="I141" s="14"/>
      <c r="J141" s="11"/>
      <c r="K141" s="14"/>
    </row>
    <row r="142" spans="1:11" ht="14.5" x14ac:dyDescent="0.25">
      <c r="A142" s="10"/>
      <c r="B142" s="10"/>
      <c r="C142" s="10" t="s">
        <v>256</v>
      </c>
      <c r="D142" s="12"/>
      <c r="E142" s="11"/>
      <c r="F142" s="14">
        <v>8.8800000000000008</v>
      </c>
      <c r="G142" s="15" t="s">
        <v>460</v>
      </c>
      <c r="H142" s="11">
        <v>1</v>
      </c>
      <c r="I142" s="14">
        <v>61.27</v>
      </c>
      <c r="J142" s="11">
        <v>57.05</v>
      </c>
      <c r="K142" s="14">
        <v>3495.45</v>
      </c>
    </row>
    <row r="143" spans="1:11" ht="14.5" x14ac:dyDescent="0.25">
      <c r="A143" s="10"/>
      <c r="B143" s="10"/>
      <c r="C143" s="10" t="s">
        <v>257</v>
      </c>
      <c r="D143" s="12"/>
      <c r="E143" s="11"/>
      <c r="F143" s="14">
        <v>2.4900000000000002</v>
      </c>
      <c r="G143" s="15" t="s">
        <v>461</v>
      </c>
      <c r="H143" s="11">
        <v>1</v>
      </c>
      <c r="I143" s="14">
        <v>18.68</v>
      </c>
      <c r="J143" s="11">
        <v>17.47</v>
      </c>
      <c r="K143" s="14">
        <v>326.33999999999997</v>
      </c>
    </row>
    <row r="144" spans="1:11" ht="14.5" x14ac:dyDescent="0.25">
      <c r="A144" s="10"/>
      <c r="B144" s="10"/>
      <c r="C144" s="10" t="s">
        <v>258</v>
      </c>
      <c r="D144" s="12"/>
      <c r="E144" s="11"/>
      <c r="F144" s="14">
        <v>0.38</v>
      </c>
      <c r="G144" s="15" t="s">
        <v>461</v>
      </c>
      <c r="H144" s="11">
        <v>1</v>
      </c>
      <c r="I144" s="16">
        <v>2.85</v>
      </c>
      <c r="J144" s="11">
        <v>57.05</v>
      </c>
      <c r="K144" s="16">
        <v>162.59</v>
      </c>
    </row>
    <row r="145" spans="1:11" ht="14.5" x14ac:dyDescent="0.25">
      <c r="A145" s="10"/>
      <c r="B145" s="10"/>
      <c r="C145" s="10" t="s">
        <v>259</v>
      </c>
      <c r="D145" s="12"/>
      <c r="E145" s="11"/>
      <c r="F145" s="14">
        <v>16.47</v>
      </c>
      <c r="G145" s="15" t="s">
        <v>1</v>
      </c>
      <c r="H145" s="11">
        <v>1</v>
      </c>
      <c r="I145" s="14">
        <v>82.35</v>
      </c>
      <c r="J145" s="11">
        <v>5.24</v>
      </c>
      <c r="K145" s="14">
        <v>431.51</v>
      </c>
    </row>
    <row r="146" spans="1:11" ht="56" x14ac:dyDescent="0.25">
      <c r="A146" s="10" t="s">
        <v>655</v>
      </c>
      <c r="B146" s="10" t="s">
        <v>702</v>
      </c>
      <c r="C146" s="10" t="s">
        <v>656</v>
      </c>
      <c r="D146" s="12" t="s">
        <v>230</v>
      </c>
      <c r="E146" s="11">
        <v>5</v>
      </c>
      <c r="F146" s="14">
        <v>2350.2399999999998</v>
      </c>
      <c r="G146" s="15" t="s">
        <v>1</v>
      </c>
      <c r="H146" s="11">
        <v>1</v>
      </c>
      <c r="I146" s="14">
        <v>11751.2</v>
      </c>
      <c r="J146" s="11">
        <v>7.73</v>
      </c>
      <c r="K146" s="14">
        <v>90836.78</v>
      </c>
    </row>
    <row r="147" spans="1:11" ht="14.5" x14ac:dyDescent="0.25">
      <c r="A147" s="10"/>
      <c r="B147" s="10"/>
      <c r="C147" s="10" t="s">
        <v>260</v>
      </c>
      <c r="D147" s="12" t="s">
        <v>261</v>
      </c>
      <c r="E147" s="11">
        <v>109</v>
      </c>
      <c r="F147" s="14"/>
      <c r="G147" s="13"/>
      <c r="H147" s="11"/>
      <c r="I147" s="14">
        <v>69.89</v>
      </c>
      <c r="J147" s="11">
        <v>109</v>
      </c>
      <c r="K147" s="14">
        <v>3987.26</v>
      </c>
    </row>
    <row r="148" spans="1:11" ht="14.5" x14ac:dyDescent="0.25">
      <c r="A148" s="10"/>
      <c r="B148" s="10"/>
      <c r="C148" s="10" t="s">
        <v>262</v>
      </c>
      <c r="D148" s="12" t="s">
        <v>261</v>
      </c>
      <c r="E148" s="11">
        <v>61</v>
      </c>
      <c r="F148" s="14"/>
      <c r="G148" s="13"/>
      <c r="H148" s="11"/>
      <c r="I148" s="14">
        <v>39.11</v>
      </c>
      <c r="J148" s="11">
        <v>61</v>
      </c>
      <c r="K148" s="14">
        <v>2231.4</v>
      </c>
    </row>
    <row r="149" spans="1:11" ht="14.5" x14ac:dyDescent="0.25">
      <c r="A149" s="17"/>
      <c r="B149" s="17"/>
      <c r="C149" s="17" t="s">
        <v>263</v>
      </c>
      <c r="D149" s="18" t="s">
        <v>264</v>
      </c>
      <c r="E149" s="19">
        <v>0.73</v>
      </c>
      <c r="F149" s="20"/>
      <c r="G149" s="21" t="s">
        <v>460</v>
      </c>
      <c r="H149" s="19">
        <v>1</v>
      </c>
      <c r="I149" s="20">
        <v>5.04</v>
      </c>
      <c r="J149" s="19"/>
      <c r="K149" s="20"/>
    </row>
    <row r="150" spans="1:11" ht="14" x14ac:dyDescent="0.25">
      <c r="C150" s="22" t="s">
        <v>265</v>
      </c>
      <c r="H150" s="143">
        <v>12022.5</v>
      </c>
      <c r="I150" s="143"/>
      <c r="J150" s="143">
        <v>101308.74</v>
      </c>
      <c r="K150" s="143"/>
    </row>
    <row r="151" spans="1:11" ht="14" x14ac:dyDescent="0.25">
      <c r="C151" s="22" t="s">
        <v>267</v>
      </c>
      <c r="H151" s="141">
        <v>12022.5</v>
      </c>
      <c r="I151" s="141"/>
      <c r="J151" s="141">
        <v>101308.74</v>
      </c>
      <c r="K151" s="141"/>
    </row>
    <row r="153" spans="1:11" ht="42" x14ac:dyDescent="0.25">
      <c r="A153" s="17">
        <v>17</v>
      </c>
      <c r="B153" s="17" t="s">
        <v>703</v>
      </c>
      <c r="C153" s="17" t="s">
        <v>657</v>
      </c>
      <c r="D153" s="18" t="s">
        <v>38</v>
      </c>
      <c r="E153" s="19">
        <v>5</v>
      </c>
      <c r="F153" s="20">
        <v>124.28</v>
      </c>
      <c r="G153" s="21" t="s">
        <v>1</v>
      </c>
      <c r="H153" s="19">
        <v>1</v>
      </c>
      <c r="I153" s="20">
        <v>621.4</v>
      </c>
      <c r="J153" s="19">
        <v>1.03</v>
      </c>
      <c r="K153" s="20">
        <v>640.04</v>
      </c>
    </row>
    <row r="154" spans="1:11" ht="14" x14ac:dyDescent="0.25">
      <c r="C154" s="22" t="s">
        <v>267</v>
      </c>
      <c r="H154" s="143">
        <v>621.4</v>
      </c>
      <c r="I154" s="143"/>
      <c r="J154" s="143">
        <v>640.04</v>
      </c>
      <c r="K154" s="143"/>
    </row>
    <row r="156" spans="1:11" ht="28" x14ac:dyDescent="0.25">
      <c r="A156" s="17">
        <v>18</v>
      </c>
      <c r="B156" s="17" t="s">
        <v>704</v>
      </c>
      <c r="C156" s="17" t="s">
        <v>658</v>
      </c>
      <c r="D156" s="18" t="s">
        <v>38</v>
      </c>
      <c r="E156" s="19">
        <v>5</v>
      </c>
      <c r="F156" s="20">
        <v>3.35</v>
      </c>
      <c r="G156" s="21" t="s">
        <v>1</v>
      </c>
      <c r="H156" s="19">
        <v>1</v>
      </c>
      <c r="I156" s="20">
        <v>16.75</v>
      </c>
      <c r="J156" s="19">
        <v>4.82</v>
      </c>
      <c r="K156" s="20">
        <v>80.739999999999995</v>
      </c>
    </row>
    <row r="157" spans="1:11" ht="14" x14ac:dyDescent="0.25">
      <c r="C157" s="22" t="s">
        <v>267</v>
      </c>
      <c r="H157" s="143">
        <v>16.75</v>
      </c>
      <c r="I157" s="143"/>
      <c r="J157" s="143">
        <v>80.739999999999995</v>
      </c>
      <c r="K157" s="143"/>
    </row>
    <row r="159" spans="1:11" ht="144" x14ac:dyDescent="0.25">
      <c r="A159" s="10">
        <v>19</v>
      </c>
      <c r="B159" s="10" t="s">
        <v>659</v>
      </c>
      <c r="C159" s="10" t="s">
        <v>660</v>
      </c>
      <c r="D159" s="12" t="s">
        <v>586</v>
      </c>
      <c r="E159" s="11">
        <v>5</v>
      </c>
      <c r="F159" s="14"/>
      <c r="G159" s="13"/>
      <c r="H159" s="11"/>
      <c r="I159" s="14"/>
      <c r="J159" s="11"/>
      <c r="K159" s="14"/>
    </row>
    <row r="160" spans="1:11" ht="14.5" x14ac:dyDescent="0.25">
      <c r="A160" s="10"/>
      <c r="B160" s="10"/>
      <c r="C160" s="10" t="s">
        <v>256</v>
      </c>
      <c r="D160" s="12"/>
      <c r="E160" s="11"/>
      <c r="F160" s="14">
        <v>14.53</v>
      </c>
      <c r="G160" s="15" t="s">
        <v>460</v>
      </c>
      <c r="H160" s="11">
        <v>1</v>
      </c>
      <c r="I160" s="14">
        <v>100.26</v>
      </c>
      <c r="J160" s="11">
        <v>57.05</v>
      </c>
      <c r="K160" s="14">
        <v>5719.83</v>
      </c>
    </row>
    <row r="161" spans="1:11" ht="14.5" x14ac:dyDescent="0.25">
      <c r="A161" s="10"/>
      <c r="B161" s="10"/>
      <c r="C161" s="10" t="s">
        <v>257</v>
      </c>
      <c r="D161" s="12"/>
      <c r="E161" s="11"/>
      <c r="F161" s="14">
        <v>0.89</v>
      </c>
      <c r="G161" s="15" t="s">
        <v>461</v>
      </c>
      <c r="H161" s="11">
        <v>1</v>
      </c>
      <c r="I161" s="14">
        <v>6.68</v>
      </c>
      <c r="J161" s="11">
        <v>16.829999999999998</v>
      </c>
      <c r="K161" s="14">
        <v>112.42</v>
      </c>
    </row>
    <row r="162" spans="1:11" ht="14.5" x14ac:dyDescent="0.25">
      <c r="A162" s="10"/>
      <c r="B162" s="10"/>
      <c r="C162" s="10" t="s">
        <v>258</v>
      </c>
      <c r="D162" s="12"/>
      <c r="E162" s="11"/>
      <c r="F162" s="14">
        <v>0.13</v>
      </c>
      <c r="G162" s="15" t="s">
        <v>461</v>
      </c>
      <c r="H162" s="11">
        <v>1</v>
      </c>
      <c r="I162" s="16">
        <v>0.98</v>
      </c>
      <c r="J162" s="11">
        <v>57.05</v>
      </c>
      <c r="K162" s="16">
        <v>55.91</v>
      </c>
    </row>
    <row r="163" spans="1:11" ht="14.5" x14ac:dyDescent="0.25">
      <c r="A163" s="10"/>
      <c r="B163" s="10"/>
      <c r="C163" s="10" t="s">
        <v>259</v>
      </c>
      <c r="D163" s="12"/>
      <c r="E163" s="11"/>
      <c r="F163" s="14">
        <v>27.49</v>
      </c>
      <c r="G163" s="15" t="s">
        <v>1</v>
      </c>
      <c r="H163" s="11">
        <v>1</v>
      </c>
      <c r="I163" s="14">
        <v>137.44999999999999</v>
      </c>
      <c r="J163" s="11">
        <v>5.24</v>
      </c>
      <c r="K163" s="14">
        <v>720.24</v>
      </c>
    </row>
    <row r="164" spans="1:11" ht="84" x14ac:dyDescent="0.25">
      <c r="A164" s="10" t="s">
        <v>31</v>
      </c>
      <c r="B164" s="10" t="s">
        <v>705</v>
      </c>
      <c r="C164" s="10" t="s">
        <v>661</v>
      </c>
      <c r="D164" s="12" t="s">
        <v>230</v>
      </c>
      <c r="E164" s="11">
        <v>5</v>
      </c>
      <c r="F164" s="14">
        <v>1590.64</v>
      </c>
      <c r="G164" s="15" t="s">
        <v>1</v>
      </c>
      <c r="H164" s="11">
        <v>1</v>
      </c>
      <c r="I164" s="14">
        <v>7953.2</v>
      </c>
      <c r="J164" s="11">
        <v>12.47</v>
      </c>
      <c r="K164" s="14">
        <v>99176.4</v>
      </c>
    </row>
    <row r="165" spans="1:11" ht="14.5" x14ac:dyDescent="0.25">
      <c r="A165" s="10"/>
      <c r="B165" s="10"/>
      <c r="C165" s="10" t="s">
        <v>260</v>
      </c>
      <c r="D165" s="12" t="s">
        <v>261</v>
      </c>
      <c r="E165" s="11">
        <v>109</v>
      </c>
      <c r="F165" s="14"/>
      <c r="G165" s="13"/>
      <c r="H165" s="11"/>
      <c r="I165" s="14">
        <v>110.35</v>
      </c>
      <c r="J165" s="11">
        <v>109</v>
      </c>
      <c r="K165" s="14">
        <v>6295.56</v>
      </c>
    </row>
    <row r="166" spans="1:11" ht="14.5" x14ac:dyDescent="0.25">
      <c r="A166" s="10"/>
      <c r="B166" s="10"/>
      <c r="C166" s="10" t="s">
        <v>262</v>
      </c>
      <c r="D166" s="12" t="s">
        <v>261</v>
      </c>
      <c r="E166" s="11">
        <v>61</v>
      </c>
      <c r="F166" s="14"/>
      <c r="G166" s="13"/>
      <c r="H166" s="11"/>
      <c r="I166" s="14">
        <v>61.76</v>
      </c>
      <c r="J166" s="11">
        <v>61</v>
      </c>
      <c r="K166" s="14">
        <v>3523.2</v>
      </c>
    </row>
    <row r="167" spans="1:11" ht="14.5" x14ac:dyDescent="0.25">
      <c r="A167" s="17"/>
      <c r="B167" s="17"/>
      <c r="C167" s="17" t="s">
        <v>263</v>
      </c>
      <c r="D167" s="18" t="s">
        <v>264</v>
      </c>
      <c r="E167" s="19">
        <v>1.1499999999999999</v>
      </c>
      <c r="F167" s="20"/>
      <c r="G167" s="21" t="s">
        <v>460</v>
      </c>
      <c r="H167" s="19">
        <v>1</v>
      </c>
      <c r="I167" s="20">
        <v>7.94</v>
      </c>
      <c r="J167" s="19"/>
      <c r="K167" s="20"/>
    </row>
    <row r="168" spans="1:11" ht="14" x14ac:dyDescent="0.25">
      <c r="C168" s="22" t="s">
        <v>265</v>
      </c>
      <c r="H168" s="143">
        <v>8369.7000000000007</v>
      </c>
      <c r="I168" s="143"/>
      <c r="J168" s="143">
        <v>115547.65</v>
      </c>
      <c r="K168" s="143"/>
    </row>
    <row r="169" spans="1:11" ht="14" x14ac:dyDescent="0.25">
      <c r="C169" s="22" t="s">
        <v>267</v>
      </c>
      <c r="H169" s="141">
        <v>8369.7000000000007</v>
      </c>
      <c r="I169" s="141"/>
      <c r="J169" s="141">
        <v>115547.65</v>
      </c>
      <c r="K169" s="141"/>
    </row>
    <row r="171" spans="1:11" ht="144" x14ac:dyDescent="0.25">
      <c r="A171" s="10">
        <v>20</v>
      </c>
      <c r="B171" s="10" t="s">
        <v>662</v>
      </c>
      <c r="C171" s="10" t="s">
        <v>663</v>
      </c>
      <c r="D171" s="12" t="s">
        <v>706</v>
      </c>
      <c r="E171" s="11">
        <v>0.1</v>
      </c>
      <c r="F171" s="14"/>
      <c r="G171" s="13"/>
      <c r="H171" s="11"/>
      <c r="I171" s="14"/>
      <c r="J171" s="11"/>
      <c r="K171" s="14"/>
    </row>
    <row r="172" spans="1:11" x14ac:dyDescent="0.25">
      <c r="C172" s="23" t="s">
        <v>707</v>
      </c>
    </row>
    <row r="173" spans="1:11" ht="14.5" x14ac:dyDescent="0.25">
      <c r="A173" s="10"/>
      <c r="B173" s="10"/>
      <c r="C173" s="10" t="s">
        <v>256</v>
      </c>
      <c r="D173" s="12"/>
      <c r="E173" s="11"/>
      <c r="F173" s="14">
        <v>94.75</v>
      </c>
      <c r="G173" s="15" t="s">
        <v>460</v>
      </c>
      <c r="H173" s="11">
        <v>1</v>
      </c>
      <c r="I173" s="14">
        <v>13.08</v>
      </c>
      <c r="J173" s="11">
        <v>57.05</v>
      </c>
      <c r="K173" s="14">
        <v>746.21</v>
      </c>
    </row>
    <row r="174" spans="1:11" ht="14.5" x14ac:dyDescent="0.25">
      <c r="A174" s="10"/>
      <c r="B174" s="10"/>
      <c r="C174" s="10" t="s">
        <v>257</v>
      </c>
      <c r="D174" s="12"/>
      <c r="E174" s="11"/>
      <c r="F174" s="14">
        <v>23.48</v>
      </c>
      <c r="G174" s="15" t="s">
        <v>461</v>
      </c>
      <c r="H174" s="11">
        <v>1</v>
      </c>
      <c r="I174" s="14">
        <v>3.52</v>
      </c>
      <c r="J174" s="11">
        <v>17.41</v>
      </c>
      <c r="K174" s="14">
        <v>61.28</v>
      </c>
    </row>
    <row r="175" spans="1:11" ht="14.5" x14ac:dyDescent="0.25">
      <c r="A175" s="10"/>
      <c r="B175" s="10"/>
      <c r="C175" s="10" t="s">
        <v>258</v>
      </c>
      <c r="D175" s="12"/>
      <c r="E175" s="11"/>
      <c r="F175" s="14">
        <v>3.53</v>
      </c>
      <c r="G175" s="15" t="s">
        <v>461</v>
      </c>
      <c r="H175" s="11">
        <v>1</v>
      </c>
      <c r="I175" s="16">
        <v>0.53</v>
      </c>
      <c r="J175" s="11">
        <v>57.05</v>
      </c>
      <c r="K175" s="16">
        <v>30.24</v>
      </c>
    </row>
    <row r="176" spans="1:11" ht="14.5" x14ac:dyDescent="0.25">
      <c r="A176" s="10"/>
      <c r="B176" s="10"/>
      <c r="C176" s="10" t="s">
        <v>259</v>
      </c>
      <c r="D176" s="12"/>
      <c r="E176" s="11"/>
      <c r="F176" s="14">
        <v>1363.42</v>
      </c>
      <c r="G176" s="15" t="s">
        <v>1</v>
      </c>
      <c r="H176" s="11">
        <v>1</v>
      </c>
      <c r="I176" s="14">
        <v>136.34</v>
      </c>
      <c r="J176" s="11">
        <v>1.39</v>
      </c>
      <c r="K176" s="14">
        <v>189.51</v>
      </c>
    </row>
    <row r="177" spans="1:11" ht="56" x14ac:dyDescent="0.25">
      <c r="A177" s="10" t="s">
        <v>664</v>
      </c>
      <c r="B177" s="10" t="s">
        <v>708</v>
      </c>
      <c r="C177" s="10" t="s">
        <v>665</v>
      </c>
      <c r="D177" s="12" t="s">
        <v>230</v>
      </c>
      <c r="E177" s="11">
        <v>1</v>
      </c>
      <c r="F177" s="14">
        <v>2019.5</v>
      </c>
      <c r="G177" s="15" t="s">
        <v>1</v>
      </c>
      <c r="H177" s="11">
        <v>1</v>
      </c>
      <c r="I177" s="14">
        <v>2019.5</v>
      </c>
      <c r="J177" s="11">
        <v>5.12</v>
      </c>
      <c r="K177" s="14">
        <v>10339.84</v>
      </c>
    </row>
    <row r="178" spans="1:11" ht="14.5" x14ac:dyDescent="0.25">
      <c r="A178" s="10"/>
      <c r="B178" s="10"/>
      <c r="C178" s="10" t="s">
        <v>260</v>
      </c>
      <c r="D178" s="12" t="s">
        <v>261</v>
      </c>
      <c r="E178" s="11">
        <v>109</v>
      </c>
      <c r="F178" s="14"/>
      <c r="G178" s="13"/>
      <c r="H178" s="11"/>
      <c r="I178" s="14">
        <v>14.83</v>
      </c>
      <c r="J178" s="11">
        <v>109</v>
      </c>
      <c r="K178" s="14">
        <v>846.33</v>
      </c>
    </row>
    <row r="179" spans="1:11" ht="14.5" x14ac:dyDescent="0.25">
      <c r="A179" s="10"/>
      <c r="B179" s="10"/>
      <c r="C179" s="10" t="s">
        <v>262</v>
      </c>
      <c r="D179" s="12" t="s">
        <v>261</v>
      </c>
      <c r="E179" s="11">
        <v>61</v>
      </c>
      <c r="F179" s="14"/>
      <c r="G179" s="13"/>
      <c r="H179" s="11"/>
      <c r="I179" s="14">
        <v>8.3000000000000007</v>
      </c>
      <c r="J179" s="11">
        <v>61</v>
      </c>
      <c r="K179" s="14">
        <v>473.63</v>
      </c>
    </row>
    <row r="180" spans="1:11" ht="14.5" x14ac:dyDescent="0.25">
      <c r="A180" s="17"/>
      <c r="B180" s="17"/>
      <c r="C180" s="17" t="s">
        <v>263</v>
      </c>
      <c r="D180" s="18" t="s">
        <v>264</v>
      </c>
      <c r="E180" s="19">
        <v>7.77</v>
      </c>
      <c r="F180" s="20"/>
      <c r="G180" s="21" t="s">
        <v>460</v>
      </c>
      <c r="H180" s="19">
        <v>1</v>
      </c>
      <c r="I180" s="20">
        <v>1.07</v>
      </c>
      <c r="J180" s="19"/>
      <c r="K180" s="20"/>
    </row>
    <row r="181" spans="1:11" ht="14" x14ac:dyDescent="0.25">
      <c r="C181" s="22" t="s">
        <v>265</v>
      </c>
      <c r="H181" s="143">
        <v>2195.5700000000002</v>
      </c>
      <c r="I181" s="143"/>
      <c r="J181" s="143">
        <v>12656.8</v>
      </c>
      <c r="K181" s="143"/>
    </row>
    <row r="182" spans="1:11" ht="14" x14ac:dyDescent="0.25">
      <c r="C182" s="22" t="s">
        <v>267</v>
      </c>
      <c r="H182" s="141">
        <v>2195.5700000000002</v>
      </c>
      <c r="I182" s="141"/>
      <c r="J182" s="141">
        <v>12656.8</v>
      </c>
      <c r="K182" s="141"/>
    </row>
    <row r="184" spans="1:11" ht="28" x14ac:dyDescent="0.25">
      <c r="A184" s="17">
        <v>21</v>
      </c>
      <c r="B184" s="17" t="s">
        <v>709</v>
      </c>
      <c r="C184" s="17" t="s">
        <v>666</v>
      </c>
      <c r="D184" s="18" t="s">
        <v>38</v>
      </c>
      <c r="E184" s="19">
        <v>1</v>
      </c>
      <c r="F184" s="20">
        <v>32.979999999999997</v>
      </c>
      <c r="G184" s="21" t="s">
        <v>1</v>
      </c>
      <c r="H184" s="19">
        <v>1</v>
      </c>
      <c r="I184" s="20">
        <v>32.979999999999997</v>
      </c>
      <c r="J184" s="19">
        <v>4.2699999999999996</v>
      </c>
      <c r="K184" s="20">
        <v>140.82</v>
      </c>
    </row>
    <row r="185" spans="1:11" ht="14" x14ac:dyDescent="0.25">
      <c r="C185" s="22" t="s">
        <v>267</v>
      </c>
      <c r="H185" s="143">
        <v>32.979999999999997</v>
      </c>
      <c r="I185" s="143"/>
      <c r="J185" s="143">
        <v>140.82</v>
      </c>
      <c r="K185" s="143"/>
    </row>
    <row r="187" spans="1:11" ht="42" x14ac:dyDescent="0.25">
      <c r="A187" s="17">
        <v>22</v>
      </c>
      <c r="B187" s="17" t="s">
        <v>703</v>
      </c>
      <c r="C187" s="17" t="s">
        <v>657</v>
      </c>
      <c r="D187" s="18" t="s">
        <v>38</v>
      </c>
      <c r="E187" s="19">
        <v>1</v>
      </c>
      <c r="F187" s="20">
        <v>124.28</v>
      </c>
      <c r="G187" s="21" t="s">
        <v>1</v>
      </c>
      <c r="H187" s="19">
        <v>1</v>
      </c>
      <c r="I187" s="20">
        <v>124.28</v>
      </c>
      <c r="J187" s="19">
        <v>1.03</v>
      </c>
      <c r="K187" s="20">
        <v>128.01</v>
      </c>
    </row>
    <row r="188" spans="1:11" ht="14" x14ac:dyDescent="0.25">
      <c r="C188" s="22" t="s">
        <v>267</v>
      </c>
      <c r="H188" s="143">
        <v>124.28</v>
      </c>
      <c r="I188" s="143"/>
      <c r="J188" s="143">
        <v>128.01</v>
      </c>
      <c r="K188" s="143"/>
    </row>
    <row r="190" spans="1:11" ht="28" x14ac:dyDescent="0.25">
      <c r="A190" s="17">
        <v>23</v>
      </c>
      <c r="B190" s="17" t="s">
        <v>704</v>
      </c>
      <c r="C190" s="17" t="s">
        <v>658</v>
      </c>
      <c r="D190" s="18" t="s">
        <v>38</v>
      </c>
      <c r="E190" s="19">
        <v>1</v>
      </c>
      <c r="F190" s="20">
        <v>3.35</v>
      </c>
      <c r="G190" s="21" t="s">
        <v>1</v>
      </c>
      <c r="H190" s="19">
        <v>1</v>
      </c>
      <c r="I190" s="20">
        <v>3.35</v>
      </c>
      <c r="J190" s="19">
        <v>4.82</v>
      </c>
      <c r="K190" s="20">
        <v>16.149999999999999</v>
      </c>
    </row>
    <row r="191" spans="1:11" ht="14" x14ac:dyDescent="0.25">
      <c r="C191" s="22" t="s">
        <v>267</v>
      </c>
      <c r="H191" s="143">
        <v>3.35</v>
      </c>
      <c r="I191" s="143"/>
      <c r="J191" s="143">
        <v>16.149999999999999</v>
      </c>
      <c r="K191" s="143"/>
    </row>
    <row r="193" spans="1:11" ht="144" x14ac:dyDescent="0.25">
      <c r="A193" s="10">
        <v>24</v>
      </c>
      <c r="B193" s="10" t="s">
        <v>667</v>
      </c>
      <c r="C193" s="10" t="s">
        <v>668</v>
      </c>
      <c r="D193" s="12" t="s">
        <v>706</v>
      </c>
      <c r="E193" s="11">
        <v>0.1</v>
      </c>
      <c r="F193" s="14"/>
      <c r="G193" s="13"/>
      <c r="H193" s="11"/>
      <c r="I193" s="14"/>
      <c r="J193" s="11"/>
      <c r="K193" s="14"/>
    </row>
    <row r="194" spans="1:11" x14ac:dyDescent="0.25">
      <c r="C194" s="23" t="s">
        <v>707</v>
      </c>
    </row>
    <row r="195" spans="1:11" ht="14.5" x14ac:dyDescent="0.25">
      <c r="A195" s="10"/>
      <c r="B195" s="10"/>
      <c r="C195" s="10" t="s">
        <v>256</v>
      </c>
      <c r="D195" s="12"/>
      <c r="E195" s="11"/>
      <c r="F195" s="14">
        <v>75.959999999999994</v>
      </c>
      <c r="G195" s="15" t="s">
        <v>460</v>
      </c>
      <c r="H195" s="11">
        <v>1</v>
      </c>
      <c r="I195" s="14">
        <v>10.48</v>
      </c>
      <c r="J195" s="11">
        <v>57.05</v>
      </c>
      <c r="K195" s="14">
        <v>597.88</v>
      </c>
    </row>
    <row r="196" spans="1:11" ht="14.5" x14ac:dyDescent="0.25">
      <c r="A196" s="10"/>
      <c r="B196" s="10"/>
      <c r="C196" s="10" t="s">
        <v>257</v>
      </c>
      <c r="D196" s="12"/>
      <c r="E196" s="11"/>
      <c r="F196" s="14">
        <v>28.43</v>
      </c>
      <c r="G196" s="15" t="s">
        <v>461</v>
      </c>
      <c r="H196" s="11">
        <v>1</v>
      </c>
      <c r="I196" s="14">
        <v>4.26</v>
      </c>
      <c r="J196" s="11">
        <v>17.41</v>
      </c>
      <c r="K196" s="14">
        <v>74.17</v>
      </c>
    </row>
    <row r="197" spans="1:11" ht="14.5" x14ac:dyDescent="0.25">
      <c r="A197" s="10"/>
      <c r="B197" s="10"/>
      <c r="C197" s="10" t="s">
        <v>258</v>
      </c>
      <c r="D197" s="12"/>
      <c r="E197" s="11"/>
      <c r="F197" s="14">
        <v>4.29</v>
      </c>
      <c r="G197" s="15" t="s">
        <v>461</v>
      </c>
      <c r="H197" s="11">
        <v>1</v>
      </c>
      <c r="I197" s="16">
        <v>0.64</v>
      </c>
      <c r="J197" s="11">
        <v>57.05</v>
      </c>
      <c r="K197" s="16">
        <v>36.51</v>
      </c>
    </row>
    <row r="198" spans="1:11" ht="14.5" x14ac:dyDescent="0.25">
      <c r="A198" s="10"/>
      <c r="B198" s="10"/>
      <c r="C198" s="10" t="s">
        <v>259</v>
      </c>
      <c r="D198" s="12"/>
      <c r="E198" s="11"/>
      <c r="F198" s="14">
        <v>85.7</v>
      </c>
      <c r="G198" s="15" t="s">
        <v>1</v>
      </c>
      <c r="H198" s="11">
        <v>1</v>
      </c>
      <c r="I198" s="14">
        <v>8.57</v>
      </c>
      <c r="J198" s="11">
        <v>5.07</v>
      </c>
      <c r="K198" s="14">
        <v>43.45</v>
      </c>
    </row>
    <row r="199" spans="1:11" ht="14.5" x14ac:dyDescent="0.25">
      <c r="A199" s="10" t="s">
        <v>42</v>
      </c>
      <c r="B199" s="10" t="s">
        <v>710</v>
      </c>
      <c r="C199" s="10" t="s">
        <v>669</v>
      </c>
      <c r="D199" s="12" t="s">
        <v>38</v>
      </c>
      <c r="E199" s="11">
        <v>1</v>
      </c>
      <c r="F199" s="14">
        <v>92.11</v>
      </c>
      <c r="G199" s="15" t="s">
        <v>1</v>
      </c>
      <c r="H199" s="11">
        <v>1</v>
      </c>
      <c r="I199" s="14">
        <v>92.11</v>
      </c>
      <c r="J199" s="11">
        <v>10.26</v>
      </c>
      <c r="K199" s="14">
        <v>945.05</v>
      </c>
    </row>
    <row r="200" spans="1:11" ht="14.5" x14ac:dyDescent="0.25">
      <c r="A200" s="10"/>
      <c r="B200" s="10"/>
      <c r="C200" s="10" t="s">
        <v>260</v>
      </c>
      <c r="D200" s="12" t="s">
        <v>261</v>
      </c>
      <c r="E200" s="11">
        <v>109</v>
      </c>
      <c r="F200" s="14"/>
      <c r="G200" s="13"/>
      <c r="H200" s="11"/>
      <c r="I200" s="14">
        <v>12.12</v>
      </c>
      <c r="J200" s="11">
        <v>109</v>
      </c>
      <c r="K200" s="14">
        <v>691.49</v>
      </c>
    </row>
    <row r="201" spans="1:11" ht="14.5" x14ac:dyDescent="0.25">
      <c r="A201" s="10"/>
      <c r="B201" s="10"/>
      <c r="C201" s="10" t="s">
        <v>262</v>
      </c>
      <c r="D201" s="12" t="s">
        <v>261</v>
      </c>
      <c r="E201" s="11">
        <v>61</v>
      </c>
      <c r="F201" s="14"/>
      <c r="G201" s="13"/>
      <c r="H201" s="11"/>
      <c r="I201" s="14">
        <v>6.78</v>
      </c>
      <c r="J201" s="11">
        <v>61</v>
      </c>
      <c r="K201" s="14">
        <v>386.98</v>
      </c>
    </row>
    <row r="202" spans="1:11" ht="14.5" x14ac:dyDescent="0.25">
      <c r="A202" s="17"/>
      <c r="B202" s="17"/>
      <c r="C202" s="17" t="s">
        <v>263</v>
      </c>
      <c r="D202" s="18" t="s">
        <v>264</v>
      </c>
      <c r="E202" s="19">
        <v>6.33</v>
      </c>
      <c r="F202" s="20"/>
      <c r="G202" s="21" t="s">
        <v>460</v>
      </c>
      <c r="H202" s="19">
        <v>1</v>
      </c>
      <c r="I202" s="20">
        <v>0.87</v>
      </c>
      <c r="J202" s="19"/>
      <c r="K202" s="20"/>
    </row>
    <row r="203" spans="1:11" ht="14" x14ac:dyDescent="0.25">
      <c r="C203" s="22" t="s">
        <v>265</v>
      </c>
      <c r="H203" s="143">
        <v>134.32</v>
      </c>
      <c r="I203" s="143"/>
      <c r="J203" s="143">
        <v>2739.02</v>
      </c>
      <c r="K203" s="143"/>
    </row>
    <row r="204" spans="1:11" ht="14" x14ac:dyDescent="0.25">
      <c r="C204" s="22" t="s">
        <v>267</v>
      </c>
      <c r="H204" s="141">
        <v>134.32</v>
      </c>
      <c r="I204" s="141"/>
      <c r="J204" s="141">
        <v>2739.02</v>
      </c>
      <c r="K204" s="141"/>
    </row>
    <row r="206" spans="1:11" ht="68" x14ac:dyDescent="0.25">
      <c r="A206" s="17">
        <v>25</v>
      </c>
      <c r="B206" s="17" t="s">
        <v>409</v>
      </c>
      <c r="C206" s="17" t="s">
        <v>670</v>
      </c>
      <c r="D206" s="18" t="s">
        <v>11</v>
      </c>
      <c r="E206" s="19">
        <v>1</v>
      </c>
      <c r="F206" s="20">
        <v>1109.56</v>
      </c>
      <c r="G206" s="21" t="s">
        <v>1</v>
      </c>
      <c r="H206" s="19">
        <v>1</v>
      </c>
      <c r="I206" s="20">
        <v>1109.56</v>
      </c>
      <c r="J206" s="19">
        <v>10.18</v>
      </c>
      <c r="K206" s="20">
        <v>11295.32</v>
      </c>
    </row>
    <row r="207" spans="1:11" ht="14" x14ac:dyDescent="0.25">
      <c r="C207" s="22" t="s">
        <v>267</v>
      </c>
      <c r="H207" s="143">
        <v>1109.56</v>
      </c>
      <c r="I207" s="143"/>
      <c r="J207" s="143">
        <v>11295.32</v>
      </c>
      <c r="K207" s="143"/>
    </row>
    <row r="209" spans="1:11" ht="28" x14ac:dyDescent="0.25">
      <c r="A209" s="17">
        <v>26</v>
      </c>
      <c r="B209" s="17" t="s">
        <v>711</v>
      </c>
      <c r="C209" s="17" t="s">
        <v>671</v>
      </c>
      <c r="D209" s="18" t="s">
        <v>38</v>
      </c>
      <c r="E209" s="19">
        <v>1</v>
      </c>
      <c r="F209" s="20">
        <v>6.96</v>
      </c>
      <c r="G209" s="21" t="s">
        <v>1</v>
      </c>
      <c r="H209" s="19">
        <v>1</v>
      </c>
      <c r="I209" s="20">
        <v>6.96</v>
      </c>
      <c r="J209" s="19">
        <v>9.7899999999999991</v>
      </c>
      <c r="K209" s="20">
        <v>68.14</v>
      </c>
    </row>
    <row r="210" spans="1:11" ht="14" x14ac:dyDescent="0.25">
      <c r="C210" s="22" t="s">
        <v>267</v>
      </c>
      <c r="H210" s="143">
        <v>6.96</v>
      </c>
      <c r="I210" s="143"/>
      <c r="J210" s="143">
        <v>68.14</v>
      </c>
      <c r="K210" s="143"/>
    </row>
    <row r="212" spans="1:11" ht="29" x14ac:dyDescent="0.25">
      <c r="A212" s="17">
        <v>27</v>
      </c>
      <c r="B212" s="17" t="s">
        <v>712</v>
      </c>
      <c r="C212" s="17" t="s">
        <v>672</v>
      </c>
      <c r="D212" s="18" t="s">
        <v>230</v>
      </c>
      <c r="E212" s="19">
        <v>2</v>
      </c>
      <c r="F212" s="20">
        <v>23.29</v>
      </c>
      <c r="G212" s="21" t="s">
        <v>1</v>
      </c>
      <c r="H212" s="19">
        <v>1</v>
      </c>
      <c r="I212" s="20">
        <v>46.58</v>
      </c>
      <c r="J212" s="19">
        <v>9.92</v>
      </c>
      <c r="K212" s="20">
        <v>462.07</v>
      </c>
    </row>
    <row r="213" spans="1:11" ht="14" x14ac:dyDescent="0.25">
      <c r="C213" s="22" t="s">
        <v>267</v>
      </c>
      <c r="H213" s="143">
        <v>46.58</v>
      </c>
      <c r="I213" s="143"/>
      <c r="J213" s="143">
        <v>462.07</v>
      </c>
      <c r="K213" s="143"/>
    </row>
    <row r="215" spans="1:11" ht="144" x14ac:dyDescent="0.25">
      <c r="A215" s="10">
        <v>28</v>
      </c>
      <c r="B215" s="10" t="s">
        <v>667</v>
      </c>
      <c r="C215" s="10" t="s">
        <v>668</v>
      </c>
      <c r="D215" s="12" t="s">
        <v>706</v>
      </c>
      <c r="E215" s="11">
        <v>0.5</v>
      </c>
      <c r="F215" s="14"/>
      <c r="G215" s="13"/>
      <c r="H215" s="11"/>
      <c r="I215" s="14"/>
      <c r="J215" s="11"/>
      <c r="K215" s="14"/>
    </row>
    <row r="216" spans="1:11" x14ac:dyDescent="0.25">
      <c r="C216" s="23" t="s">
        <v>713</v>
      </c>
    </row>
    <row r="217" spans="1:11" ht="14.5" x14ac:dyDescent="0.25">
      <c r="A217" s="10"/>
      <c r="B217" s="10"/>
      <c r="C217" s="10" t="s">
        <v>256</v>
      </c>
      <c r="D217" s="12"/>
      <c r="E217" s="11"/>
      <c r="F217" s="14">
        <v>75.959999999999994</v>
      </c>
      <c r="G217" s="15" t="s">
        <v>460</v>
      </c>
      <c r="H217" s="11">
        <v>1</v>
      </c>
      <c r="I217" s="14">
        <v>52.41</v>
      </c>
      <c r="J217" s="11">
        <v>57.05</v>
      </c>
      <c r="K217" s="14">
        <v>2989.99</v>
      </c>
    </row>
    <row r="218" spans="1:11" ht="14.5" x14ac:dyDescent="0.25">
      <c r="A218" s="10"/>
      <c r="B218" s="10"/>
      <c r="C218" s="10" t="s">
        <v>257</v>
      </c>
      <c r="D218" s="12"/>
      <c r="E218" s="11"/>
      <c r="F218" s="14">
        <v>28.43</v>
      </c>
      <c r="G218" s="15" t="s">
        <v>461</v>
      </c>
      <c r="H218" s="11">
        <v>1</v>
      </c>
      <c r="I218" s="14">
        <v>21.32</v>
      </c>
      <c r="J218" s="11">
        <v>17.41</v>
      </c>
      <c r="K218" s="14">
        <v>371.18</v>
      </c>
    </row>
    <row r="219" spans="1:11" ht="14.5" x14ac:dyDescent="0.25">
      <c r="A219" s="10"/>
      <c r="B219" s="10"/>
      <c r="C219" s="10" t="s">
        <v>258</v>
      </c>
      <c r="D219" s="12"/>
      <c r="E219" s="11"/>
      <c r="F219" s="14">
        <v>4.29</v>
      </c>
      <c r="G219" s="15" t="s">
        <v>461</v>
      </c>
      <c r="H219" s="11">
        <v>1</v>
      </c>
      <c r="I219" s="16">
        <v>3.22</v>
      </c>
      <c r="J219" s="11">
        <v>57.05</v>
      </c>
      <c r="K219" s="16">
        <v>183.7</v>
      </c>
    </row>
    <row r="220" spans="1:11" ht="14.5" x14ac:dyDescent="0.25">
      <c r="A220" s="10"/>
      <c r="B220" s="10"/>
      <c r="C220" s="10" t="s">
        <v>259</v>
      </c>
      <c r="D220" s="12"/>
      <c r="E220" s="11"/>
      <c r="F220" s="14">
        <v>85.7</v>
      </c>
      <c r="G220" s="15" t="s">
        <v>1</v>
      </c>
      <c r="H220" s="11">
        <v>1</v>
      </c>
      <c r="I220" s="14">
        <v>42.85</v>
      </c>
      <c r="J220" s="11">
        <v>5.07</v>
      </c>
      <c r="K220" s="14">
        <v>217.25</v>
      </c>
    </row>
    <row r="221" spans="1:11" ht="14.5" x14ac:dyDescent="0.25">
      <c r="A221" s="10" t="s">
        <v>673</v>
      </c>
      <c r="B221" s="10" t="s">
        <v>710</v>
      </c>
      <c r="C221" s="10" t="s">
        <v>669</v>
      </c>
      <c r="D221" s="12" t="s">
        <v>38</v>
      </c>
      <c r="E221" s="11">
        <v>5</v>
      </c>
      <c r="F221" s="14">
        <v>92.11</v>
      </c>
      <c r="G221" s="15" t="s">
        <v>1</v>
      </c>
      <c r="H221" s="11">
        <v>1</v>
      </c>
      <c r="I221" s="14">
        <v>460.55</v>
      </c>
      <c r="J221" s="11">
        <v>10.26</v>
      </c>
      <c r="K221" s="14">
        <v>4725.24</v>
      </c>
    </row>
    <row r="222" spans="1:11" ht="14.5" x14ac:dyDescent="0.25">
      <c r="A222" s="10"/>
      <c r="B222" s="10"/>
      <c r="C222" s="10" t="s">
        <v>260</v>
      </c>
      <c r="D222" s="12" t="s">
        <v>261</v>
      </c>
      <c r="E222" s="11">
        <v>109</v>
      </c>
      <c r="F222" s="14"/>
      <c r="G222" s="13"/>
      <c r="H222" s="11"/>
      <c r="I222" s="14">
        <v>60.64</v>
      </c>
      <c r="J222" s="11">
        <v>109</v>
      </c>
      <c r="K222" s="14">
        <v>3459.32</v>
      </c>
    </row>
    <row r="223" spans="1:11" ht="14.5" x14ac:dyDescent="0.25">
      <c r="A223" s="10"/>
      <c r="B223" s="10"/>
      <c r="C223" s="10" t="s">
        <v>262</v>
      </c>
      <c r="D223" s="12" t="s">
        <v>261</v>
      </c>
      <c r="E223" s="11">
        <v>61</v>
      </c>
      <c r="F223" s="14"/>
      <c r="G223" s="13"/>
      <c r="H223" s="11"/>
      <c r="I223" s="14">
        <v>33.93</v>
      </c>
      <c r="J223" s="11">
        <v>61</v>
      </c>
      <c r="K223" s="14">
        <v>1935.95</v>
      </c>
    </row>
    <row r="224" spans="1:11" ht="14.5" x14ac:dyDescent="0.25">
      <c r="A224" s="17"/>
      <c r="B224" s="17"/>
      <c r="C224" s="17" t="s">
        <v>263</v>
      </c>
      <c r="D224" s="18" t="s">
        <v>264</v>
      </c>
      <c r="E224" s="19">
        <v>6.33</v>
      </c>
      <c r="F224" s="20"/>
      <c r="G224" s="21" t="s">
        <v>460</v>
      </c>
      <c r="H224" s="19">
        <v>1</v>
      </c>
      <c r="I224" s="20">
        <v>4.37</v>
      </c>
      <c r="J224" s="19"/>
      <c r="K224" s="20"/>
    </row>
    <row r="225" spans="1:11" ht="14" x14ac:dyDescent="0.25">
      <c r="C225" s="22" t="s">
        <v>265</v>
      </c>
      <c r="H225" s="143">
        <v>671.7</v>
      </c>
      <c r="I225" s="143"/>
      <c r="J225" s="143">
        <v>13698.93</v>
      </c>
      <c r="K225" s="143"/>
    </row>
    <row r="226" spans="1:11" ht="14" x14ac:dyDescent="0.25">
      <c r="C226" s="22" t="s">
        <v>267</v>
      </c>
      <c r="H226" s="141">
        <v>671.7</v>
      </c>
      <c r="I226" s="141"/>
      <c r="J226" s="141">
        <v>13698.93</v>
      </c>
      <c r="K226" s="141"/>
    </row>
    <row r="228" spans="1:11" ht="28" x14ac:dyDescent="0.25">
      <c r="A228" s="17">
        <v>29</v>
      </c>
      <c r="B228" s="17" t="s">
        <v>711</v>
      </c>
      <c r="C228" s="17" t="s">
        <v>671</v>
      </c>
      <c r="D228" s="18" t="s">
        <v>38</v>
      </c>
      <c r="E228" s="19">
        <v>5</v>
      </c>
      <c r="F228" s="20">
        <v>6.96</v>
      </c>
      <c r="G228" s="21" t="s">
        <v>1</v>
      </c>
      <c r="H228" s="19">
        <v>1</v>
      </c>
      <c r="I228" s="20">
        <v>34.799999999999997</v>
      </c>
      <c r="J228" s="19">
        <v>9.7899999999999991</v>
      </c>
      <c r="K228" s="20">
        <v>340.69</v>
      </c>
    </row>
    <row r="229" spans="1:11" ht="14" x14ac:dyDescent="0.25">
      <c r="C229" s="22" t="s">
        <v>267</v>
      </c>
      <c r="H229" s="143">
        <v>34.799999999999997</v>
      </c>
      <c r="I229" s="143"/>
      <c r="J229" s="143">
        <v>340.69</v>
      </c>
      <c r="K229" s="143"/>
    </row>
    <row r="231" spans="1:11" ht="29" x14ac:dyDescent="0.25">
      <c r="A231" s="10">
        <v>30</v>
      </c>
      <c r="B231" s="10" t="s">
        <v>712</v>
      </c>
      <c r="C231" s="10" t="s">
        <v>672</v>
      </c>
      <c r="D231" s="12" t="s">
        <v>230</v>
      </c>
      <c r="E231" s="11">
        <v>10</v>
      </c>
      <c r="F231" s="14">
        <v>23.29</v>
      </c>
      <c r="G231" s="15" t="s">
        <v>1</v>
      </c>
      <c r="H231" s="11">
        <v>1</v>
      </c>
      <c r="I231" s="14">
        <v>232.9</v>
      </c>
      <c r="J231" s="11">
        <v>9.92</v>
      </c>
      <c r="K231" s="14">
        <v>2310.37</v>
      </c>
    </row>
    <row r="232" spans="1:11" x14ac:dyDescent="0.25">
      <c r="A232" s="24"/>
      <c r="B232" s="24"/>
      <c r="C232" s="25" t="s">
        <v>714</v>
      </c>
      <c r="D232" s="24"/>
      <c r="E232" s="24"/>
      <c r="F232" s="24"/>
      <c r="G232" s="24"/>
      <c r="H232" s="24"/>
      <c r="I232" s="24"/>
      <c r="J232" s="24"/>
      <c r="K232" s="24"/>
    </row>
    <row r="233" spans="1:11" ht="14" x14ac:dyDescent="0.25">
      <c r="C233" s="22" t="s">
        <v>267</v>
      </c>
      <c r="H233" s="143">
        <v>232.9</v>
      </c>
      <c r="I233" s="143"/>
      <c r="J233" s="143">
        <v>2310.37</v>
      </c>
      <c r="K233" s="143"/>
    </row>
    <row r="235" spans="1:11" ht="41" x14ac:dyDescent="0.25">
      <c r="A235" s="17">
        <v>31</v>
      </c>
      <c r="B235" s="17" t="s">
        <v>409</v>
      </c>
      <c r="C235" s="17" t="s">
        <v>674</v>
      </c>
      <c r="D235" s="18" t="s">
        <v>11</v>
      </c>
      <c r="E235" s="19">
        <v>5</v>
      </c>
      <c r="F235" s="20">
        <v>432.82</v>
      </c>
      <c r="G235" s="21" t="s">
        <v>1</v>
      </c>
      <c r="H235" s="19">
        <v>1</v>
      </c>
      <c r="I235" s="20">
        <v>2164.1</v>
      </c>
      <c r="J235" s="19">
        <v>10.18</v>
      </c>
      <c r="K235" s="20">
        <v>22030.54</v>
      </c>
    </row>
    <row r="236" spans="1:11" ht="14" x14ac:dyDescent="0.25">
      <c r="C236" s="22" t="s">
        <v>267</v>
      </c>
      <c r="H236" s="143">
        <v>2164.1</v>
      </c>
      <c r="I236" s="143"/>
      <c r="J236" s="143">
        <v>22030.54</v>
      </c>
      <c r="K236" s="143"/>
    </row>
    <row r="238" spans="1:11" ht="144" x14ac:dyDescent="0.25">
      <c r="A238" s="10">
        <v>32</v>
      </c>
      <c r="B238" s="10" t="s">
        <v>675</v>
      </c>
      <c r="C238" s="10" t="s">
        <v>676</v>
      </c>
      <c r="D238" s="12" t="s">
        <v>715</v>
      </c>
      <c r="E238" s="11">
        <v>5</v>
      </c>
      <c r="F238" s="14"/>
      <c r="G238" s="13"/>
      <c r="H238" s="11"/>
      <c r="I238" s="14"/>
      <c r="J238" s="11"/>
      <c r="K238" s="14"/>
    </row>
    <row r="239" spans="1:11" ht="14.5" x14ac:dyDescent="0.25">
      <c r="A239" s="10"/>
      <c r="B239" s="10"/>
      <c r="C239" s="10" t="s">
        <v>256</v>
      </c>
      <c r="D239" s="12"/>
      <c r="E239" s="11"/>
      <c r="F239" s="14">
        <v>7.08</v>
      </c>
      <c r="G239" s="15" t="s">
        <v>460</v>
      </c>
      <c r="H239" s="11">
        <v>1</v>
      </c>
      <c r="I239" s="14">
        <v>48.85</v>
      </c>
      <c r="J239" s="11">
        <v>57.05</v>
      </c>
      <c r="K239" s="14">
        <v>2786.89</v>
      </c>
    </row>
    <row r="240" spans="1:11" ht="14.5" x14ac:dyDescent="0.25">
      <c r="A240" s="10"/>
      <c r="B240" s="10"/>
      <c r="C240" s="10" t="s">
        <v>257</v>
      </c>
      <c r="D240" s="12"/>
      <c r="E240" s="11"/>
      <c r="F240" s="14">
        <v>0.5</v>
      </c>
      <c r="G240" s="15" t="s">
        <v>461</v>
      </c>
      <c r="H240" s="11">
        <v>1</v>
      </c>
      <c r="I240" s="14">
        <v>3.75</v>
      </c>
      <c r="J240" s="11">
        <v>17.399999999999999</v>
      </c>
      <c r="K240" s="14">
        <v>65.25</v>
      </c>
    </row>
    <row r="241" spans="1:11" ht="14.5" x14ac:dyDescent="0.25">
      <c r="A241" s="10"/>
      <c r="B241" s="10"/>
      <c r="C241" s="10" t="s">
        <v>258</v>
      </c>
      <c r="D241" s="12"/>
      <c r="E241" s="11"/>
      <c r="F241" s="14">
        <v>0.08</v>
      </c>
      <c r="G241" s="15" t="s">
        <v>461</v>
      </c>
      <c r="H241" s="11">
        <v>1</v>
      </c>
      <c r="I241" s="16">
        <v>0.6</v>
      </c>
      <c r="J241" s="11">
        <v>57.05</v>
      </c>
      <c r="K241" s="16">
        <v>34.229999999999997</v>
      </c>
    </row>
    <row r="242" spans="1:11" ht="14.5" x14ac:dyDescent="0.25">
      <c r="A242" s="10"/>
      <c r="B242" s="10"/>
      <c r="C242" s="10" t="s">
        <v>259</v>
      </c>
      <c r="D242" s="12"/>
      <c r="E242" s="11"/>
      <c r="F242" s="14">
        <v>1.92</v>
      </c>
      <c r="G242" s="15" t="s">
        <v>1</v>
      </c>
      <c r="H242" s="11">
        <v>1</v>
      </c>
      <c r="I242" s="14">
        <v>9.6</v>
      </c>
      <c r="J242" s="11">
        <v>12.87</v>
      </c>
      <c r="K242" s="14">
        <v>123.55</v>
      </c>
    </row>
    <row r="243" spans="1:11" ht="14.5" x14ac:dyDescent="0.25">
      <c r="A243" s="10"/>
      <c r="B243" s="10"/>
      <c r="C243" s="10" t="s">
        <v>260</v>
      </c>
      <c r="D243" s="12" t="s">
        <v>261</v>
      </c>
      <c r="E243" s="11">
        <v>109</v>
      </c>
      <c r="F243" s="14"/>
      <c r="G243" s="13"/>
      <c r="H243" s="11"/>
      <c r="I243" s="14">
        <v>53.9</v>
      </c>
      <c r="J243" s="11">
        <v>109</v>
      </c>
      <c r="K243" s="14">
        <v>3075.02</v>
      </c>
    </row>
    <row r="244" spans="1:11" ht="14.5" x14ac:dyDescent="0.25">
      <c r="A244" s="10"/>
      <c r="B244" s="10"/>
      <c r="C244" s="10" t="s">
        <v>262</v>
      </c>
      <c r="D244" s="12" t="s">
        <v>261</v>
      </c>
      <c r="E244" s="11">
        <v>61</v>
      </c>
      <c r="F244" s="14"/>
      <c r="G244" s="13"/>
      <c r="H244" s="11"/>
      <c r="I244" s="14">
        <v>30.16</v>
      </c>
      <c r="J244" s="11">
        <v>61</v>
      </c>
      <c r="K244" s="14">
        <v>1720.88</v>
      </c>
    </row>
    <row r="245" spans="1:11" ht="14.5" x14ac:dyDescent="0.25">
      <c r="A245" s="17"/>
      <c r="B245" s="17"/>
      <c r="C245" s="17" t="s">
        <v>263</v>
      </c>
      <c r="D245" s="18" t="s">
        <v>264</v>
      </c>
      <c r="E245" s="19">
        <v>0.61</v>
      </c>
      <c r="F245" s="20"/>
      <c r="G245" s="21" t="s">
        <v>460</v>
      </c>
      <c r="H245" s="19">
        <v>1</v>
      </c>
      <c r="I245" s="20">
        <v>4.21</v>
      </c>
      <c r="J245" s="19"/>
      <c r="K245" s="20"/>
    </row>
    <row r="246" spans="1:11" ht="14" x14ac:dyDescent="0.25">
      <c r="C246" s="22" t="s">
        <v>265</v>
      </c>
      <c r="H246" s="143">
        <v>146.26</v>
      </c>
      <c r="I246" s="143"/>
      <c r="J246" s="143">
        <v>7771.59</v>
      </c>
      <c r="K246" s="143"/>
    </row>
    <row r="247" spans="1:11" ht="14" x14ac:dyDescent="0.25">
      <c r="C247" s="22" t="s">
        <v>267</v>
      </c>
      <c r="H247" s="141">
        <v>146.26</v>
      </c>
      <c r="I247" s="141"/>
      <c r="J247" s="141">
        <v>7771.59</v>
      </c>
      <c r="K247" s="141"/>
    </row>
    <row r="249" spans="1:11" ht="68" x14ac:dyDescent="0.25">
      <c r="A249" s="17">
        <v>33</v>
      </c>
      <c r="B249" s="17" t="s">
        <v>409</v>
      </c>
      <c r="C249" s="17" t="s">
        <v>677</v>
      </c>
      <c r="D249" s="18" t="s">
        <v>11</v>
      </c>
      <c r="E249" s="19">
        <v>5</v>
      </c>
      <c r="F249" s="20">
        <v>105.11</v>
      </c>
      <c r="G249" s="21" t="s">
        <v>1</v>
      </c>
      <c r="H249" s="19">
        <v>1</v>
      </c>
      <c r="I249" s="20">
        <v>525.54999999999995</v>
      </c>
      <c r="J249" s="19">
        <v>10.18</v>
      </c>
      <c r="K249" s="20">
        <v>5350.1</v>
      </c>
    </row>
    <row r="250" spans="1:11" ht="14" x14ac:dyDescent="0.25">
      <c r="C250" s="22" t="s">
        <v>267</v>
      </c>
      <c r="H250" s="143">
        <v>525.54999999999995</v>
      </c>
      <c r="I250" s="143"/>
      <c r="J250" s="143">
        <v>5350.1</v>
      </c>
      <c r="K250" s="143"/>
    </row>
    <row r="252" spans="1:11" ht="27" x14ac:dyDescent="0.25">
      <c r="A252" s="17">
        <v>34</v>
      </c>
      <c r="B252" s="17" t="s">
        <v>409</v>
      </c>
      <c r="C252" s="17" t="s">
        <v>678</v>
      </c>
      <c r="D252" s="18" t="s">
        <v>11</v>
      </c>
      <c r="E252" s="19">
        <v>5</v>
      </c>
      <c r="F252" s="20">
        <v>133.38</v>
      </c>
      <c r="G252" s="21" t="s">
        <v>1</v>
      </c>
      <c r="H252" s="19">
        <v>1</v>
      </c>
      <c r="I252" s="20">
        <v>666.9</v>
      </c>
      <c r="J252" s="19">
        <v>10.18</v>
      </c>
      <c r="K252" s="20">
        <v>6789.04</v>
      </c>
    </row>
    <row r="253" spans="1:11" ht="14" x14ac:dyDescent="0.25">
      <c r="C253" s="22" t="s">
        <v>267</v>
      </c>
      <c r="H253" s="143">
        <v>666.9</v>
      </c>
      <c r="I253" s="143"/>
      <c r="J253" s="143">
        <v>6789.04</v>
      </c>
      <c r="K253" s="143"/>
    </row>
    <row r="256" spans="1:11" ht="14" x14ac:dyDescent="0.3">
      <c r="A256" s="140" t="s">
        <v>716</v>
      </c>
      <c r="B256" s="140"/>
      <c r="C256" s="140"/>
      <c r="D256" s="140"/>
      <c r="E256" s="140"/>
      <c r="F256" s="140"/>
      <c r="G256" s="140"/>
      <c r="H256" s="141">
        <v>29126.16</v>
      </c>
      <c r="I256" s="142"/>
      <c r="J256" s="141">
        <v>303374.76</v>
      </c>
      <c r="K256" s="142"/>
    </row>
    <row r="258" spans="1:11" ht="14" x14ac:dyDescent="0.3">
      <c r="A258" s="140" t="s">
        <v>435</v>
      </c>
      <c r="B258" s="140"/>
      <c r="C258" s="140"/>
      <c r="D258" s="140"/>
      <c r="E258" s="140"/>
      <c r="F258" s="140"/>
      <c r="G258" s="140"/>
      <c r="H258" s="141">
        <v>66733.77</v>
      </c>
      <c r="I258" s="142"/>
      <c r="J258" s="141">
        <v>841365.53</v>
      </c>
      <c r="K258" s="142"/>
    </row>
  </sheetData>
  <mergeCells count="116">
    <mergeCell ref="E15:H15"/>
    <mergeCell ref="E16:H16"/>
    <mergeCell ref="A19:K19"/>
    <mergeCell ref="E13:H13"/>
    <mergeCell ref="E14:H14"/>
    <mergeCell ref="J2:K2"/>
    <mergeCell ref="A3:K3"/>
    <mergeCell ref="A4:K4"/>
    <mergeCell ref="A6:K6"/>
    <mergeCell ref="A8:K8"/>
    <mergeCell ref="A9:K9"/>
    <mergeCell ref="H37:I37"/>
    <mergeCell ref="J37:K37"/>
    <mergeCell ref="H47:I47"/>
    <mergeCell ref="J47:K47"/>
    <mergeCell ref="A22:K22"/>
    <mergeCell ref="H33:I33"/>
    <mergeCell ref="J33:K33"/>
    <mergeCell ref="H34:I34"/>
    <mergeCell ref="J34:K34"/>
    <mergeCell ref="H63:I63"/>
    <mergeCell ref="J63:K63"/>
    <mergeCell ref="H66:I66"/>
    <mergeCell ref="J66:K66"/>
    <mergeCell ref="H69:I69"/>
    <mergeCell ref="J69:K69"/>
    <mergeCell ref="H48:I48"/>
    <mergeCell ref="J48:K48"/>
    <mergeCell ref="H62:I62"/>
    <mergeCell ref="J62:K62"/>
    <mergeCell ref="H88:I88"/>
    <mergeCell ref="J88:K88"/>
    <mergeCell ref="H92:I92"/>
    <mergeCell ref="J92:K92"/>
    <mergeCell ref="H100:I100"/>
    <mergeCell ref="J100:K100"/>
    <mergeCell ref="H73:I73"/>
    <mergeCell ref="J73:K73"/>
    <mergeCell ref="H87:I87"/>
    <mergeCell ref="J87:K87"/>
    <mergeCell ref="H117:I117"/>
    <mergeCell ref="J117:K117"/>
    <mergeCell ref="H130:I130"/>
    <mergeCell ref="J130:K130"/>
    <mergeCell ref="H107:I107"/>
    <mergeCell ref="J107:K107"/>
    <mergeCell ref="H116:I116"/>
    <mergeCell ref="J116:K116"/>
    <mergeCell ref="H101:I101"/>
    <mergeCell ref="J101:K101"/>
    <mergeCell ref="H104:I104"/>
    <mergeCell ref="J104:K104"/>
    <mergeCell ref="A140:K140"/>
    <mergeCell ref="H150:I150"/>
    <mergeCell ref="J150:K150"/>
    <mergeCell ref="H151:I151"/>
    <mergeCell ref="J151:K151"/>
    <mergeCell ref="H131:I131"/>
    <mergeCell ref="J131:K131"/>
    <mergeCell ref="H135:I135"/>
    <mergeCell ref="J135:K135"/>
    <mergeCell ref="A138:G138"/>
    <mergeCell ref="H138:I138"/>
    <mergeCell ref="J138:K138"/>
    <mergeCell ref="H169:I169"/>
    <mergeCell ref="J169:K169"/>
    <mergeCell ref="H181:I181"/>
    <mergeCell ref="J181:K181"/>
    <mergeCell ref="H154:I154"/>
    <mergeCell ref="J154:K154"/>
    <mergeCell ref="H157:I157"/>
    <mergeCell ref="J157:K157"/>
    <mergeCell ref="H168:I168"/>
    <mergeCell ref="J168:K168"/>
    <mergeCell ref="H188:I188"/>
    <mergeCell ref="J188:K188"/>
    <mergeCell ref="H191:I191"/>
    <mergeCell ref="J191:K191"/>
    <mergeCell ref="H203:I203"/>
    <mergeCell ref="J203:K203"/>
    <mergeCell ref="H182:I182"/>
    <mergeCell ref="J182:K182"/>
    <mergeCell ref="H185:I185"/>
    <mergeCell ref="J185:K185"/>
    <mergeCell ref="H210:I210"/>
    <mergeCell ref="J210:K210"/>
    <mergeCell ref="H213:I213"/>
    <mergeCell ref="J213:K213"/>
    <mergeCell ref="H225:I225"/>
    <mergeCell ref="J225:K225"/>
    <mergeCell ref="H204:I204"/>
    <mergeCell ref="J204:K204"/>
    <mergeCell ref="H207:I207"/>
    <mergeCell ref="J207:K207"/>
    <mergeCell ref="H233:I233"/>
    <mergeCell ref="J233:K233"/>
    <mergeCell ref="H236:I236"/>
    <mergeCell ref="J236:K236"/>
    <mergeCell ref="H246:I246"/>
    <mergeCell ref="J246:K246"/>
    <mergeCell ref="H226:I226"/>
    <mergeCell ref="J226:K226"/>
    <mergeCell ref="H229:I229"/>
    <mergeCell ref="J229:K229"/>
    <mergeCell ref="A258:G258"/>
    <mergeCell ref="H258:I258"/>
    <mergeCell ref="J258:K258"/>
    <mergeCell ref="H253:I253"/>
    <mergeCell ref="J253:K253"/>
    <mergeCell ref="A256:G256"/>
    <mergeCell ref="H256:I256"/>
    <mergeCell ref="J256:K256"/>
    <mergeCell ref="H247:I247"/>
    <mergeCell ref="J247:K247"/>
    <mergeCell ref="H250:I250"/>
    <mergeCell ref="J250:K2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54AE-5E44-48C3-8238-73FB55AD3877}">
  <dimension ref="A1:K349"/>
  <sheetViews>
    <sheetView topLeftCell="A334" zoomScale="69" workbookViewId="0">
      <selection activeCell="A4" sqref="A4:K4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9.7265625" style="27" bestFit="1" customWidth="1"/>
    <col min="6" max="6" width="10.1796875" style="27" bestFit="1" customWidth="1"/>
    <col min="7" max="7" width="8.54296875" style="27" bestFit="1" customWidth="1"/>
    <col min="8" max="8" width="9.26953125" style="27" bestFit="1" customWidth="1"/>
    <col min="9" max="9" width="10.1796875" style="27" bestFit="1" customWidth="1"/>
    <col min="10" max="10" width="9.26953125" style="27" bestFit="1" customWidth="1"/>
    <col min="11" max="11" width="15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791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844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68.45</v>
      </c>
      <c r="J13" s="5">
        <v>619.11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67.91</v>
      </c>
      <c r="J14" s="7">
        <v>611.12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0.08</v>
      </c>
      <c r="J15" s="7">
        <v>4.57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0.46</v>
      </c>
      <c r="J16" s="7">
        <v>3.42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1.59</v>
      </c>
      <c r="J17" s="7">
        <v>90.69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123.28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9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792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183" x14ac:dyDescent="0.25">
      <c r="A25" s="10">
        <v>1</v>
      </c>
      <c r="B25" s="10" t="s">
        <v>718</v>
      </c>
      <c r="C25" s="10" t="s">
        <v>719</v>
      </c>
      <c r="D25" s="12" t="s">
        <v>34</v>
      </c>
      <c r="E25" s="11">
        <v>0.02</v>
      </c>
      <c r="F25" s="14"/>
      <c r="G25" s="13"/>
      <c r="H25" s="11"/>
      <c r="I25" s="14"/>
      <c r="J25" s="11"/>
      <c r="K25" s="14"/>
    </row>
    <row r="26" spans="1:11" x14ac:dyDescent="0.25">
      <c r="C26" s="23" t="s">
        <v>371</v>
      </c>
    </row>
    <row r="27" spans="1:11" ht="28" x14ac:dyDescent="0.25">
      <c r="A27" s="10"/>
      <c r="B27" s="10"/>
      <c r="C27" s="10" t="s">
        <v>256</v>
      </c>
      <c r="D27" s="12"/>
      <c r="E27" s="11"/>
      <c r="F27" s="14">
        <v>716.97</v>
      </c>
      <c r="G27" s="15" t="s">
        <v>720</v>
      </c>
      <c r="H27" s="11">
        <v>1</v>
      </c>
      <c r="I27" s="14">
        <v>20.38</v>
      </c>
      <c r="J27" s="11">
        <v>57.05</v>
      </c>
      <c r="K27" s="14">
        <v>1162.68</v>
      </c>
    </row>
    <row r="28" spans="1:11" ht="28" x14ac:dyDescent="0.25">
      <c r="A28" s="10"/>
      <c r="B28" s="10"/>
      <c r="C28" s="10" t="s">
        <v>257</v>
      </c>
      <c r="D28" s="12"/>
      <c r="E28" s="11"/>
      <c r="F28" s="14">
        <v>28.37</v>
      </c>
      <c r="G28" s="15" t="s">
        <v>721</v>
      </c>
      <c r="H28" s="11">
        <v>1</v>
      </c>
      <c r="I28" s="14">
        <v>0.88</v>
      </c>
      <c r="J28" s="11">
        <v>15.89</v>
      </c>
      <c r="K28" s="14">
        <v>13.98</v>
      </c>
    </row>
    <row r="29" spans="1:11" ht="28" x14ac:dyDescent="0.25">
      <c r="A29" s="10"/>
      <c r="B29" s="10"/>
      <c r="C29" s="10" t="s">
        <v>258</v>
      </c>
      <c r="D29" s="12"/>
      <c r="E29" s="11"/>
      <c r="F29" s="14">
        <v>3.21</v>
      </c>
      <c r="G29" s="15" t="s">
        <v>721</v>
      </c>
      <c r="H29" s="11">
        <v>1</v>
      </c>
      <c r="I29" s="16">
        <v>0.1</v>
      </c>
      <c r="J29" s="11">
        <v>57.05</v>
      </c>
      <c r="K29" s="16">
        <v>5.71</v>
      </c>
    </row>
    <row r="30" spans="1:11" ht="14.5" x14ac:dyDescent="0.25">
      <c r="A30" s="10"/>
      <c r="B30" s="10"/>
      <c r="C30" s="10" t="s">
        <v>259</v>
      </c>
      <c r="D30" s="12"/>
      <c r="E30" s="11"/>
      <c r="F30" s="14">
        <v>2962.2</v>
      </c>
      <c r="G30" s="15" t="s">
        <v>1</v>
      </c>
      <c r="H30" s="11">
        <v>1</v>
      </c>
      <c r="I30" s="14">
        <v>59.24</v>
      </c>
      <c r="J30" s="11">
        <v>7.01</v>
      </c>
      <c r="K30" s="14">
        <v>415.27</v>
      </c>
    </row>
    <row r="31" spans="1:11" ht="14.5" x14ac:dyDescent="0.25">
      <c r="A31" s="10"/>
      <c r="B31" s="10"/>
      <c r="C31" s="10" t="s">
        <v>260</v>
      </c>
      <c r="D31" s="12" t="s">
        <v>261</v>
      </c>
      <c r="E31" s="11">
        <v>109</v>
      </c>
      <c r="F31" s="14"/>
      <c r="G31" s="13"/>
      <c r="H31" s="11"/>
      <c r="I31" s="14">
        <v>22.32</v>
      </c>
      <c r="J31" s="11">
        <v>109</v>
      </c>
      <c r="K31" s="14">
        <v>1273.55</v>
      </c>
    </row>
    <row r="32" spans="1:11" ht="14.5" x14ac:dyDescent="0.25">
      <c r="A32" s="10"/>
      <c r="B32" s="10"/>
      <c r="C32" s="10" t="s">
        <v>262</v>
      </c>
      <c r="D32" s="12" t="s">
        <v>261</v>
      </c>
      <c r="E32" s="11">
        <v>61</v>
      </c>
      <c r="F32" s="14"/>
      <c r="G32" s="13"/>
      <c r="H32" s="11"/>
      <c r="I32" s="14">
        <v>12.49</v>
      </c>
      <c r="J32" s="11">
        <v>61</v>
      </c>
      <c r="K32" s="14">
        <v>712.72</v>
      </c>
    </row>
    <row r="33" spans="1:11" ht="28" x14ac:dyDescent="0.25">
      <c r="A33" s="17"/>
      <c r="B33" s="17"/>
      <c r="C33" s="17" t="s">
        <v>263</v>
      </c>
      <c r="D33" s="18" t="s">
        <v>264</v>
      </c>
      <c r="E33" s="19">
        <v>58.34</v>
      </c>
      <c r="F33" s="20"/>
      <c r="G33" s="21" t="s">
        <v>720</v>
      </c>
      <c r="H33" s="19">
        <v>1</v>
      </c>
      <c r="I33" s="20">
        <v>1.66</v>
      </c>
      <c r="J33" s="19"/>
      <c r="K33" s="20"/>
    </row>
    <row r="34" spans="1:11" ht="14" x14ac:dyDescent="0.25">
      <c r="C34" s="22" t="s">
        <v>265</v>
      </c>
      <c r="H34" s="143">
        <v>115.31</v>
      </c>
      <c r="I34" s="143"/>
      <c r="J34" s="143">
        <v>3578.2</v>
      </c>
      <c r="K34" s="143"/>
    </row>
    <row r="35" spans="1:11" ht="14" x14ac:dyDescent="0.25">
      <c r="C35" s="22" t="s">
        <v>267</v>
      </c>
      <c r="H35" s="141">
        <v>115.31</v>
      </c>
      <c r="I35" s="141"/>
      <c r="J35" s="141">
        <v>3578.2</v>
      </c>
      <c r="K35" s="141"/>
    </row>
    <row r="37" spans="1:11" ht="70" x14ac:dyDescent="0.25">
      <c r="A37" s="17">
        <v>2</v>
      </c>
      <c r="B37" s="17" t="s">
        <v>793</v>
      </c>
      <c r="C37" s="17" t="s">
        <v>722</v>
      </c>
      <c r="D37" s="18" t="s">
        <v>38</v>
      </c>
      <c r="E37" s="19">
        <v>2</v>
      </c>
      <c r="F37" s="20">
        <v>676.08</v>
      </c>
      <c r="G37" s="21" t="s">
        <v>1</v>
      </c>
      <c r="H37" s="19">
        <v>1</v>
      </c>
      <c r="I37" s="20">
        <v>1352.16</v>
      </c>
      <c r="J37" s="19">
        <v>4.79</v>
      </c>
      <c r="K37" s="20">
        <v>6476.85</v>
      </c>
    </row>
    <row r="38" spans="1:11" ht="14" x14ac:dyDescent="0.25">
      <c r="C38" s="22" t="s">
        <v>267</v>
      </c>
      <c r="H38" s="143">
        <v>1352.16</v>
      </c>
      <c r="I38" s="143"/>
      <c r="J38" s="143">
        <v>6476.85</v>
      </c>
      <c r="K38" s="143"/>
    </row>
    <row r="40" spans="1:11" ht="183" x14ac:dyDescent="0.25">
      <c r="A40" s="10">
        <v>3</v>
      </c>
      <c r="B40" s="10" t="s">
        <v>723</v>
      </c>
      <c r="C40" s="10" t="s">
        <v>724</v>
      </c>
      <c r="D40" s="12" t="s">
        <v>34</v>
      </c>
      <c r="E40" s="11">
        <v>0.23</v>
      </c>
      <c r="F40" s="14"/>
      <c r="G40" s="13"/>
      <c r="H40" s="11"/>
      <c r="I40" s="14"/>
      <c r="J40" s="11"/>
      <c r="K40" s="14"/>
    </row>
    <row r="41" spans="1:11" x14ac:dyDescent="0.25">
      <c r="C41" s="23" t="s">
        <v>794</v>
      </c>
    </row>
    <row r="42" spans="1:11" ht="28" x14ac:dyDescent="0.25">
      <c r="A42" s="10"/>
      <c r="B42" s="10"/>
      <c r="C42" s="10" t="s">
        <v>256</v>
      </c>
      <c r="D42" s="12"/>
      <c r="E42" s="11"/>
      <c r="F42" s="14">
        <v>873.14</v>
      </c>
      <c r="G42" s="15" t="s">
        <v>720</v>
      </c>
      <c r="H42" s="11">
        <v>1</v>
      </c>
      <c r="I42" s="14">
        <v>285.45</v>
      </c>
      <c r="J42" s="11">
        <v>57.05</v>
      </c>
      <c r="K42" s="14">
        <v>16284.92</v>
      </c>
    </row>
    <row r="43" spans="1:11" ht="28" x14ac:dyDescent="0.25">
      <c r="A43" s="10"/>
      <c r="B43" s="10"/>
      <c r="C43" s="10" t="s">
        <v>257</v>
      </c>
      <c r="D43" s="12"/>
      <c r="E43" s="11"/>
      <c r="F43" s="14">
        <v>80.36</v>
      </c>
      <c r="G43" s="15" t="s">
        <v>721</v>
      </c>
      <c r="H43" s="11">
        <v>1</v>
      </c>
      <c r="I43" s="14">
        <v>28.56</v>
      </c>
      <c r="J43" s="11">
        <v>15.84</v>
      </c>
      <c r="K43" s="14">
        <v>452.39</v>
      </c>
    </row>
    <row r="44" spans="1:11" ht="28" x14ac:dyDescent="0.25">
      <c r="A44" s="10"/>
      <c r="B44" s="10"/>
      <c r="C44" s="10" t="s">
        <v>258</v>
      </c>
      <c r="D44" s="12"/>
      <c r="E44" s="11"/>
      <c r="F44" s="14">
        <v>8.91</v>
      </c>
      <c r="G44" s="15" t="s">
        <v>721</v>
      </c>
      <c r="H44" s="11">
        <v>1</v>
      </c>
      <c r="I44" s="16">
        <v>3.17</v>
      </c>
      <c r="J44" s="11">
        <v>57.05</v>
      </c>
      <c r="K44" s="16">
        <v>180.85</v>
      </c>
    </row>
    <row r="45" spans="1:11" ht="14.5" x14ac:dyDescent="0.25">
      <c r="A45" s="10"/>
      <c r="B45" s="10"/>
      <c r="C45" s="10" t="s">
        <v>259</v>
      </c>
      <c r="D45" s="12"/>
      <c r="E45" s="11"/>
      <c r="F45" s="14">
        <v>3737.88</v>
      </c>
      <c r="G45" s="15" t="s">
        <v>1</v>
      </c>
      <c r="H45" s="11">
        <v>1</v>
      </c>
      <c r="I45" s="14">
        <v>859.71</v>
      </c>
      <c r="J45" s="11">
        <v>6.64</v>
      </c>
      <c r="K45" s="14">
        <v>5708.47</v>
      </c>
    </row>
    <row r="46" spans="1:11" ht="14.5" x14ac:dyDescent="0.25">
      <c r="A46" s="10"/>
      <c r="B46" s="10"/>
      <c r="C46" s="10" t="s">
        <v>260</v>
      </c>
      <c r="D46" s="12" t="s">
        <v>261</v>
      </c>
      <c r="E46" s="11">
        <v>109</v>
      </c>
      <c r="F46" s="14"/>
      <c r="G46" s="13"/>
      <c r="H46" s="11"/>
      <c r="I46" s="14">
        <v>314.60000000000002</v>
      </c>
      <c r="J46" s="11">
        <v>109</v>
      </c>
      <c r="K46" s="14">
        <v>17947.689999999999</v>
      </c>
    </row>
    <row r="47" spans="1:11" ht="14.5" x14ac:dyDescent="0.25">
      <c r="A47" s="10"/>
      <c r="B47" s="10"/>
      <c r="C47" s="10" t="s">
        <v>262</v>
      </c>
      <c r="D47" s="12" t="s">
        <v>261</v>
      </c>
      <c r="E47" s="11">
        <v>61</v>
      </c>
      <c r="F47" s="14"/>
      <c r="G47" s="13"/>
      <c r="H47" s="11"/>
      <c r="I47" s="14">
        <v>176.06</v>
      </c>
      <c r="J47" s="11">
        <v>61</v>
      </c>
      <c r="K47" s="14">
        <v>10044.120000000001</v>
      </c>
    </row>
    <row r="48" spans="1:11" ht="28" x14ac:dyDescent="0.25">
      <c r="A48" s="17"/>
      <c r="B48" s="17"/>
      <c r="C48" s="17" t="s">
        <v>263</v>
      </c>
      <c r="D48" s="18" t="s">
        <v>264</v>
      </c>
      <c r="E48" s="19">
        <v>71.13</v>
      </c>
      <c r="F48" s="20"/>
      <c r="G48" s="21" t="s">
        <v>720</v>
      </c>
      <c r="H48" s="19">
        <v>1</v>
      </c>
      <c r="I48" s="20">
        <v>23.25</v>
      </c>
      <c r="J48" s="19"/>
      <c r="K48" s="20"/>
    </row>
    <row r="49" spans="1:11" ht="14" x14ac:dyDescent="0.25">
      <c r="C49" s="22" t="s">
        <v>265</v>
      </c>
      <c r="H49" s="143">
        <v>1664.38</v>
      </c>
      <c r="I49" s="143"/>
      <c r="J49" s="143">
        <v>50437.59</v>
      </c>
      <c r="K49" s="143"/>
    </row>
    <row r="50" spans="1:11" ht="14" x14ac:dyDescent="0.25">
      <c r="C50" s="22" t="s">
        <v>267</v>
      </c>
      <c r="H50" s="141">
        <v>1664.38</v>
      </c>
      <c r="I50" s="141"/>
      <c r="J50" s="141">
        <v>50437.59</v>
      </c>
      <c r="K50" s="141"/>
    </row>
    <row r="52" spans="1:11" ht="70" x14ac:dyDescent="0.25">
      <c r="A52" s="17">
        <v>4</v>
      </c>
      <c r="B52" s="17" t="s">
        <v>795</v>
      </c>
      <c r="C52" s="17" t="s">
        <v>725</v>
      </c>
      <c r="D52" s="18" t="s">
        <v>38</v>
      </c>
      <c r="E52" s="19">
        <v>3</v>
      </c>
      <c r="F52" s="20">
        <v>844.86</v>
      </c>
      <c r="G52" s="21" t="s">
        <v>1</v>
      </c>
      <c r="H52" s="19">
        <v>1</v>
      </c>
      <c r="I52" s="20">
        <v>2534.58</v>
      </c>
      <c r="J52" s="19">
        <v>4.8</v>
      </c>
      <c r="K52" s="20">
        <v>12165.98</v>
      </c>
    </row>
    <row r="53" spans="1:11" ht="14" x14ac:dyDescent="0.25">
      <c r="C53" s="22" t="s">
        <v>267</v>
      </c>
      <c r="H53" s="143">
        <v>2534.58</v>
      </c>
      <c r="I53" s="143"/>
      <c r="J53" s="143">
        <v>12165.98</v>
      </c>
      <c r="K53" s="143"/>
    </row>
    <row r="55" spans="1:11" ht="70" x14ac:dyDescent="0.25">
      <c r="A55" s="17">
        <v>5</v>
      </c>
      <c r="B55" s="17" t="s">
        <v>796</v>
      </c>
      <c r="C55" s="17" t="s">
        <v>726</v>
      </c>
      <c r="D55" s="18" t="s">
        <v>38</v>
      </c>
      <c r="E55" s="19">
        <v>3</v>
      </c>
      <c r="F55" s="20">
        <v>1013.97</v>
      </c>
      <c r="G55" s="21" t="s">
        <v>1</v>
      </c>
      <c r="H55" s="19">
        <v>1</v>
      </c>
      <c r="I55" s="20">
        <v>3041.91</v>
      </c>
      <c r="J55" s="19">
        <v>4.79</v>
      </c>
      <c r="K55" s="20">
        <v>14570.75</v>
      </c>
    </row>
    <row r="56" spans="1:11" ht="14" x14ac:dyDescent="0.25">
      <c r="C56" s="22" t="s">
        <v>267</v>
      </c>
      <c r="H56" s="143">
        <v>3041.91</v>
      </c>
      <c r="I56" s="143"/>
      <c r="J56" s="143">
        <v>14570.75</v>
      </c>
      <c r="K56" s="143"/>
    </row>
    <row r="58" spans="1:11" ht="70" x14ac:dyDescent="0.25">
      <c r="A58" s="17">
        <v>6</v>
      </c>
      <c r="B58" s="17" t="s">
        <v>797</v>
      </c>
      <c r="C58" s="17" t="s">
        <v>727</v>
      </c>
      <c r="D58" s="18" t="s">
        <v>38</v>
      </c>
      <c r="E58" s="19">
        <v>9</v>
      </c>
      <c r="F58" s="20">
        <v>1183.07</v>
      </c>
      <c r="G58" s="21" t="s">
        <v>1</v>
      </c>
      <c r="H58" s="19">
        <v>1</v>
      </c>
      <c r="I58" s="20">
        <v>10647.63</v>
      </c>
      <c r="J58" s="19">
        <v>4.79</v>
      </c>
      <c r="K58" s="20">
        <v>51002.15</v>
      </c>
    </row>
    <row r="59" spans="1:11" ht="14" x14ac:dyDescent="0.25">
      <c r="C59" s="22" t="s">
        <v>267</v>
      </c>
      <c r="H59" s="143">
        <v>10647.63</v>
      </c>
      <c r="I59" s="143"/>
      <c r="J59" s="143">
        <v>51002.15</v>
      </c>
      <c r="K59" s="143"/>
    </row>
    <row r="61" spans="1:11" ht="70" x14ac:dyDescent="0.25">
      <c r="A61" s="17">
        <v>7</v>
      </c>
      <c r="B61" s="17" t="s">
        <v>798</v>
      </c>
      <c r="C61" s="17" t="s">
        <v>728</v>
      </c>
      <c r="D61" s="18" t="s">
        <v>38</v>
      </c>
      <c r="E61" s="19">
        <v>3</v>
      </c>
      <c r="F61" s="20">
        <v>1351.85</v>
      </c>
      <c r="G61" s="21" t="s">
        <v>1</v>
      </c>
      <c r="H61" s="19">
        <v>1</v>
      </c>
      <c r="I61" s="20">
        <v>4055.55</v>
      </c>
      <c r="J61" s="19">
        <v>4.8</v>
      </c>
      <c r="K61" s="20">
        <v>19466.64</v>
      </c>
    </row>
    <row r="62" spans="1:11" ht="14" x14ac:dyDescent="0.25">
      <c r="C62" s="22" t="s">
        <v>267</v>
      </c>
      <c r="H62" s="143">
        <v>4055.55</v>
      </c>
      <c r="I62" s="143"/>
      <c r="J62" s="143">
        <v>19466.64</v>
      </c>
      <c r="K62" s="143"/>
    </row>
    <row r="64" spans="1:11" ht="70" x14ac:dyDescent="0.25">
      <c r="A64" s="17">
        <v>8</v>
      </c>
      <c r="B64" s="17" t="s">
        <v>799</v>
      </c>
      <c r="C64" s="17" t="s">
        <v>729</v>
      </c>
      <c r="D64" s="18" t="s">
        <v>38</v>
      </c>
      <c r="E64" s="19">
        <v>4</v>
      </c>
      <c r="F64" s="20">
        <v>1520.95</v>
      </c>
      <c r="G64" s="21" t="s">
        <v>1</v>
      </c>
      <c r="H64" s="19">
        <v>1</v>
      </c>
      <c r="I64" s="20">
        <v>6083.8</v>
      </c>
      <c r="J64" s="19">
        <v>4.79</v>
      </c>
      <c r="K64" s="20">
        <v>29141.4</v>
      </c>
    </row>
    <row r="65" spans="1:11" ht="14" x14ac:dyDescent="0.25">
      <c r="C65" s="22" t="s">
        <v>267</v>
      </c>
      <c r="H65" s="143">
        <v>6083.8</v>
      </c>
      <c r="I65" s="143"/>
      <c r="J65" s="143">
        <v>29141.4</v>
      </c>
      <c r="K65" s="143"/>
    </row>
    <row r="67" spans="1:11" ht="70" x14ac:dyDescent="0.25">
      <c r="A67" s="17">
        <v>9</v>
      </c>
      <c r="B67" s="17" t="s">
        <v>800</v>
      </c>
      <c r="C67" s="17" t="s">
        <v>730</v>
      </c>
      <c r="D67" s="18" t="s">
        <v>38</v>
      </c>
      <c r="E67" s="19">
        <v>1</v>
      </c>
      <c r="F67" s="20">
        <v>1690.06</v>
      </c>
      <c r="G67" s="21" t="s">
        <v>1</v>
      </c>
      <c r="H67" s="19">
        <v>1</v>
      </c>
      <c r="I67" s="20">
        <v>1690.06</v>
      </c>
      <c r="J67" s="19">
        <v>4.79</v>
      </c>
      <c r="K67" s="20">
        <v>8095.39</v>
      </c>
    </row>
    <row r="68" spans="1:11" ht="14" x14ac:dyDescent="0.25">
      <c r="C68" s="22" t="s">
        <v>267</v>
      </c>
      <c r="H68" s="143">
        <v>1690.06</v>
      </c>
      <c r="I68" s="143"/>
      <c r="J68" s="143">
        <v>8095.39</v>
      </c>
      <c r="K68" s="143"/>
    </row>
    <row r="70" spans="1:11" ht="183" x14ac:dyDescent="0.25">
      <c r="A70" s="10">
        <v>10</v>
      </c>
      <c r="B70" s="10" t="s">
        <v>731</v>
      </c>
      <c r="C70" s="10" t="s">
        <v>732</v>
      </c>
      <c r="D70" s="12" t="s">
        <v>34</v>
      </c>
      <c r="E70" s="11">
        <v>0.02</v>
      </c>
      <c r="F70" s="14"/>
      <c r="G70" s="13"/>
      <c r="H70" s="11"/>
      <c r="I70" s="14"/>
      <c r="J70" s="11"/>
      <c r="K70" s="14"/>
    </row>
    <row r="71" spans="1:11" x14ac:dyDescent="0.25">
      <c r="C71" s="23" t="s">
        <v>371</v>
      </c>
    </row>
    <row r="72" spans="1:11" ht="28" x14ac:dyDescent="0.25">
      <c r="A72" s="10"/>
      <c r="B72" s="10"/>
      <c r="C72" s="10" t="s">
        <v>256</v>
      </c>
      <c r="D72" s="12"/>
      <c r="E72" s="11"/>
      <c r="F72" s="14">
        <v>1059.44</v>
      </c>
      <c r="G72" s="15" t="s">
        <v>720</v>
      </c>
      <c r="H72" s="11">
        <v>1</v>
      </c>
      <c r="I72" s="14">
        <v>30.12</v>
      </c>
      <c r="J72" s="11">
        <v>57.05</v>
      </c>
      <c r="K72" s="14">
        <v>1718.35</v>
      </c>
    </row>
    <row r="73" spans="1:11" ht="28" x14ac:dyDescent="0.25">
      <c r="A73" s="10"/>
      <c r="B73" s="10"/>
      <c r="C73" s="10" t="s">
        <v>257</v>
      </c>
      <c r="D73" s="12"/>
      <c r="E73" s="11"/>
      <c r="F73" s="14">
        <v>140.35</v>
      </c>
      <c r="G73" s="15" t="s">
        <v>721</v>
      </c>
      <c r="H73" s="11">
        <v>1</v>
      </c>
      <c r="I73" s="14">
        <v>4.34</v>
      </c>
      <c r="J73" s="11">
        <v>15.8</v>
      </c>
      <c r="K73" s="14">
        <v>68.569999999999993</v>
      </c>
    </row>
    <row r="74" spans="1:11" ht="28" x14ac:dyDescent="0.25">
      <c r="A74" s="10"/>
      <c r="B74" s="10"/>
      <c r="C74" s="10" t="s">
        <v>258</v>
      </c>
      <c r="D74" s="12"/>
      <c r="E74" s="11"/>
      <c r="F74" s="14">
        <v>15.41</v>
      </c>
      <c r="G74" s="15" t="s">
        <v>721</v>
      </c>
      <c r="H74" s="11">
        <v>1</v>
      </c>
      <c r="I74" s="16">
        <v>0.48</v>
      </c>
      <c r="J74" s="11">
        <v>57.05</v>
      </c>
      <c r="K74" s="16">
        <v>27.38</v>
      </c>
    </row>
    <row r="75" spans="1:11" ht="14.5" x14ac:dyDescent="0.25">
      <c r="A75" s="10"/>
      <c r="B75" s="10"/>
      <c r="C75" s="10" t="s">
        <v>259</v>
      </c>
      <c r="D75" s="12"/>
      <c r="E75" s="11"/>
      <c r="F75" s="14">
        <v>4513.71</v>
      </c>
      <c r="G75" s="15" t="s">
        <v>1</v>
      </c>
      <c r="H75" s="11">
        <v>1</v>
      </c>
      <c r="I75" s="14">
        <v>90.27</v>
      </c>
      <c r="J75" s="11">
        <v>6.4</v>
      </c>
      <c r="K75" s="14">
        <v>577.73</v>
      </c>
    </row>
    <row r="76" spans="1:11" ht="14.5" x14ac:dyDescent="0.25">
      <c r="A76" s="10"/>
      <c r="B76" s="10"/>
      <c r="C76" s="10" t="s">
        <v>260</v>
      </c>
      <c r="D76" s="12" t="s">
        <v>261</v>
      </c>
      <c r="E76" s="11">
        <v>109</v>
      </c>
      <c r="F76" s="14"/>
      <c r="G76" s="13"/>
      <c r="H76" s="11"/>
      <c r="I76" s="14">
        <v>33.35</v>
      </c>
      <c r="J76" s="11">
        <v>109</v>
      </c>
      <c r="K76" s="14">
        <v>1902.85</v>
      </c>
    </row>
    <row r="77" spans="1:11" ht="14.5" x14ac:dyDescent="0.25">
      <c r="A77" s="10"/>
      <c r="B77" s="10"/>
      <c r="C77" s="10" t="s">
        <v>262</v>
      </c>
      <c r="D77" s="12" t="s">
        <v>261</v>
      </c>
      <c r="E77" s="11">
        <v>61</v>
      </c>
      <c r="F77" s="14"/>
      <c r="G77" s="13"/>
      <c r="H77" s="11"/>
      <c r="I77" s="14">
        <v>18.670000000000002</v>
      </c>
      <c r="J77" s="11">
        <v>61</v>
      </c>
      <c r="K77" s="14">
        <v>1064.9000000000001</v>
      </c>
    </row>
    <row r="78" spans="1:11" ht="28" x14ac:dyDescent="0.25">
      <c r="A78" s="17"/>
      <c r="B78" s="17"/>
      <c r="C78" s="17" t="s">
        <v>263</v>
      </c>
      <c r="D78" s="18" t="s">
        <v>264</v>
      </c>
      <c r="E78" s="19">
        <v>86.51</v>
      </c>
      <c r="F78" s="20"/>
      <c r="G78" s="21" t="s">
        <v>720</v>
      </c>
      <c r="H78" s="19">
        <v>1</v>
      </c>
      <c r="I78" s="20">
        <v>2.46</v>
      </c>
      <c r="J78" s="19"/>
      <c r="K78" s="20"/>
    </row>
    <row r="79" spans="1:11" ht="14" x14ac:dyDescent="0.25">
      <c r="C79" s="22" t="s">
        <v>265</v>
      </c>
      <c r="H79" s="143">
        <v>176.75</v>
      </c>
      <c r="I79" s="143"/>
      <c r="J79" s="143">
        <v>5332.4</v>
      </c>
      <c r="K79" s="143"/>
    </row>
    <row r="80" spans="1:11" ht="14" x14ac:dyDescent="0.25">
      <c r="C80" s="22" t="s">
        <v>267</v>
      </c>
      <c r="H80" s="141">
        <v>176.75</v>
      </c>
      <c r="I80" s="141"/>
      <c r="J80" s="141">
        <v>5332.4</v>
      </c>
      <c r="K80" s="141"/>
    </row>
    <row r="82" spans="1:11" ht="70" x14ac:dyDescent="0.25">
      <c r="A82" s="17">
        <v>11</v>
      </c>
      <c r="B82" s="17" t="s">
        <v>801</v>
      </c>
      <c r="C82" s="17" t="s">
        <v>733</v>
      </c>
      <c r="D82" s="18" t="s">
        <v>38</v>
      </c>
      <c r="E82" s="19">
        <v>2</v>
      </c>
      <c r="F82" s="20">
        <v>1858.84</v>
      </c>
      <c r="G82" s="21" t="s">
        <v>1</v>
      </c>
      <c r="H82" s="19">
        <v>1</v>
      </c>
      <c r="I82" s="20">
        <v>3717.68</v>
      </c>
      <c r="J82" s="19">
        <v>4.8</v>
      </c>
      <c r="K82" s="20">
        <v>17844.86</v>
      </c>
    </row>
    <row r="83" spans="1:11" ht="14" x14ac:dyDescent="0.25">
      <c r="C83" s="22" t="s">
        <v>267</v>
      </c>
      <c r="H83" s="143">
        <v>3717.68</v>
      </c>
      <c r="I83" s="143"/>
      <c r="J83" s="143">
        <v>17844.86</v>
      </c>
      <c r="K83" s="143"/>
    </row>
    <row r="85" spans="1:11" ht="183" x14ac:dyDescent="0.25">
      <c r="A85" s="10">
        <v>12</v>
      </c>
      <c r="B85" s="10" t="s">
        <v>718</v>
      </c>
      <c r="C85" s="10" t="s">
        <v>719</v>
      </c>
      <c r="D85" s="12" t="s">
        <v>34</v>
      </c>
      <c r="E85" s="11">
        <v>0.01</v>
      </c>
      <c r="F85" s="14"/>
      <c r="G85" s="13"/>
      <c r="H85" s="11"/>
      <c r="I85" s="14"/>
      <c r="J85" s="11"/>
      <c r="K85" s="14"/>
    </row>
    <row r="86" spans="1:11" x14ac:dyDescent="0.25">
      <c r="C86" s="23" t="s">
        <v>591</v>
      </c>
    </row>
    <row r="87" spans="1:11" ht="28" x14ac:dyDescent="0.25">
      <c r="A87" s="10"/>
      <c r="B87" s="10"/>
      <c r="C87" s="10" t="s">
        <v>256</v>
      </c>
      <c r="D87" s="12"/>
      <c r="E87" s="11"/>
      <c r="F87" s="14">
        <v>716.97</v>
      </c>
      <c r="G87" s="15" t="s">
        <v>720</v>
      </c>
      <c r="H87" s="11">
        <v>1</v>
      </c>
      <c r="I87" s="14">
        <v>10.19</v>
      </c>
      <c r="J87" s="11">
        <v>57.05</v>
      </c>
      <c r="K87" s="14">
        <v>581.34</v>
      </c>
    </row>
    <row r="88" spans="1:11" ht="28" x14ac:dyDescent="0.25">
      <c r="A88" s="10"/>
      <c r="B88" s="10"/>
      <c r="C88" s="10" t="s">
        <v>257</v>
      </c>
      <c r="D88" s="12"/>
      <c r="E88" s="11"/>
      <c r="F88" s="14">
        <v>28.37</v>
      </c>
      <c r="G88" s="15" t="s">
        <v>721</v>
      </c>
      <c r="H88" s="11">
        <v>1</v>
      </c>
      <c r="I88" s="14">
        <v>0.44</v>
      </c>
      <c r="J88" s="11">
        <v>15.89</v>
      </c>
      <c r="K88" s="14">
        <v>6.99</v>
      </c>
    </row>
    <row r="89" spans="1:11" ht="28" x14ac:dyDescent="0.25">
      <c r="A89" s="10"/>
      <c r="B89" s="10"/>
      <c r="C89" s="10" t="s">
        <v>258</v>
      </c>
      <c r="D89" s="12"/>
      <c r="E89" s="11"/>
      <c r="F89" s="14">
        <v>3.21</v>
      </c>
      <c r="G89" s="15" t="s">
        <v>721</v>
      </c>
      <c r="H89" s="11">
        <v>1</v>
      </c>
      <c r="I89" s="16">
        <v>0.05</v>
      </c>
      <c r="J89" s="11">
        <v>57.05</v>
      </c>
      <c r="K89" s="16">
        <v>2.85</v>
      </c>
    </row>
    <row r="90" spans="1:11" ht="14.5" x14ac:dyDescent="0.25">
      <c r="A90" s="10"/>
      <c r="B90" s="10"/>
      <c r="C90" s="10" t="s">
        <v>259</v>
      </c>
      <c r="D90" s="12"/>
      <c r="E90" s="11"/>
      <c r="F90" s="14">
        <v>2962.2</v>
      </c>
      <c r="G90" s="15" t="s">
        <v>1</v>
      </c>
      <c r="H90" s="11">
        <v>1</v>
      </c>
      <c r="I90" s="14">
        <v>29.62</v>
      </c>
      <c r="J90" s="11">
        <v>7.01</v>
      </c>
      <c r="K90" s="14">
        <v>207.64</v>
      </c>
    </row>
    <row r="91" spans="1:11" ht="14.5" x14ac:dyDescent="0.25">
      <c r="A91" s="10"/>
      <c r="B91" s="10"/>
      <c r="C91" s="10" t="s">
        <v>260</v>
      </c>
      <c r="D91" s="12" t="s">
        <v>261</v>
      </c>
      <c r="E91" s="11">
        <v>109</v>
      </c>
      <c r="F91" s="14"/>
      <c r="G91" s="13"/>
      <c r="H91" s="11"/>
      <c r="I91" s="14">
        <v>11.16</v>
      </c>
      <c r="J91" s="11">
        <v>109</v>
      </c>
      <c r="K91" s="14">
        <v>636.77</v>
      </c>
    </row>
    <row r="92" spans="1:11" ht="14.5" x14ac:dyDescent="0.25">
      <c r="A92" s="10"/>
      <c r="B92" s="10"/>
      <c r="C92" s="10" t="s">
        <v>262</v>
      </c>
      <c r="D92" s="12" t="s">
        <v>261</v>
      </c>
      <c r="E92" s="11">
        <v>61</v>
      </c>
      <c r="F92" s="14"/>
      <c r="G92" s="13"/>
      <c r="H92" s="11"/>
      <c r="I92" s="14">
        <v>6.25</v>
      </c>
      <c r="J92" s="11">
        <v>61</v>
      </c>
      <c r="K92" s="14">
        <v>356.36</v>
      </c>
    </row>
    <row r="93" spans="1:11" ht="28" x14ac:dyDescent="0.25">
      <c r="A93" s="17"/>
      <c r="B93" s="17"/>
      <c r="C93" s="17" t="s">
        <v>263</v>
      </c>
      <c r="D93" s="18" t="s">
        <v>264</v>
      </c>
      <c r="E93" s="19">
        <v>58.34</v>
      </c>
      <c r="F93" s="20"/>
      <c r="G93" s="21" t="s">
        <v>720</v>
      </c>
      <c r="H93" s="19">
        <v>1</v>
      </c>
      <c r="I93" s="20">
        <v>0.83</v>
      </c>
      <c r="J93" s="19"/>
      <c r="K93" s="20"/>
    </row>
    <row r="94" spans="1:11" ht="14" x14ac:dyDescent="0.25">
      <c r="C94" s="22" t="s">
        <v>265</v>
      </c>
      <c r="H94" s="143">
        <v>57.66</v>
      </c>
      <c r="I94" s="143"/>
      <c r="J94" s="143">
        <v>1789.1</v>
      </c>
      <c r="K94" s="143"/>
    </row>
    <row r="95" spans="1:11" ht="14" x14ac:dyDescent="0.25">
      <c r="C95" s="22" t="s">
        <v>267</v>
      </c>
      <c r="H95" s="141">
        <v>57.66</v>
      </c>
      <c r="I95" s="141"/>
      <c r="J95" s="141">
        <v>1789.1</v>
      </c>
      <c r="K95" s="141"/>
    </row>
    <row r="97" spans="1:11" ht="126" x14ac:dyDescent="0.25">
      <c r="A97" s="17">
        <v>13</v>
      </c>
      <c r="B97" s="17" t="s">
        <v>802</v>
      </c>
      <c r="C97" s="17" t="s">
        <v>734</v>
      </c>
      <c r="D97" s="18" t="s">
        <v>230</v>
      </c>
      <c r="E97" s="19">
        <v>1</v>
      </c>
      <c r="F97" s="20">
        <v>1163.77</v>
      </c>
      <c r="G97" s="21" t="s">
        <v>1</v>
      </c>
      <c r="H97" s="19">
        <v>1</v>
      </c>
      <c r="I97" s="20">
        <v>1163.77</v>
      </c>
      <c r="J97" s="19">
        <v>4.4400000000000004</v>
      </c>
      <c r="K97" s="20">
        <v>5167.1400000000003</v>
      </c>
    </row>
    <row r="98" spans="1:11" ht="14" x14ac:dyDescent="0.25">
      <c r="C98" s="22" t="s">
        <v>267</v>
      </c>
      <c r="H98" s="143">
        <v>1163.77</v>
      </c>
      <c r="I98" s="143"/>
      <c r="J98" s="143">
        <v>5167.1400000000003</v>
      </c>
      <c r="K98" s="143"/>
    </row>
    <row r="100" spans="1:11" ht="183" x14ac:dyDescent="0.25">
      <c r="A100" s="10">
        <v>14</v>
      </c>
      <c r="B100" s="10" t="s">
        <v>723</v>
      </c>
      <c r="C100" s="10" t="s">
        <v>724</v>
      </c>
      <c r="D100" s="12" t="s">
        <v>34</v>
      </c>
      <c r="E100" s="11">
        <v>0.06</v>
      </c>
      <c r="F100" s="14"/>
      <c r="G100" s="13"/>
      <c r="H100" s="11"/>
      <c r="I100" s="14"/>
      <c r="J100" s="11"/>
      <c r="K100" s="14"/>
    </row>
    <row r="101" spans="1:11" x14ac:dyDescent="0.25">
      <c r="C101" s="23" t="s">
        <v>803</v>
      </c>
    </row>
    <row r="102" spans="1:11" ht="28" x14ac:dyDescent="0.25">
      <c r="A102" s="10"/>
      <c r="B102" s="10"/>
      <c r="C102" s="10" t="s">
        <v>256</v>
      </c>
      <c r="D102" s="12"/>
      <c r="E102" s="11"/>
      <c r="F102" s="14">
        <v>873.14</v>
      </c>
      <c r="G102" s="15" t="s">
        <v>720</v>
      </c>
      <c r="H102" s="11">
        <v>1</v>
      </c>
      <c r="I102" s="14">
        <v>74.459999999999994</v>
      </c>
      <c r="J102" s="11">
        <v>57.05</v>
      </c>
      <c r="K102" s="14">
        <v>4247.9399999999996</v>
      </c>
    </row>
    <row r="103" spans="1:11" ht="28" x14ac:dyDescent="0.25">
      <c r="A103" s="10"/>
      <c r="B103" s="10"/>
      <c r="C103" s="10" t="s">
        <v>257</v>
      </c>
      <c r="D103" s="12"/>
      <c r="E103" s="11"/>
      <c r="F103" s="14">
        <v>80.36</v>
      </c>
      <c r="G103" s="15" t="s">
        <v>721</v>
      </c>
      <c r="H103" s="11">
        <v>1</v>
      </c>
      <c r="I103" s="14">
        <v>7.45</v>
      </c>
      <c r="J103" s="11">
        <v>15.84</v>
      </c>
      <c r="K103" s="14">
        <v>118.01</v>
      </c>
    </row>
    <row r="104" spans="1:11" ht="28" x14ac:dyDescent="0.25">
      <c r="A104" s="10"/>
      <c r="B104" s="10"/>
      <c r="C104" s="10" t="s">
        <v>258</v>
      </c>
      <c r="D104" s="12"/>
      <c r="E104" s="11"/>
      <c r="F104" s="14">
        <v>8.91</v>
      </c>
      <c r="G104" s="15" t="s">
        <v>721</v>
      </c>
      <c r="H104" s="11">
        <v>1</v>
      </c>
      <c r="I104" s="16">
        <v>0.83</v>
      </c>
      <c r="J104" s="11">
        <v>57.05</v>
      </c>
      <c r="K104" s="16">
        <v>47.35</v>
      </c>
    </row>
    <row r="105" spans="1:11" ht="14.5" x14ac:dyDescent="0.25">
      <c r="A105" s="10"/>
      <c r="B105" s="10"/>
      <c r="C105" s="10" t="s">
        <v>259</v>
      </c>
      <c r="D105" s="12"/>
      <c r="E105" s="11"/>
      <c r="F105" s="14">
        <v>3737.88</v>
      </c>
      <c r="G105" s="15" t="s">
        <v>1</v>
      </c>
      <c r="H105" s="11">
        <v>1</v>
      </c>
      <c r="I105" s="14">
        <v>224.27</v>
      </c>
      <c r="J105" s="11">
        <v>6.64</v>
      </c>
      <c r="K105" s="14">
        <v>1489.15</v>
      </c>
    </row>
    <row r="106" spans="1:11" ht="14.5" x14ac:dyDescent="0.25">
      <c r="A106" s="10"/>
      <c r="B106" s="10"/>
      <c r="C106" s="10" t="s">
        <v>260</v>
      </c>
      <c r="D106" s="12" t="s">
        <v>261</v>
      </c>
      <c r="E106" s="11">
        <v>109</v>
      </c>
      <c r="F106" s="14"/>
      <c r="G106" s="13"/>
      <c r="H106" s="11"/>
      <c r="I106" s="14">
        <v>82.07</v>
      </c>
      <c r="J106" s="11">
        <v>109</v>
      </c>
      <c r="K106" s="14">
        <v>4681.87</v>
      </c>
    </row>
    <row r="107" spans="1:11" ht="14.5" x14ac:dyDescent="0.25">
      <c r="A107" s="10"/>
      <c r="B107" s="10"/>
      <c r="C107" s="10" t="s">
        <v>262</v>
      </c>
      <c r="D107" s="12" t="s">
        <v>261</v>
      </c>
      <c r="E107" s="11">
        <v>61</v>
      </c>
      <c r="F107" s="14"/>
      <c r="G107" s="13"/>
      <c r="H107" s="11"/>
      <c r="I107" s="14">
        <v>45.93</v>
      </c>
      <c r="J107" s="11">
        <v>61</v>
      </c>
      <c r="K107" s="14">
        <v>2620.13</v>
      </c>
    </row>
    <row r="108" spans="1:11" ht="28" x14ac:dyDescent="0.25">
      <c r="A108" s="17"/>
      <c r="B108" s="17"/>
      <c r="C108" s="17" t="s">
        <v>263</v>
      </c>
      <c r="D108" s="18" t="s">
        <v>264</v>
      </c>
      <c r="E108" s="19">
        <v>71.13</v>
      </c>
      <c r="F108" s="20"/>
      <c r="G108" s="21" t="s">
        <v>720</v>
      </c>
      <c r="H108" s="19">
        <v>1</v>
      </c>
      <c r="I108" s="20">
        <v>6.07</v>
      </c>
      <c r="J108" s="19"/>
      <c r="K108" s="20"/>
    </row>
    <row r="109" spans="1:11" ht="14" x14ac:dyDescent="0.25">
      <c r="C109" s="22" t="s">
        <v>265</v>
      </c>
      <c r="H109" s="143">
        <v>434.18</v>
      </c>
      <c r="I109" s="143"/>
      <c r="J109" s="143">
        <v>13157.1</v>
      </c>
      <c r="K109" s="143"/>
    </row>
    <row r="110" spans="1:11" ht="14" x14ac:dyDescent="0.25">
      <c r="C110" s="22" t="s">
        <v>267</v>
      </c>
      <c r="H110" s="141">
        <v>434.18</v>
      </c>
      <c r="I110" s="141"/>
      <c r="J110" s="141">
        <v>13157.1</v>
      </c>
      <c r="K110" s="141"/>
    </row>
    <row r="112" spans="1:11" ht="126" x14ac:dyDescent="0.25">
      <c r="A112" s="17">
        <v>15</v>
      </c>
      <c r="B112" s="17" t="s">
        <v>804</v>
      </c>
      <c r="C112" s="17" t="s">
        <v>735</v>
      </c>
      <c r="D112" s="18" t="s">
        <v>230</v>
      </c>
      <c r="E112" s="19">
        <v>1</v>
      </c>
      <c r="F112" s="20">
        <v>1344.39</v>
      </c>
      <c r="G112" s="21" t="s">
        <v>1</v>
      </c>
      <c r="H112" s="19">
        <v>1</v>
      </c>
      <c r="I112" s="20">
        <v>1344.39</v>
      </c>
      <c r="J112" s="19">
        <v>4.54</v>
      </c>
      <c r="K112" s="20">
        <v>6103.53</v>
      </c>
    </row>
    <row r="113" spans="1:11" ht="14" x14ac:dyDescent="0.25">
      <c r="C113" s="22" t="s">
        <v>267</v>
      </c>
      <c r="H113" s="143">
        <v>1344.39</v>
      </c>
      <c r="I113" s="143"/>
      <c r="J113" s="143">
        <v>6103.53</v>
      </c>
      <c r="K113" s="143"/>
    </row>
    <row r="115" spans="1:11" ht="126" x14ac:dyDescent="0.25">
      <c r="A115" s="17">
        <v>16</v>
      </c>
      <c r="B115" s="17" t="s">
        <v>805</v>
      </c>
      <c r="C115" s="17" t="s">
        <v>736</v>
      </c>
      <c r="D115" s="18" t="s">
        <v>230</v>
      </c>
      <c r="E115" s="19">
        <v>1</v>
      </c>
      <c r="F115" s="20">
        <v>1708.79</v>
      </c>
      <c r="G115" s="21" t="s">
        <v>1</v>
      </c>
      <c r="H115" s="19">
        <v>1</v>
      </c>
      <c r="I115" s="20">
        <v>1708.79</v>
      </c>
      <c r="J115" s="19">
        <v>4.6500000000000004</v>
      </c>
      <c r="K115" s="20">
        <v>7945.87</v>
      </c>
    </row>
    <row r="116" spans="1:11" ht="14" x14ac:dyDescent="0.25">
      <c r="C116" s="22" t="s">
        <v>267</v>
      </c>
      <c r="H116" s="143">
        <v>1708.79</v>
      </c>
      <c r="I116" s="143"/>
      <c r="J116" s="143">
        <v>7945.87</v>
      </c>
      <c r="K116" s="143"/>
    </row>
    <row r="118" spans="1:11" ht="126" x14ac:dyDescent="0.25">
      <c r="A118" s="17">
        <v>17</v>
      </c>
      <c r="B118" s="17" t="s">
        <v>806</v>
      </c>
      <c r="C118" s="17" t="s">
        <v>737</v>
      </c>
      <c r="D118" s="18" t="s">
        <v>230</v>
      </c>
      <c r="E118" s="19">
        <v>2</v>
      </c>
      <c r="F118" s="20">
        <v>1890.36</v>
      </c>
      <c r="G118" s="21" t="s">
        <v>1</v>
      </c>
      <c r="H118" s="19">
        <v>1</v>
      </c>
      <c r="I118" s="20">
        <v>3780.72</v>
      </c>
      <c r="J118" s="19">
        <v>4.7</v>
      </c>
      <c r="K118" s="20">
        <v>17769.38</v>
      </c>
    </row>
    <row r="119" spans="1:11" ht="14" x14ac:dyDescent="0.25">
      <c r="C119" s="22" t="s">
        <v>267</v>
      </c>
      <c r="H119" s="143">
        <v>3780.72</v>
      </c>
      <c r="I119" s="143"/>
      <c r="J119" s="143">
        <v>17769.38</v>
      </c>
      <c r="K119" s="143"/>
    </row>
    <row r="121" spans="1:11" ht="126" x14ac:dyDescent="0.25">
      <c r="A121" s="17">
        <v>18</v>
      </c>
      <c r="B121" s="17" t="s">
        <v>807</v>
      </c>
      <c r="C121" s="17" t="s">
        <v>738</v>
      </c>
      <c r="D121" s="18" t="s">
        <v>230</v>
      </c>
      <c r="E121" s="19">
        <v>2</v>
      </c>
      <c r="F121" s="20">
        <v>2071.9299999999998</v>
      </c>
      <c r="G121" s="21" t="s">
        <v>1</v>
      </c>
      <c r="H121" s="19">
        <v>1</v>
      </c>
      <c r="I121" s="20">
        <v>4143.8599999999997</v>
      </c>
      <c r="J121" s="19">
        <v>4.7300000000000004</v>
      </c>
      <c r="K121" s="20">
        <v>19600.46</v>
      </c>
    </row>
    <row r="122" spans="1:11" ht="14" x14ac:dyDescent="0.25">
      <c r="C122" s="22" t="s">
        <v>267</v>
      </c>
      <c r="H122" s="143">
        <v>4143.8599999999997</v>
      </c>
      <c r="I122" s="143"/>
      <c r="J122" s="143">
        <v>19600.46</v>
      </c>
      <c r="K122" s="143"/>
    </row>
    <row r="124" spans="1:11" ht="183" x14ac:dyDescent="0.25">
      <c r="A124" s="10">
        <v>19</v>
      </c>
      <c r="B124" s="10" t="s">
        <v>731</v>
      </c>
      <c r="C124" s="10" t="s">
        <v>732</v>
      </c>
      <c r="D124" s="12" t="s">
        <v>34</v>
      </c>
      <c r="E124" s="11">
        <v>0.02</v>
      </c>
      <c r="F124" s="14"/>
      <c r="G124" s="13"/>
      <c r="H124" s="11"/>
      <c r="I124" s="14"/>
      <c r="J124" s="11"/>
      <c r="K124" s="14"/>
    </row>
    <row r="125" spans="1:11" x14ac:dyDescent="0.25">
      <c r="C125" s="23" t="s">
        <v>371</v>
      </c>
    </row>
    <row r="126" spans="1:11" ht="28" x14ac:dyDescent="0.25">
      <c r="A126" s="10"/>
      <c r="B126" s="10"/>
      <c r="C126" s="10" t="s">
        <v>256</v>
      </c>
      <c r="D126" s="12"/>
      <c r="E126" s="11"/>
      <c r="F126" s="14">
        <v>1059.44</v>
      </c>
      <c r="G126" s="15" t="s">
        <v>720</v>
      </c>
      <c r="H126" s="11">
        <v>1</v>
      </c>
      <c r="I126" s="14">
        <v>30.12</v>
      </c>
      <c r="J126" s="11">
        <v>57.05</v>
      </c>
      <c r="K126" s="14">
        <v>1718.35</v>
      </c>
    </row>
    <row r="127" spans="1:11" ht="28" x14ac:dyDescent="0.25">
      <c r="A127" s="10"/>
      <c r="B127" s="10"/>
      <c r="C127" s="10" t="s">
        <v>257</v>
      </c>
      <c r="D127" s="12"/>
      <c r="E127" s="11"/>
      <c r="F127" s="14">
        <v>140.35</v>
      </c>
      <c r="G127" s="15" t="s">
        <v>721</v>
      </c>
      <c r="H127" s="11">
        <v>1</v>
      </c>
      <c r="I127" s="14">
        <v>4.34</v>
      </c>
      <c r="J127" s="11">
        <v>15.8</v>
      </c>
      <c r="K127" s="14">
        <v>68.569999999999993</v>
      </c>
    </row>
    <row r="128" spans="1:11" ht="28" x14ac:dyDescent="0.25">
      <c r="A128" s="10"/>
      <c r="B128" s="10"/>
      <c r="C128" s="10" t="s">
        <v>258</v>
      </c>
      <c r="D128" s="12"/>
      <c r="E128" s="11"/>
      <c r="F128" s="14">
        <v>15.41</v>
      </c>
      <c r="G128" s="15" t="s">
        <v>721</v>
      </c>
      <c r="H128" s="11">
        <v>1</v>
      </c>
      <c r="I128" s="16">
        <v>0.48</v>
      </c>
      <c r="J128" s="11">
        <v>57.05</v>
      </c>
      <c r="K128" s="16">
        <v>27.38</v>
      </c>
    </row>
    <row r="129" spans="1:11" ht="14.5" x14ac:dyDescent="0.25">
      <c r="A129" s="10"/>
      <c r="B129" s="10"/>
      <c r="C129" s="10" t="s">
        <v>259</v>
      </c>
      <c r="D129" s="12"/>
      <c r="E129" s="11"/>
      <c r="F129" s="14">
        <v>4513.71</v>
      </c>
      <c r="G129" s="15" t="s">
        <v>1</v>
      </c>
      <c r="H129" s="11">
        <v>1</v>
      </c>
      <c r="I129" s="14">
        <v>90.27</v>
      </c>
      <c r="J129" s="11">
        <v>6.4</v>
      </c>
      <c r="K129" s="14">
        <v>577.73</v>
      </c>
    </row>
    <row r="130" spans="1:11" ht="14.5" x14ac:dyDescent="0.25">
      <c r="A130" s="10"/>
      <c r="B130" s="10"/>
      <c r="C130" s="10" t="s">
        <v>260</v>
      </c>
      <c r="D130" s="12" t="s">
        <v>261</v>
      </c>
      <c r="E130" s="11">
        <v>109</v>
      </c>
      <c r="F130" s="14"/>
      <c r="G130" s="13"/>
      <c r="H130" s="11"/>
      <c r="I130" s="14">
        <v>33.35</v>
      </c>
      <c r="J130" s="11">
        <v>109</v>
      </c>
      <c r="K130" s="14">
        <v>1902.85</v>
      </c>
    </row>
    <row r="131" spans="1:11" ht="14.5" x14ac:dyDescent="0.25">
      <c r="A131" s="10"/>
      <c r="B131" s="10"/>
      <c r="C131" s="10" t="s">
        <v>262</v>
      </c>
      <c r="D131" s="12" t="s">
        <v>261</v>
      </c>
      <c r="E131" s="11">
        <v>61</v>
      </c>
      <c r="F131" s="14"/>
      <c r="G131" s="13"/>
      <c r="H131" s="11"/>
      <c r="I131" s="14">
        <v>18.670000000000002</v>
      </c>
      <c r="J131" s="11">
        <v>61</v>
      </c>
      <c r="K131" s="14">
        <v>1064.9000000000001</v>
      </c>
    </row>
    <row r="132" spans="1:11" ht="28" x14ac:dyDescent="0.25">
      <c r="A132" s="17"/>
      <c r="B132" s="17"/>
      <c r="C132" s="17" t="s">
        <v>263</v>
      </c>
      <c r="D132" s="18" t="s">
        <v>264</v>
      </c>
      <c r="E132" s="19">
        <v>86.51</v>
      </c>
      <c r="F132" s="20"/>
      <c r="G132" s="21" t="s">
        <v>720</v>
      </c>
      <c r="H132" s="19">
        <v>1</v>
      </c>
      <c r="I132" s="20">
        <v>2.46</v>
      </c>
      <c r="J132" s="19"/>
      <c r="K132" s="20"/>
    </row>
    <row r="133" spans="1:11" ht="14" x14ac:dyDescent="0.25">
      <c r="C133" s="22" t="s">
        <v>265</v>
      </c>
      <c r="H133" s="143">
        <v>176.75</v>
      </c>
      <c r="I133" s="143"/>
      <c r="J133" s="143">
        <v>5332.4</v>
      </c>
      <c r="K133" s="143"/>
    </row>
    <row r="134" spans="1:11" ht="14" x14ac:dyDescent="0.25">
      <c r="C134" s="22" t="s">
        <v>267</v>
      </c>
      <c r="H134" s="141">
        <v>176.75</v>
      </c>
      <c r="I134" s="141"/>
      <c r="J134" s="141">
        <v>5332.4</v>
      </c>
      <c r="K134" s="141"/>
    </row>
    <row r="136" spans="1:11" ht="126" x14ac:dyDescent="0.25">
      <c r="A136" s="17">
        <v>20</v>
      </c>
      <c r="B136" s="17" t="s">
        <v>808</v>
      </c>
      <c r="C136" s="17" t="s">
        <v>739</v>
      </c>
      <c r="D136" s="18" t="s">
        <v>230</v>
      </c>
      <c r="E136" s="19">
        <v>1</v>
      </c>
      <c r="F136" s="20">
        <v>2615.36</v>
      </c>
      <c r="G136" s="21" t="s">
        <v>1</v>
      </c>
      <c r="H136" s="19">
        <v>1</v>
      </c>
      <c r="I136" s="20">
        <v>2615.36</v>
      </c>
      <c r="J136" s="19">
        <v>4.8099999999999996</v>
      </c>
      <c r="K136" s="20">
        <v>12579.88</v>
      </c>
    </row>
    <row r="137" spans="1:11" ht="14" x14ac:dyDescent="0.25">
      <c r="C137" s="22" t="s">
        <v>267</v>
      </c>
      <c r="H137" s="143">
        <v>2615.36</v>
      </c>
      <c r="I137" s="143"/>
      <c r="J137" s="143">
        <v>12579.88</v>
      </c>
      <c r="K137" s="143"/>
    </row>
    <row r="139" spans="1:11" ht="126" x14ac:dyDescent="0.25">
      <c r="A139" s="17">
        <v>21</v>
      </c>
      <c r="B139" s="17" t="s">
        <v>809</v>
      </c>
      <c r="C139" s="17" t="s">
        <v>740</v>
      </c>
      <c r="D139" s="18" t="s">
        <v>230</v>
      </c>
      <c r="E139" s="19">
        <v>1</v>
      </c>
      <c r="F139" s="20">
        <v>2797.26</v>
      </c>
      <c r="G139" s="21" t="s">
        <v>1</v>
      </c>
      <c r="H139" s="19">
        <v>1</v>
      </c>
      <c r="I139" s="20">
        <v>2797.26</v>
      </c>
      <c r="J139" s="19">
        <v>4.83</v>
      </c>
      <c r="K139" s="20">
        <v>13510.77</v>
      </c>
    </row>
    <row r="140" spans="1:11" ht="14" x14ac:dyDescent="0.25">
      <c r="C140" s="22" t="s">
        <v>267</v>
      </c>
      <c r="H140" s="143">
        <v>2797.26</v>
      </c>
      <c r="I140" s="143"/>
      <c r="J140" s="143">
        <v>13510.77</v>
      </c>
      <c r="K140" s="143"/>
    </row>
    <row r="142" spans="1:11" ht="79" x14ac:dyDescent="0.25">
      <c r="A142" s="10">
        <v>22</v>
      </c>
      <c r="B142" s="10" t="s">
        <v>741</v>
      </c>
      <c r="C142" s="10" t="s">
        <v>742</v>
      </c>
      <c r="D142" s="12" t="s">
        <v>24</v>
      </c>
      <c r="E142" s="11">
        <v>1</v>
      </c>
      <c r="F142" s="14"/>
      <c r="G142" s="13"/>
      <c r="H142" s="11"/>
      <c r="I142" s="14"/>
      <c r="J142" s="11"/>
      <c r="K142" s="14"/>
    </row>
    <row r="143" spans="1:11" ht="14.5" x14ac:dyDescent="0.25">
      <c r="A143" s="10"/>
      <c r="B143" s="10"/>
      <c r="C143" s="10" t="s">
        <v>256</v>
      </c>
      <c r="D143" s="12"/>
      <c r="E143" s="11"/>
      <c r="F143" s="14">
        <v>26.76</v>
      </c>
      <c r="G143" s="15" t="s">
        <v>13</v>
      </c>
      <c r="H143" s="11">
        <v>1</v>
      </c>
      <c r="I143" s="14">
        <v>32.11</v>
      </c>
      <c r="J143" s="11">
        <v>57.05</v>
      </c>
      <c r="K143" s="14">
        <v>1831.88</v>
      </c>
    </row>
    <row r="144" spans="1:11" ht="14.5" x14ac:dyDescent="0.25">
      <c r="A144" s="10"/>
      <c r="B144" s="10"/>
      <c r="C144" s="10" t="s">
        <v>257</v>
      </c>
      <c r="D144" s="12"/>
      <c r="E144" s="11"/>
      <c r="F144" s="14">
        <v>0.84</v>
      </c>
      <c r="G144" s="15" t="s">
        <v>13</v>
      </c>
      <c r="H144" s="11">
        <v>1</v>
      </c>
      <c r="I144" s="14">
        <v>1.01</v>
      </c>
      <c r="J144" s="11">
        <v>17.350000000000001</v>
      </c>
      <c r="K144" s="14">
        <v>17.52</v>
      </c>
    </row>
    <row r="145" spans="1:11" ht="14.5" x14ac:dyDescent="0.25">
      <c r="A145" s="10"/>
      <c r="B145" s="10"/>
      <c r="C145" s="10" t="s">
        <v>258</v>
      </c>
      <c r="D145" s="12"/>
      <c r="E145" s="11"/>
      <c r="F145" s="14">
        <v>0.13</v>
      </c>
      <c r="G145" s="15" t="s">
        <v>13</v>
      </c>
      <c r="H145" s="11">
        <v>1</v>
      </c>
      <c r="I145" s="16">
        <v>0.16</v>
      </c>
      <c r="J145" s="11">
        <v>57.05</v>
      </c>
      <c r="K145" s="16">
        <v>9.1300000000000008</v>
      </c>
    </row>
    <row r="146" spans="1:11" ht="14.5" x14ac:dyDescent="0.25">
      <c r="A146" s="10"/>
      <c r="B146" s="10"/>
      <c r="C146" s="10" t="s">
        <v>260</v>
      </c>
      <c r="D146" s="12" t="s">
        <v>261</v>
      </c>
      <c r="E146" s="11">
        <v>97</v>
      </c>
      <c r="F146" s="14"/>
      <c r="G146" s="13"/>
      <c r="H146" s="11"/>
      <c r="I146" s="14">
        <v>31.3</v>
      </c>
      <c r="J146" s="11">
        <v>97</v>
      </c>
      <c r="K146" s="14">
        <v>1785.78</v>
      </c>
    </row>
    <row r="147" spans="1:11" ht="14.5" x14ac:dyDescent="0.25">
      <c r="A147" s="10"/>
      <c r="B147" s="10"/>
      <c r="C147" s="10" t="s">
        <v>262</v>
      </c>
      <c r="D147" s="12" t="s">
        <v>261</v>
      </c>
      <c r="E147" s="11">
        <v>51</v>
      </c>
      <c r="F147" s="14"/>
      <c r="G147" s="13"/>
      <c r="H147" s="11"/>
      <c r="I147" s="14">
        <v>16.46</v>
      </c>
      <c r="J147" s="11">
        <v>51</v>
      </c>
      <c r="K147" s="14">
        <v>938.92</v>
      </c>
    </row>
    <row r="148" spans="1:11" ht="14.5" x14ac:dyDescent="0.25">
      <c r="A148" s="17"/>
      <c r="B148" s="17"/>
      <c r="C148" s="17" t="s">
        <v>263</v>
      </c>
      <c r="D148" s="18" t="s">
        <v>264</v>
      </c>
      <c r="E148" s="19">
        <v>2.06</v>
      </c>
      <c r="F148" s="20"/>
      <c r="G148" s="21" t="s">
        <v>13</v>
      </c>
      <c r="H148" s="19">
        <v>1</v>
      </c>
      <c r="I148" s="20">
        <v>2.4700000000000002</v>
      </c>
      <c r="J148" s="19"/>
      <c r="K148" s="20"/>
    </row>
    <row r="149" spans="1:11" ht="14" x14ac:dyDescent="0.25">
      <c r="C149" s="22" t="s">
        <v>265</v>
      </c>
      <c r="H149" s="143">
        <v>80.88</v>
      </c>
      <c r="I149" s="143"/>
      <c r="J149" s="143">
        <v>4574.1000000000004</v>
      </c>
      <c r="K149" s="143"/>
    </row>
    <row r="150" spans="1:11" ht="14" x14ac:dyDescent="0.25">
      <c r="C150" s="22" t="s">
        <v>267</v>
      </c>
      <c r="H150" s="141">
        <v>80.88</v>
      </c>
      <c r="I150" s="141"/>
      <c r="J150" s="141">
        <v>4574.1000000000004</v>
      </c>
      <c r="K150" s="141"/>
    </row>
    <row r="152" spans="1:11" ht="126" x14ac:dyDescent="0.25">
      <c r="A152" s="17">
        <v>23</v>
      </c>
      <c r="B152" s="17" t="s">
        <v>810</v>
      </c>
      <c r="C152" s="17" t="s">
        <v>743</v>
      </c>
      <c r="D152" s="18" t="s">
        <v>38</v>
      </c>
      <c r="E152" s="19">
        <v>1</v>
      </c>
      <c r="F152" s="20">
        <v>464.74</v>
      </c>
      <c r="G152" s="21" t="s">
        <v>1</v>
      </c>
      <c r="H152" s="19">
        <v>1</v>
      </c>
      <c r="I152" s="20">
        <v>464.74</v>
      </c>
      <c r="J152" s="19">
        <v>7.36</v>
      </c>
      <c r="K152" s="20">
        <v>3420.49</v>
      </c>
    </row>
    <row r="153" spans="1:11" ht="14" x14ac:dyDescent="0.25">
      <c r="C153" s="22" t="s">
        <v>267</v>
      </c>
      <c r="H153" s="143">
        <v>464.74</v>
      </c>
      <c r="I153" s="143"/>
      <c r="J153" s="143">
        <v>3420.49</v>
      </c>
      <c r="K153" s="143"/>
    </row>
    <row r="155" spans="1:11" ht="56" x14ac:dyDescent="0.25">
      <c r="A155" s="17">
        <v>24</v>
      </c>
      <c r="B155" s="17" t="s">
        <v>811</v>
      </c>
      <c r="C155" s="17" t="s">
        <v>744</v>
      </c>
      <c r="D155" s="18" t="s">
        <v>38</v>
      </c>
      <c r="E155" s="19">
        <v>33</v>
      </c>
      <c r="F155" s="20">
        <v>14.26</v>
      </c>
      <c r="G155" s="21" t="s">
        <v>1</v>
      </c>
      <c r="H155" s="19">
        <v>1</v>
      </c>
      <c r="I155" s="20">
        <v>470.58</v>
      </c>
      <c r="J155" s="19">
        <v>23.47</v>
      </c>
      <c r="K155" s="20">
        <v>11044.51</v>
      </c>
    </row>
    <row r="156" spans="1:11" ht="14" x14ac:dyDescent="0.25">
      <c r="C156" s="22" t="s">
        <v>267</v>
      </c>
      <c r="H156" s="143">
        <v>470.58</v>
      </c>
      <c r="I156" s="143"/>
      <c r="J156" s="143">
        <v>11044.51</v>
      </c>
      <c r="K156" s="143"/>
    </row>
    <row r="158" spans="1:11" ht="56" x14ac:dyDescent="0.25">
      <c r="A158" s="17">
        <v>25</v>
      </c>
      <c r="B158" s="17" t="s">
        <v>552</v>
      </c>
      <c r="C158" s="17" t="s">
        <v>467</v>
      </c>
      <c r="D158" s="18" t="s">
        <v>38</v>
      </c>
      <c r="E158" s="19">
        <v>33</v>
      </c>
      <c r="F158" s="20">
        <v>17.59</v>
      </c>
      <c r="G158" s="21" t="s">
        <v>1</v>
      </c>
      <c r="H158" s="19">
        <v>1</v>
      </c>
      <c r="I158" s="20">
        <v>580.47</v>
      </c>
      <c r="J158" s="19">
        <v>7.1</v>
      </c>
      <c r="K158" s="20">
        <v>4121.34</v>
      </c>
    </row>
    <row r="159" spans="1:11" ht="14" x14ac:dyDescent="0.25">
      <c r="C159" s="22" t="s">
        <v>267</v>
      </c>
      <c r="H159" s="143">
        <v>580.47</v>
      </c>
      <c r="I159" s="143"/>
      <c r="J159" s="143">
        <v>4121.34</v>
      </c>
      <c r="K159" s="143"/>
    </row>
    <row r="161" spans="1:11" ht="112" x14ac:dyDescent="0.25">
      <c r="A161" s="17">
        <v>26</v>
      </c>
      <c r="B161" s="17" t="s">
        <v>812</v>
      </c>
      <c r="C161" s="17" t="s">
        <v>745</v>
      </c>
      <c r="D161" s="18" t="s">
        <v>38</v>
      </c>
      <c r="E161" s="19">
        <v>6</v>
      </c>
      <c r="F161" s="20">
        <v>24.61</v>
      </c>
      <c r="G161" s="21" t="s">
        <v>1</v>
      </c>
      <c r="H161" s="19">
        <v>1</v>
      </c>
      <c r="I161" s="20">
        <v>147.66</v>
      </c>
      <c r="J161" s="19">
        <v>37.04</v>
      </c>
      <c r="K161" s="20">
        <v>5469.33</v>
      </c>
    </row>
    <row r="162" spans="1:11" ht="14" x14ac:dyDescent="0.25">
      <c r="C162" s="22" t="s">
        <v>267</v>
      </c>
      <c r="H162" s="143">
        <v>147.66</v>
      </c>
      <c r="I162" s="143"/>
      <c r="J162" s="143">
        <v>5469.33</v>
      </c>
      <c r="K162" s="143"/>
    </row>
    <row r="164" spans="1:11" ht="112" x14ac:dyDescent="0.25">
      <c r="A164" s="17">
        <v>27</v>
      </c>
      <c r="B164" s="17" t="s">
        <v>813</v>
      </c>
      <c r="C164" s="17" t="s">
        <v>746</v>
      </c>
      <c r="D164" s="18" t="s">
        <v>38</v>
      </c>
      <c r="E164" s="19">
        <v>2</v>
      </c>
      <c r="F164" s="20">
        <v>47.15</v>
      </c>
      <c r="G164" s="21" t="s">
        <v>1</v>
      </c>
      <c r="H164" s="19">
        <v>1</v>
      </c>
      <c r="I164" s="20">
        <v>94.3</v>
      </c>
      <c r="J164" s="19">
        <v>55.69</v>
      </c>
      <c r="K164" s="20">
        <v>5251.57</v>
      </c>
    </row>
    <row r="165" spans="1:11" ht="14" x14ac:dyDescent="0.25">
      <c r="C165" s="22" t="s">
        <v>267</v>
      </c>
      <c r="H165" s="143">
        <v>94.3</v>
      </c>
      <c r="I165" s="143"/>
      <c r="J165" s="143">
        <v>5251.57</v>
      </c>
      <c r="K165" s="143"/>
    </row>
    <row r="167" spans="1:11" ht="56" x14ac:dyDescent="0.25">
      <c r="A167" s="17">
        <v>28</v>
      </c>
      <c r="B167" s="17" t="s">
        <v>552</v>
      </c>
      <c r="C167" s="17" t="s">
        <v>467</v>
      </c>
      <c r="D167" s="18" t="s">
        <v>38</v>
      </c>
      <c r="E167" s="19">
        <v>6</v>
      </c>
      <c r="F167" s="20">
        <v>17.59</v>
      </c>
      <c r="G167" s="21" t="s">
        <v>1</v>
      </c>
      <c r="H167" s="19">
        <v>1</v>
      </c>
      <c r="I167" s="20">
        <v>105.54</v>
      </c>
      <c r="J167" s="19">
        <v>7.1</v>
      </c>
      <c r="K167" s="20">
        <v>749.33</v>
      </c>
    </row>
    <row r="168" spans="1:11" ht="14" x14ac:dyDescent="0.25">
      <c r="C168" s="22" t="s">
        <v>267</v>
      </c>
      <c r="H168" s="143">
        <v>105.54</v>
      </c>
      <c r="I168" s="143"/>
      <c r="J168" s="143">
        <v>749.33</v>
      </c>
      <c r="K168" s="143"/>
    </row>
    <row r="170" spans="1:11" ht="56" x14ac:dyDescent="0.25">
      <c r="A170" s="17">
        <v>29</v>
      </c>
      <c r="B170" s="17" t="s">
        <v>814</v>
      </c>
      <c r="C170" s="17" t="s">
        <v>747</v>
      </c>
      <c r="D170" s="18" t="s">
        <v>38</v>
      </c>
      <c r="E170" s="19">
        <v>2</v>
      </c>
      <c r="F170" s="20">
        <v>210.17</v>
      </c>
      <c r="G170" s="21" t="s">
        <v>1</v>
      </c>
      <c r="H170" s="19">
        <v>1</v>
      </c>
      <c r="I170" s="20">
        <v>420.34</v>
      </c>
      <c r="J170" s="19">
        <v>3.24</v>
      </c>
      <c r="K170" s="20">
        <v>1361.9</v>
      </c>
    </row>
    <row r="171" spans="1:11" ht="14" x14ac:dyDescent="0.25">
      <c r="C171" s="22" t="s">
        <v>267</v>
      </c>
      <c r="H171" s="143">
        <v>420.34</v>
      </c>
      <c r="I171" s="143"/>
      <c r="J171" s="143">
        <v>1361.9</v>
      </c>
      <c r="K171" s="143"/>
    </row>
    <row r="173" spans="1:11" ht="144" x14ac:dyDescent="0.25">
      <c r="A173" s="10">
        <v>30</v>
      </c>
      <c r="B173" s="10" t="s">
        <v>748</v>
      </c>
      <c r="C173" s="10" t="s">
        <v>749</v>
      </c>
      <c r="D173" s="12" t="s">
        <v>575</v>
      </c>
      <c r="E173" s="11">
        <v>1</v>
      </c>
      <c r="F173" s="14"/>
      <c r="G173" s="13"/>
      <c r="H173" s="11"/>
      <c r="I173" s="14"/>
      <c r="J173" s="11"/>
      <c r="K173" s="14"/>
    </row>
    <row r="174" spans="1:11" x14ac:dyDescent="0.25">
      <c r="C174" s="23" t="s">
        <v>815</v>
      </c>
    </row>
    <row r="175" spans="1:11" ht="14.5" x14ac:dyDescent="0.25">
      <c r="A175" s="10"/>
      <c r="B175" s="10"/>
      <c r="C175" s="10" t="s">
        <v>256</v>
      </c>
      <c r="D175" s="12"/>
      <c r="E175" s="11"/>
      <c r="F175" s="14">
        <v>370.95</v>
      </c>
      <c r="G175" s="15" t="s">
        <v>460</v>
      </c>
      <c r="H175" s="11">
        <v>1</v>
      </c>
      <c r="I175" s="14">
        <v>511.91</v>
      </c>
      <c r="J175" s="11">
        <v>57.05</v>
      </c>
      <c r="K175" s="14">
        <v>29204.47</v>
      </c>
    </row>
    <row r="176" spans="1:11" ht="14.5" x14ac:dyDescent="0.25">
      <c r="A176" s="10"/>
      <c r="B176" s="10"/>
      <c r="C176" s="10" t="s">
        <v>257</v>
      </c>
      <c r="D176" s="12"/>
      <c r="E176" s="11"/>
      <c r="F176" s="14">
        <v>41.95</v>
      </c>
      <c r="G176" s="15" t="s">
        <v>461</v>
      </c>
      <c r="H176" s="11">
        <v>1</v>
      </c>
      <c r="I176" s="14">
        <v>62.93</v>
      </c>
      <c r="J176" s="11">
        <v>16.73</v>
      </c>
      <c r="K176" s="14">
        <v>1052.82</v>
      </c>
    </row>
    <row r="177" spans="1:11" ht="14.5" x14ac:dyDescent="0.25">
      <c r="A177" s="10"/>
      <c r="B177" s="10"/>
      <c r="C177" s="10" t="s">
        <v>258</v>
      </c>
      <c r="D177" s="12"/>
      <c r="E177" s="11"/>
      <c r="F177" s="14">
        <v>5.6</v>
      </c>
      <c r="G177" s="15" t="s">
        <v>461</v>
      </c>
      <c r="H177" s="11">
        <v>1</v>
      </c>
      <c r="I177" s="16">
        <v>8.4</v>
      </c>
      <c r="J177" s="11">
        <v>57.05</v>
      </c>
      <c r="K177" s="16">
        <v>479.22</v>
      </c>
    </row>
    <row r="178" spans="1:11" ht="14.5" x14ac:dyDescent="0.25">
      <c r="A178" s="10"/>
      <c r="B178" s="10"/>
      <c r="C178" s="10" t="s">
        <v>259</v>
      </c>
      <c r="D178" s="12"/>
      <c r="E178" s="11"/>
      <c r="F178" s="14">
        <v>32.17</v>
      </c>
      <c r="G178" s="15" t="s">
        <v>1</v>
      </c>
      <c r="H178" s="11">
        <v>1</v>
      </c>
      <c r="I178" s="14">
        <v>32.17</v>
      </c>
      <c r="J178" s="11">
        <v>6.68</v>
      </c>
      <c r="K178" s="14">
        <v>214.9</v>
      </c>
    </row>
    <row r="179" spans="1:11" ht="56" x14ac:dyDescent="0.25">
      <c r="A179" s="10" t="s">
        <v>750</v>
      </c>
      <c r="B179" s="10" t="s">
        <v>816</v>
      </c>
      <c r="C179" s="10" t="s">
        <v>751</v>
      </c>
      <c r="D179" s="12" t="s">
        <v>52</v>
      </c>
      <c r="E179" s="11">
        <v>100</v>
      </c>
      <c r="F179" s="14">
        <v>30.14</v>
      </c>
      <c r="G179" s="15" t="s">
        <v>1</v>
      </c>
      <c r="H179" s="11">
        <v>1</v>
      </c>
      <c r="I179" s="14">
        <v>3014</v>
      </c>
      <c r="J179" s="11">
        <v>11.26</v>
      </c>
      <c r="K179" s="14">
        <v>33937.64</v>
      </c>
    </row>
    <row r="180" spans="1:11" ht="14.5" x14ac:dyDescent="0.25">
      <c r="A180" s="10"/>
      <c r="B180" s="10"/>
      <c r="C180" s="10" t="s">
        <v>260</v>
      </c>
      <c r="D180" s="12" t="s">
        <v>261</v>
      </c>
      <c r="E180" s="11">
        <v>109</v>
      </c>
      <c r="F180" s="14"/>
      <c r="G180" s="13"/>
      <c r="H180" s="11"/>
      <c r="I180" s="14">
        <v>567.14</v>
      </c>
      <c r="J180" s="11">
        <v>109</v>
      </c>
      <c r="K180" s="14">
        <v>32355.22</v>
      </c>
    </row>
    <row r="181" spans="1:11" ht="14.5" x14ac:dyDescent="0.25">
      <c r="A181" s="10"/>
      <c r="B181" s="10"/>
      <c r="C181" s="10" t="s">
        <v>262</v>
      </c>
      <c r="D181" s="12" t="s">
        <v>261</v>
      </c>
      <c r="E181" s="11">
        <v>61</v>
      </c>
      <c r="F181" s="14"/>
      <c r="G181" s="13"/>
      <c r="H181" s="11"/>
      <c r="I181" s="14">
        <v>317.39</v>
      </c>
      <c r="J181" s="11">
        <v>61</v>
      </c>
      <c r="K181" s="14">
        <v>18107.05</v>
      </c>
    </row>
    <row r="182" spans="1:11" ht="14.5" x14ac:dyDescent="0.25">
      <c r="A182" s="17"/>
      <c r="B182" s="17"/>
      <c r="C182" s="17" t="s">
        <v>263</v>
      </c>
      <c r="D182" s="18" t="s">
        <v>264</v>
      </c>
      <c r="E182" s="19">
        <v>29.7</v>
      </c>
      <c r="F182" s="20"/>
      <c r="G182" s="21" t="s">
        <v>460</v>
      </c>
      <c r="H182" s="19">
        <v>1</v>
      </c>
      <c r="I182" s="20">
        <v>40.99</v>
      </c>
      <c r="J182" s="19"/>
      <c r="K182" s="20"/>
    </row>
    <row r="183" spans="1:11" ht="14" x14ac:dyDescent="0.25">
      <c r="C183" s="22" t="s">
        <v>265</v>
      </c>
      <c r="H183" s="143">
        <v>4505.54</v>
      </c>
      <c r="I183" s="143"/>
      <c r="J183" s="143">
        <v>114872.1</v>
      </c>
      <c r="K183" s="143"/>
    </row>
    <row r="184" spans="1:11" ht="14" x14ac:dyDescent="0.25">
      <c r="C184" s="22" t="s">
        <v>267</v>
      </c>
      <c r="H184" s="141">
        <v>4505.54</v>
      </c>
      <c r="I184" s="141"/>
      <c r="J184" s="141">
        <v>114872.1</v>
      </c>
      <c r="K184" s="141"/>
    </row>
    <row r="186" spans="1:11" ht="144" x14ac:dyDescent="0.25">
      <c r="A186" s="10">
        <v>31</v>
      </c>
      <c r="B186" s="10" t="s">
        <v>752</v>
      </c>
      <c r="C186" s="10" t="s">
        <v>753</v>
      </c>
      <c r="D186" s="12" t="s">
        <v>575</v>
      </c>
      <c r="E186" s="11">
        <v>0.1</v>
      </c>
      <c r="F186" s="14"/>
      <c r="G186" s="13"/>
      <c r="H186" s="11"/>
      <c r="I186" s="14"/>
      <c r="J186" s="11"/>
      <c r="K186" s="14"/>
    </row>
    <row r="187" spans="1:11" x14ac:dyDescent="0.25">
      <c r="C187" s="23" t="s">
        <v>817</v>
      </c>
    </row>
    <row r="188" spans="1:11" ht="14.5" x14ac:dyDescent="0.25">
      <c r="A188" s="10"/>
      <c r="B188" s="10"/>
      <c r="C188" s="10" t="s">
        <v>256</v>
      </c>
      <c r="D188" s="12"/>
      <c r="E188" s="11"/>
      <c r="F188" s="14">
        <v>370.95</v>
      </c>
      <c r="G188" s="15" t="s">
        <v>460</v>
      </c>
      <c r="H188" s="11">
        <v>1</v>
      </c>
      <c r="I188" s="14">
        <v>51.19</v>
      </c>
      <c r="J188" s="11">
        <v>57.05</v>
      </c>
      <c r="K188" s="14">
        <v>2920.39</v>
      </c>
    </row>
    <row r="189" spans="1:11" ht="14.5" x14ac:dyDescent="0.25">
      <c r="A189" s="10"/>
      <c r="B189" s="10"/>
      <c r="C189" s="10" t="s">
        <v>257</v>
      </c>
      <c r="D189" s="12"/>
      <c r="E189" s="11"/>
      <c r="F189" s="14">
        <v>41.95</v>
      </c>
      <c r="G189" s="15" t="s">
        <v>461</v>
      </c>
      <c r="H189" s="11">
        <v>1</v>
      </c>
      <c r="I189" s="14">
        <v>6.29</v>
      </c>
      <c r="J189" s="11">
        <v>16.73</v>
      </c>
      <c r="K189" s="14">
        <v>105.23</v>
      </c>
    </row>
    <row r="190" spans="1:11" ht="14.5" x14ac:dyDescent="0.25">
      <c r="A190" s="10"/>
      <c r="B190" s="10"/>
      <c r="C190" s="10" t="s">
        <v>258</v>
      </c>
      <c r="D190" s="12"/>
      <c r="E190" s="11"/>
      <c r="F190" s="14">
        <v>5.6</v>
      </c>
      <c r="G190" s="15" t="s">
        <v>461</v>
      </c>
      <c r="H190" s="11">
        <v>1</v>
      </c>
      <c r="I190" s="16">
        <v>0.84</v>
      </c>
      <c r="J190" s="11">
        <v>57.05</v>
      </c>
      <c r="K190" s="16">
        <v>47.92</v>
      </c>
    </row>
    <row r="191" spans="1:11" ht="14.5" x14ac:dyDescent="0.25">
      <c r="A191" s="10"/>
      <c r="B191" s="10"/>
      <c r="C191" s="10" t="s">
        <v>259</v>
      </c>
      <c r="D191" s="12"/>
      <c r="E191" s="11"/>
      <c r="F191" s="14">
        <v>32.51</v>
      </c>
      <c r="G191" s="15" t="s">
        <v>1</v>
      </c>
      <c r="H191" s="11">
        <v>1</v>
      </c>
      <c r="I191" s="14">
        <v>3.25</v>
      </c>
      <c r="J191" s="11">
        <v>6.69</v>
      </c>
      <c r="K191" s="14">
        <v>21.74</v>
      </c>
    </row>
    <row r="192" spans="1:11" ht="56" x14ac:dyDescent="0.25">
      <c r="A192" s="10" t="s">
        <v>754</v>
      </c>
      <c r="B192" s="10" t="s">
        <v>818</v>
      </c>
      <c r="C192" s="10" t="s">
        <v>755</v>
      </c>
      <c r="D192" s="12" t="s">
        <v>52</v>
      </c>
      <c r="E192" s="11">
        <v>10</v>
      </c>
      <c r="F192" s="14">
        <v>31.31</v>
      </c>
      <c r="G192" s="15" t="s">
        <v>1</v>
      </c>
      <c r="H192" s="11">
        <v>1</v>
      </c>
      <c r="I192" s="14">
        <v>313.10000000000002</v>
      </c>
      <c r="J192" s="11">
        <v>11.72</v>
      </c>
      <c r="K192" s="14">
        <v>3669.53</v>
      </c>
    </row>
    <row r="193" spans="1:11" ht="14.5" x14ac:dyDescent="0.25">
      <c r="A193" s="10"/>
      <c r="B193" s="10"/>
      <c r="C193" s="10" t="s">
        <v>260</v>
      </c>
      <c r="D193" s="12" t="s">
        <v>261</v>
      </c>
      <c r="E193" s="11">
        <v>109</v>
      </c>
      <c r="F193" s="14"/>
      <c r="G193" s="13"/>
      <c r="H193" s="11"/>
      <c r="I193" s="14">
        <v>56.71</v>
      </c>
      <c r="J193" s="11">
        <v>109</v>
      </c>
      <c r="K193" s="14">
        <v>3235.46</v>
      </c>
    </row>
    <row r="194" spans="1:11" ht="14.5" x14ac:dyDescent="0.25">
      <c r="A194" s="10"/>
      <c r="B194" s="10"/>
      <c r="C194" s="10" t="s">
        <v>262</v>
      </c>
      <c r="D194" s="12" t="s">
        <v>261</v>
      </c>
      <c r="E194" s="11">
        <v>61</v>
      </c>
      <c r="F194" s="14"/>
      <c r="G194" s="13"/>
      <c r="H194" s="11"/>
      <c r="I194" s="14">
        <v>31.74</v>
      </c>
      <c r="J194" s="11">
        <v>61</v>
      </c>
      <c r="K194" s="14">
        <v>1810.67</v>
      </c>
    </row>
    <row r="195" spans="1:11" ht="14.5" x14ac:dyDescent="0.25">
      <c r="A195" s="17"/>
      <c r="B195" s="17"/>
      <c r="C195" s="17" t="s">
        <v>263</v>
      </c>
      <c r="D195" s="18" t="s">
        <v>264</v>
      </c>
      <c r="E195" s="19">
        <v>29.7</v>
      </c>
      <c r="F195" s="20"/>
      <c r="G195" s="21" t="s">
        <v>460</v>
      </c>
      <c r="H195" s="19">
        <v>1</v>
      </c>
      <c r="I195" s="20">
        <v>4.0999999999999996</v>
      </c>
      <c r="J195" s="19"/>
      <c r="K195" s="20"/>
    </row>
    <row r="196" spans="1:11" ht="14" x14ac:dyDescent="0.25">
      <c r="C196" s="22" t="s">
        <v>265</v>
      </c>
      <c r="H196" s="143">
        <v>462.28</v>
      </c>
      <c r="I196" s="143"/>
      <c r="J196" s="143">
        <v>11763.02</v>
      </c>
      <c r="K196" s="143"/>
    </row>
    <row r="197" spans="1:11" ht="14" x14ac:dyDescent="0.25">
      <c r="C197" s="22" t="s">
        <v>267</v>
      </c>
      <c r="H197" s="141">
        <v>462.28</v>
      </c>
      <c r="I197" s="141"/>
      <c r="J197" s="141">
        <v>11763.02</v>
      </c>
      <c r="K197" s="141"/>
    </row>
    <row r="199" spans="1:11" ht="144" x14ac:dyDescent="0.25">
      <c r="A199" s="10">
        <v>32</v>
      </c>
      <c r="B199" s="10" t="s">
        <v>756</v>
      </c>
      <c r="C199" s="10" t="s">
        <v>757</v>
      </c>
      <c r="D199" s="12" t="s">
        <v>575</v>
      </c>
      <c r="E199" s="11">
        <v>0.1</v>
      </c>
      <c r="F199" s="14"/>
      <c r="G199" s="13"/>
      <c r="H199" s="11"/>
      <c r="I199" s="14"/>
      <c r="J199" s="11"/>
      <c r="K199" s="14"/>
    </row>
    <row r="200" spans="1:11" x14ac:dyDescent="0.25">
      <c r="C200" s="23" t="s">
        <v>817</v>
      </c>
    </row>
    <row r="201" spans="1:11" ht="14.5" x14ac:dyDescent="0.25">
      <c r="A201" s="10"/>
      <c r="B201" s="10"/>
      <c r="C201" s="10" t="s">
        <v>256</v>
      </c>
      <c r="D201" s="12"/>
      <c r="E201" s="11"/>
      <c r="F201" s="14">
        <v>370.95</v>
      </c>
      <c r="G201" s="15" t="s">
        <v>460</v>
      </c>
      <c r="H201" s="11">
        <v>1</v>
      </c>
      <c r="I201" s="14">
        <v>51.19</v>
      </c>
      <c r="J201" s="11">
        <v>57.05</v>
      </c>
      <c r="K201" s="14">
        <v>2920.39</v>
      </c>
    </row>
    <row r="202" spans="1:11" ht="14.5" x14ac:dyDescent="0.25">
      <c r="A202" s="10"/>
      <c r="B202" s="10"/>
      <c r="C202" s="10" t="s">
        <v>257</v>
      </c>
      <c r="D202" s="12"/>
      <c r="E202" s="11"/>
      <c r="F202" s="14">
        <v>41.95</v>
      </c>
      <c r="G202" s="15" t="s">
        <v>461</v>
      </c>
      <c r="H202" s="11">
        <v>1</v>
      </c>
      <c r="I202" s="14">
        <v>6.29</v>
      </c>
      <c r="J202" s="11">
        <v>16.73</v>
      </c>
      <c r="K202" s="14">
        <v>105.23</v>
      </c>
    </row>
    <row r="203" spans="1:11" ht="14.5" x14ac:dyDescent="0.25">
      <c r="A203" s="10"/>
      <c r="B203" s="10"/>
      <c r="C203" s="10" t="s">
        <v>258</v>
      </c>
      <c r="D203" s="12"/>
      <c r="E203" s="11"/>
      <c r="F203" s="14">
        <v>5.6</v>
      </c>
      <c r="G203" s="15" t="s">
        <v>461</v>
      </c>
      <c r="H203" s="11">
        <v>1</v>
      </c>
      <c r="I203" s="16">
        <v>0.84</v>
      </c>
      <c r="J203" s="11">
        <v>57.05</v>
      </c>
      <c r="K203" s="16">
        <v>47.92</v>
      </c>
    </row>
    <row r="204" spans="1:11" ht="14.5" x14ac:dyDescent="0.25">
      <c r="A204" s="10"/>
      <c r="B204" s="10"/>
      <c r="C204" s="10" t="s">
        <v>259</v>
      </c>
      <c r="D204" s="12"/>
      <c r="E204" s="11"/>
      <c r="F204" s="14">
        <v>32.96</v>
      </c>
      <c r="G204" s="15" t="s">
        <v>1</v>
      </c>
      <c r="H204" s="11">
        <v>1</v>
      </c>
      <c r="I204" s="14">
        <v>3.3</v>
      </c>
      <c r="J204" s="11">
        <v>6.7</v>
      </c>
      <c r="K204" s="14">
        <v>22.11</v>
      </c>
    </row>
    <row r="205" spans="1:11" ht="56" x14ac:dyDescent="0.25">
      <c r="A205" s="10" t="s">
        <v>502</v>
      </c>
      <c r="B205" s="10" t="s">
        <v>819</v>
      </c>
      <c r="C205" s="10" t="s">
        <v>758</v>
      </c>
      <c r="D205" s="12" t="s">
        <v>52</v>
      </c>
      <c r="E205" s="11">
        <v>10</v>
      </c>
      <c r="F205" s="14">
        <v>31.73</v>
      </c>
      <c r="G205" s="15" t="s">
        <v>1</v>
      </c>
      <c r="H205" s="11">
        <v>1</v>
      </c>
      <c r="I205" s="14">
        <v>317.3</v>
      </c>
      <c r="J205" s="11">
        <v>14.47</v>
      </c>
      <c r="K205" s="14">
        <v>4591.33</v>
      </c>
    </row>
    <row r="206" spans="1:11" ht="14.5" x14ac:dyDescent="0.25">
      <c r="A206" s="10"/>
      <c r="B206" s="10"/>
      <c r="C206" s="10" t="s">
        <v>260</v>
      </c>
      <c r="D206" s="12" t="s">
        <v>261</v>
      </c>
      <c r="E206" s="11">
        <v>109</v>
      </c>
      <c r="F206" s="14"/>
      <c r="G206" s="13"/>
      <c r="H206" s="11"/>
      <c r="I206" s="14">
        <v>56.71</v>
      </c>
      <c r="J206" s="11">
        <v>109</v>
      </c>
      <c r="K206" s="14">
        <v>3235.46</v>
      </c>
    </row>
    <row r="207" spans="1:11" ht="14.5" x14ac:dyDescent="0.25">
      <c r="A207" s="10"/>
      <c r="B207" s="10"/>
      <c r="C207" s="10" t="s">
        <v>262</v>
      </c>
      <c r="D207" s="12" t="s">
        <v>261</v>
      </c>
      <c r="E207" s="11">
        <v>61</v>
      </c>
      <c r="F207" s="14"/>
      <c r="G207" s="13"/>
      <c r="H207" s="11"/>
      <c r="I207" s="14">
        <v>31.74</v>
      </c>
      <c r="J207" s="11">
        <v>61</v>
      </c>
      <c r="K207" s="14">
        <v>1810.67</v>
      </c>
    </row>
    <row r="208" spans="1:11" ht="14.5" x14ac:dyDescent="0.25">
      <c r="A208" s="17"/>
      <c r="B208" s="17"/>
      <c r="C208" s="17" t="s">
        <v>263</v>
      </c>
      <c r="D208" s="18" t="s">
        <v>264</v>
      </c>
      <c r="E208" s="19">
        <v>29.7</v>
      </c>
      <c r="F208" s="20"/>
      <c r="G208" s="21" t="s">
        <v>460</v>
      </c>
      <c r="H208" s="19">
        <v>1</v>
      </c>
      <c r="I208" s="20">
        <v>4.0999999999999996</v>
      </c>
      <c r="J208" s="19"/>
      <c r="K208" s="20"/>
    </row>
    <row r="209" spans="1:11" ht="14" x14ac:dyDescent="0.25">
      <c r="C209" s="22" t="s">
        <v>265</v>
      </c>
      <c r="H209" s="143">
        <v>466.53</v>
      </c>
      <c r="I209" s="143"/>
      <c r="J209" s="143">
        <v>12685.19</v>
      </c>
      <c r="K209" s="143"/>
    </row>
    <row r="210" spans="1:11" ht="14" x14ac:dyDescent="0.25">
      <c r="C210" s="22" t="s">
        <v>267</v>
      </c>
      <c r="H210" s="141">
        <v>466.53</v>
      </c>
      <c r="I210" s="141"/>
      <c r="J210" s="141">
        <v>12685.19</v>
      </c>
      <c r="K210" s="141"/>
    </row>
    <row r="212" spans="1:11" ht="144" x14ac:dyDescent="0.25">
      <c r="A212" s="10">
        <v>33</v>
      </c>
      <c r="B212" s="10" t="s">
        <v>759</v>
      </c>
      <c r="C212" s="10" t="s">
        <v>760</v>
      </c>
      <c r="D212" s="12" t="s">
        <v>575</v>
      </c>
      <c r="E212" s="11">
        <v>0.06</v>
      </c>
      <c r="F212" s="14"/>
      <c r="G212" s="13"/>
      <c r="H212" s="11"/>
      <c r="I212" s="14"/>
      <c r="J212" s="11"/>
      <c r="K212" s="14"/>
    </row>
    <row r="213" spans="1:11" x14ac:dyDescent="0.25">
      <c r="C213" s="23" t="s">
        <v>397</v>
      </c>
    </row>
    <row r="214" spans="1:11" ht="14.5" x14ac:dyDescent="0.25">
      <c r="A214" s="10"/>
      <c r="B214" s="10"/>
      <c r="C214" s="10" t="s">
        <v>256</v>
      </c>
      <c r="D214" s="12"/>
      <c r="E214" s="11"/>
      <c r="F214" s="14">
        <v>370.95</v>
      </c>
      <c r="G214" s="15" t="s">
        <v>460</v>
      </c>
      <c r="H214" s="11">
        <v>1</v>
      </c>
      <c r="I214" s="14">
        <v>30.71</v>
      </c>
      <c r="J214" s="11">
        <v>57.05</v>
      </c>
      <c r="K214" s="14">
        <v>1752.01</v>
      </c>
    </row>
    <row r="215" spans="1:11" ht="14.5" x14ac:dyDescent="0.25">
      <c r="A215" s="10"/>
      <c r="B215" s="10"/>
      <c r="C215" s="10" t="s">
        <v>257</v>
      </c>
      <c r="D215" s="12"/>
      <c r="E215" s="11"/>
      <c r="F215" s="14">
        <v>41.95</v>
      </c>
      <c r="G215" s="15" t="s">
        <v>461</v>
      </c>
      <c r="H215" s="11">
        <v>1</v>
      </c>
      <c r="I215" s="14">
        <v>3.78</v>
      </c>
      <c r="J215" s="11">
        <v>16.73</v>
      </c>
      <c r="K215" s="14">
        <v>63.24</v>
      </c>
    </row>
    <row r="216" spans="1:11" ht="14.5" x14ac:dyDescent="0.25">
      <c r="A216" s="10"/>
      <c r="B216" s="10"/>
      <c r="C216" s="10" t="s">
        <v>258</v>
      </c>
      <c r="D216" s="12"/>
      <c r="E216" s="11"/>
      <c r="F216" s="14">
        <v>5.6</v>
      </c>
      <c r="G216" s="15" t="s">
        <v>461</v>
      </c>
      <c r="H216" s="11">
        <v>1</v>
      </c>
      <c r="I216" s="16">
        <v>0.5</v>
      </c>
      <c r="J216" s="11">
        <v>57.05</v>
      </c>
      <c r="K216" s="16">
        <v>28.53</v>
      </c>
    </row>
    <row r="217" spans="1:11" ht="14.5" x14ac:dyDescent="0.25">
      <c r="A217" s="10"/>
      <c r="B217" s="10"/>
      <c r="C217" s="10" t="s">
        <v>259</v>
      </c>
      <c r="D217" s="12"/>
      <c r="E217" s="11"/>
      <c r="F217" s="14">
        <v>33.74</v>
      </c>
      <c r="G217" s="15" t="s">
        <v>1</v>
      </c>
      <c r="H217" s="11">
        <v>1</v>
      </c>
      <c r="I217" s="14">
        <v>2.02</v>
      </c>
      <c r="J217" s="11">
        <v>6.73</v>
      </c>
      <c r="K217" s="14">
        <v>13.59</v>
      </c>
    </row>
    <row r="218" spans="1:11" ht="56" x14ac:dyDescent="0.25">
      <c r="A218" s="10" t="s">
        <v>761</v>
      </c>
      <c r="B218" s="10" t="s">
        <v>820</v>
      </c>
      <c r="C218" s="10" t="s">
        <v>762</v>
      </c>
      <c r="D218" s="12" t="s">
        <v>52</v>
      </c>
      <c r="E218" s="11">
        <v>6</v>
      </c>
      <c r="F218" s="14">
        <v>33.29</v>
      </c>
      <c r="G218" s="15" t="s">
        <v>1</v>
      </c>
      <c r="H218" s="11">
        <v>1</v>
      </c>
      <c r="I218" s="14">
        <v>199.74</v>
      </c>
      <c r="J218" s="11">
        <v>16.489999999999998</v>
      </c>
      <c r="K218" s="14">
        <v>3293.71</v>
      </c>
    </row>
    <row r="219" spans="1:11" ht="14.5" x14ac:dyDescent="0.25">
      <c r="A219" s="10"/>
      <c r="B219" s="10"/>
      <c r="C219" s="10" t="s">
        <v>260</v>
      </c>
      <c r="D219" s="12" t="s">
        <v>261</v>
      </c>
      <c r="E219" s="11">
        <v>109</v>
      </c>
      <c r="F219" s="14"/>
      <c r="G219" s="13"/>
      <c r="H219" s="11"/>
      <c r="I219" s="14">
        <v>34.020000000000003</v>
      </c>
      <c r="J219" s="11">
        <v>109</v>
      </c>
      <c r="K219" s="14">
        <v>1940.79</v>
      </c>
    </row>
    <row r="220" spans="1:11" ht="14.5" x14ac:dyDescent="0.25">
      <c r="A220" s="10"/>
      <c r="B220" s="10"/>
      <c r="C220" s="10" t="s">
        <v>262</v>
      </c>
      <c r="D220" s="12" t="s">
        <v>261</v>
      </c>
      <c r="E220" s="11">
        <v>61</v>
      </c>
      <c r="F220" s="14"/>
      <c r="G220" s="13"/>
      <c r="H220" s="11"/>
      <c r="I220" s="14">
        <v>19.04</v>
      </c>
      <c r="J220" s="11">
        <v>61</v>
      </c>
      <c r="K220" s="14">
        <v>1086.1300000000001</v>
      </c>
    </row>
    <row r="221" spans="1:11" ht="14.5" x14ac:dyDescent="0.25">
      <c r="A221" s="17"/>
      <c r="B221" s="17"/>
      <c r="C221" s="17" t="s">
        <v>263</v>
      </c>
      <c r="D221" s="18" t="s">
        <v>264</v>
      </c>
      <c r="E221" s="19">
        <v>29.7</v>
      </c>
      <c r="F221" s="20"/>
      <c r="G221" s="21" t="s">
        <v>460</v>
      </c>
      <c r="H221" s="19">
        <v>1</v>
      </c>
      <c r="I221" s="20">
        <v>2.46</v>
      </c>
      <c r="J221" s="19"/>
      <c r="K221" s="20"/>
    </row>
    <row r="222" spans="1:11" ht="14" x14ac:dyDescent="0.25">
      <c r="C222" s="22" t="s">
        <v>265</v>
      </c>
      <c r="H222" s="143">
        <v>289.31</v>
      </c>
      <c r="I222" s="143"/>
      <c r="J222" s="143">
        <v>8149.47</v>
      </c>
      <c r="K222" s="143"/>
    </row>
    <row r="223" spans="1:11" ht="14" x14ac:dyDescent="0.25">
      <c r="C223" s="22" t="s">
        <v>267</v>
      </c>
      <c r="H223" s="141">
        <v>289.31</v>
      </c>
      <c r="I223" s="141"/>
      <c r="J223" s="141">
        <v>8149.47</v>
      </c>
      <c r="K223" s="141"/>
    </row>
    <row r="225" spans="1:11" ht="144" x14ac:dyDescent="0.25">
      <c r="A225" s="10">
        <v>34</v>
      </c>
      <c r="B225" s="10" t="s">
        <v>763</v>
      </c>
      <c r="C225" s="10" t="s">
        <v>764</v>
      </c>
      <c r="D225" s="12" t="s">
        <v>575</v>
      </c>
      <c r="E225" s="11">
        <v>0.14000000000000001</v>
      </c>
      <c r="F225" s="14"/>
      <c r="G225" s="13"/>
      <c r="H225" s="11"/>
      <c r="I225" s="14"/>
      <c r="J225" s="11"/>
      <c r="K225" s="14"/>
    </row>
    <row r="226" spans="1:11" x14ac:dyDescent="0.25">
      <c r="C226" s="23" t="s">
        <v>821</v>
      </c>
    </row>
    <row r="227" spans="1:11" ht="14.5" x14ac:dyDescent="0.25">
      <c r="A227" s="10"/>
      <c r="B227" s="10"/>
      <c r="C227" s="10" t="s">
        <v>256</v>
      </c>
      <c r="D227" s="12"/>
      <c r="E227" s="11"/>
      <c r="F227" s="14">
        <v>370.95</v>
      </c>
      <c r="G227" s="15" t="s">
        <v>460</v>
      </c>
      <c r="H227" s="11">
        <v>1</v>
      </c>
      <c r="I227" s="14">
        <v>71.67</v>
      </c>
      <c r="J227" s="11">
        <v>57.05</v>
      </c>
      <c r="K227" s="14">
        <v>4088.77</v>
      </c>
    </row>
    <row r="228" spans="1:11" ht="14.5" x14ac:dyDescent="0.25">
      <c r="A228" s="10"/>
      <c r="B228" s="10"/>
      <c r="C228" s="10" t="s">
        <v>257</v>
      </c>
      <c r="D228" s="12"/>
      <c r="E228" s="11"/>
      <c r="F228" s="14">
        <v>41.95</v>
      </c>
      <c r="G228" s="15" t="s">
        <v>461</v>
      </c>
      <c r="H228" s="11">
        <v>1</v>
      </c>
      <c r="I228" s="14">
        <v>8.81</v>
      </c>
      <c r="J228" s="11">
        <v>16.73</v>
      </c>
      <c r="K228" s="14">
        <v>147.38999999999999</v>
      </c>
    </row>
    <row r="229" spans="1:11" ht="14.5" x14ac:dyDescent="0.25">
      <c r="A229" s="10"/>
      <c r="B229" s="10"/>
      <c r="C229" s="10" t="s">
        <v>258</v>
      </c>
      <c r="D229" s="12"/>
      <c r="E229" s="11"/>
      <c r="F229" s="14">
        <v>5.6</v>
      </c>
      <c r="G229" s="15" t="s">
        <v>461</v>
      </c>
      <c r="H229" s="11">
        <v>1</v>
      </c>
      <c r="I229" s="16">
        <v>1.18</v>
      </c>
      <c r="J229" s="11">
        <v>57.05</v>
      </c>
      <c r="K229" s="16">
        <v>67.319999999999993</v>
      </c>
    </row>
    <row r="230" spans="1:11" ht="14.5" x14ac:dyDescent="0.25">
      <c r="A230" s="10"/>
      <c r="B230" s="10"/>
      <c r="C230" s="10" t="s">
        <v>259</v>
      </c>
      <c r="D230" s="12"/>
      <c r="E230" s="11"/>
      <c r="F230" s="14">
        <v>34.92</v>
      </c>
      <c r="G230" s="15" t="s">
        <v>1</v>
      </c>
      <c r="H230" s="11">
        <v>1</v>
      </c>
      <c r="I230" s="14">
        <v>4.8899999999999997</v>
      </c>
      <c r="J230" s="11">
        <v>6.76</v>
      </c>
      <c r="K230" s="14">
        <v>33.06</v>
      </c>
    </row>
    <row r="231" spans="1:11" ht="56" x14ac:dyDescent="0.25">
      <c r="A231" s="10" t="s">
        <v>765</v>
      </c>
      <c r="B231" s="10" t="s">
        <v>822</v>
      </c>
      <c r="C231" s="10" t="s">
        <v>766</v>
      </c>
      <c r="D231" s="12" t="s">
        <v>52</v>
      </c>
      <c r="E231" s="11">
        <v>14</v>
      </c>
      <c r="F231" s="14">
        <v>35.979999999999997</v>
      </c>
      <c r="G231" s="15" t="s">
        <v>1</v>
      </c>
      <c r="H231" s="11">
        <v>1</v>
      </c>
      <c r="I231" s="14">
        <v>503.72</v>
      </c>
      <c r="J231" s="11">
        <v>24.46</v>
      </c>
      <c r="K231" s="14">
        <v>12320.99</v>
      </c>
    </row>
    <row r="232" spans="1:11" ht="14.5" x14ac:dyDescent="0.25">
      <c r="A232" s="10"/>
      <c r="B232" s="10"/>
      <c r="C232" s="10" t="s">
        <v>260</v>
      </c>
      <c r="D232" s="12" t="s">
        <v>261</v>
      </c>
      <c r="E232" s="11">
        <v>109</v>
      </c>
      <c r="F232" s="14"/>
      <c r="G232" s="13"/>
      <c r="H232" s="11"/>
      <c r="I232" s="14">
        <v>79.41</v>
      </c>
      <c r="J232" s="11">
        <v>109</v>
      </c>
      <c r="K232" s="14">
        <v>4530.1400000000003</v>
      </c>
    </row>
    <row r="233" spans="1:11" ht="14.5" x14ac:dyDescent="0.25">
      <c r="A233" s="10"/>
      <c r="B233" s="10"/>
      <c r="C233" s="10" t="s">
        <v>262</v>
      </c>
      <c r="D233" s="12" t="s">
        <v>261</v>
      </c>
      <c r="E233" s="11">
        <v>61</v>
      </c>
      <c r="F233" s="14"/>
      <c r="G233" s="13"/>
      <c r="H233" s="11"/>
      <c r="I233" s="14">
        <v>44.44</v>
      </c>
      <c r="J233" s="11">
        <v>61</v>
      </c>
      <c r="K233" s="14">
        <v>2535.21</v>
      </c>
    </row>
    <row r="234" spans="1:11" ht="14.5" x14ac:dyDescent="0.25">
      <c r="A234" s="17"/>
      <c r="B234" s="17"/>
      <c r="C234" s="17" t="s">
        <v>263</v>
      </c>
      <c r="D234" s="18" t="s">
        <v>264</v>
      </c>
      <c r="E234" s="19">
        <v>29.7</v>
      </c>
      <c r="F234" s="20"/>
      <c r="G234" s="21" t="s">
        <v>460</v>
      </c>
      <c r="H234" s="19">
        <v>1</v>
      </c>
      <c r="I234" s="20">
        <v>5.74</v>
      </c>
      <c r="J234" s="19"/>
      <c r="K234" s="20"/>
    </row>
    <row r="235" spans="1:11" ht="14" x14ac:dyDescent="0.25">
      <c r="C235" s="22" t="s">
        <v>265</v>
      </c>
      <c r="H235" s="143">
        <v>712.94</v>
      </c>
      <c r="I235" s="143"/>
      <c r="J235" s="143">
        <v>23655.56</v>
      </c>
      <c r="K235" s="143"/>
    </row>
    <row r="236" spans="1:11" ht="14" x14ac:dyDescent="0.25">
      <c r="C236" s="22" t="s">
        <v>267</v>
      </c>
      <c r="H236" s="141">
        <v>712.94</v>
      </c>
      <c r="I236" s="141"/>
      <c r="J236" s="141">
        <v>23655.56</v>
      </c>
      <c r="K236" s="141"/>
    </row>
    <row r="238" spans="1:11" ht="144" x14ac:dyDescent="0.25">
      <c r="A238" s="10">
        <v>35</v>
      </c>
      <c r="B238" s="10" t="s">
        <v>767</v>
      </c>
      <c r="C238" s="10" t="s">
        <v>768</v>
      </c>
      <c r="D238" s="12" t="s">
        <v>575</v>
      </c>
      <c r="E238" s="11">
        <v>0.1</v>
      </c>
      <c r="F238" s="14"/>
      <c r="G238" s="13"/>
      <c r="H238" s="11"/>
      <c r="I238" s="14"/>
      <c r="J238" s="11"/>
      <c r="K238" s="14"/>
    </row>
    <row r="239" spans="1:11" x14ac:dyDescent="0.25">
      <c r="C239" s="23" t="s">
        <v>817</v>
      </c>
    </row>
    <row r="240" spans="1:11" ht="14.5" x14ac:dyDescent="0.25">
      <c r="A240" s="10"/>
      <c r="B240" s="10"/>
      <c r="C240" s="10" t="s">
        <v>256</v>
      </c>
      <c r="D240" s="12"/>
      <c r="E240" s="11"/>
      <c r="F240" s="14">
        <v>464.63</v>
      </c>
      <c r="G240" s="15" t="s">
        <v>460</v>
      </c>
      <c r="H240" s="11">
        <v>1</v>
      </c>
      <c r="I240" s="14">
        <v>64.12</v>
      </c>
      <c r="J240" s="11">
        <v>57.05</v>
      </c>
      <c r="K240" s="14">
        <v>3658.05</v>
      </c>
    </row>
    <row r="241" spans="1:11" ht="14.5" x14ac:dyDescent="0.25">
      <c r="A241" s="10"/>
      <c r="B241" s="10"/>
      <c r="C241" s="10" t="s">
        <v>257</v>
      </c>
      <c r="D241" s="12"/>
      <c r="E241" s="11"/>
      <c r="F241" s="14">
        <v>80.319999999999993</v>
      </c>
      <c r="G241" s="15" t="s">
        <v>461</v>
      </c>
      <c r="H241" s="11">
        <v>1</v>
      </c>
      <c r="I241" s="14">
        <v>12.05</v>
      </c>
      <c r="J241" s="11">
        <v>17.059999999999999</v>
      </c>
      <c r="K241" s="14">
        <v>205.57</v>
      </c>
    </row>
    <row r="242" spans="1:11" ht="14.5" x14ac:dyDescent="0.25">
      <c r="A242" s="10"/>
      <c r="B242" s="10"/>
      <c r="C242" s="10" t="s">
        <v>258</v>
      </c>
      <c r="D242" s="12"/>
      <c r="E242" s="11"/>
      <c r="F242" s="14">
        <v>11.41</v>
      </c>
      <c r="G242" s="15" t="s">
        <v>461</v>
      </c>
      <c r="H242" s="11">
        <v>1</v>
      </c>
      <c r="I242" s="16">
        <v>1.71</v>
      </c>
      <c r="J242" s="11">
        <v>57.05</v>
      </c>
      <c r="K242" s="16">
        <v>97.56</v>
      </c>
    </row>
    <row r="243" spans="1:11" ht="14.5" x14ac:dyDescent="0.25">
      <c r="A243" s="10"/>
      <c r="B243" s="10"/>
      <c r="C243" s="10" t="s">
        <v>259</v>
      </c>
      <c r="D243" s="12"/>
      <c r="E243" s="11"/>
      <c r="F243" s="14">
        <v>61.21</v>
      </c>
      <c r="G243" s="15" t="s">
        <v>1</v>
      </c>
      <c r="H243" s="11">
        <v>1</v>
      </c>
      <c r="I243" s="14">
        <v>6.12</v>
      </c>
      <c r="J243" s="11">
        <v>8.3699999999999992</v>
      </c>
      <c r="K243" s="14">
        <v>51.22</v>
      </c>
    </row>
    <row r="244" spans="1:11" ht="56" x14ac:dyDescent="0.25">
      <c r="A244" s="10" t="s">
        <v>769</v>
      </c>
      <c r="B244" s="10" t="s">
        <v>823</v>
      </c>
      <c r="C244" s="10" t="s">
        <v>770</v>
      </c>
      <c r="D244" s="12" t="s">
        <v>52</v>
      </c>
      <c r="E244" s="11">
        <v>10</v>
      </c>
      <c r="F244" s="14">
        <v>44.5</v>
      </c>
      <c r="G244" s="15" t="s">
        <v>1</v>
      </c>
      <c r="H244" s="11">
        <v>1</v>
      </c>
      <c r="I244" s="14">
        <v>445</v>
      </c>
      <c r="J244" s="11">
        <v>20.48</v>
      </c>
      <c r="K244" s="14">
        <v>9113.6</v>
      </c>
    </row>
    <row r="245" spans="1:11" ht="14.5" x14ac:dyDescent="0.25">
      <c r="A245" s="10"/>
      <c r="B245" s="10"/>
      <c r="C245" s="10" t="s">
        <v>260</v>
      </c>
      <c r="D245" s="12" t="s">
        <v>261</v>
      </c>
      <c r="E245" s="11">
        <v>109</v>
      </c>
      <c r="F245" s="14"/>
      <c r="G245" s="13"/>
      <c r="H245" s="11"/>
      <c r="I245" s="14">
        <v>71.75</v>
      </c>
      <c r="J245" s="11">
        <v>109</v>
      </c>
      <c r="K245" s="14">
        <v>4093.61</v>
      </c>
    </row>
    <row r="246" spans="1:11" ht="14.5" x14ac:dyDescent="0.25">
      <c r="A246" s="10"/>
      <c r="B246" s="10"/>
      <c r="C246" s="10" t="s">
        <v>262</v>
      </c>
      <c r="D246" s="12" t="s">
        <v>261</v>
      </c>
      <c r="E246" s="11">
        <v>61</v>
      </c>
      <c r="F246" s="14"/>
      <c r="G246" s="13"/>
      <c r="H246" s="11"/>
      <c r="I246" s="14">
        <v>40.159999999999997</v>
      </c>
      <c r="J246" s="11">
        <v>61</v>
      </c>
      <c r="K246" s="14">
        <v>2290.92</v>
      </c>
    </row>
    <row r="247" spans="1:11" ht="14.5" x14ac:dyDescent="0.25">
      <c r="A247" s="17"/>
      <c r="B247" s="17"/>
      <c r="C247" s="17" t="s">
        <v>263</v>
      </c>
      <c r="D247" s="18" t="s">
        <v>264</v>
      </c>
      <c r="E247" s="19">
        <v>37.200000000000003</v>
      </c>
      <c r="F247" s="20"/>
      <c r="G247" s="21" t="s">
        <v>460</v>
      </c>
      <c r="H247" s="19">
        <v>1</v>
      </c>
      <c r="I247" s="20">
        <v>5.13</v>
      </c>
      <c r="J247" s="19"/>
      <c r="K247" s="20"/>
    </row>
    <row r="248" spans="1:11" ht="14" x14ac:dyDescent="0.25">
      <c r="C248" s="22" t="s">
        <v>265</v>
      </c>
      <c r="H248" s="143">
        <v>639.20000000000005</v>
      </c>
      <c r="I248" s="143"/>
      <c r="J248" s="143">
        <v>19412.97</v>
      </c>
      <c r="K248" s="143"/>
    </row>
    <row r="249" spans="1:11" ht="14" x14ac:dyDescent="0.25">
      <c r="C249" s="22" t="s">
        <v>267</v>
      </c>
      <c r="H249" s="141">
        <v>639.20000000000005</v>
      </c>
      <c r="I249" s="141"/>
      <c r="J249" s="141">
        <v>19412.97</v>
      </c>
      <c r="K249" s="141"/>
    </row>
    <row r="251" spans="1:11" ht="144" x14ac:dyDescent="0.25">
      <c r="A251" s="10">
        <v>36</v>
      </c>
      <c r="B251" s="10" t="s">
        <v>771</v>
      </c>
      <c r="C251" s="10" t="s">
        <v>772</v>
      </c>
      <c r="D251" s="12" t="s">
        <v>575</v>
      </c>
      <c r="E251" s="11">
        <v>0.05</v>
      </c>
      <c r="F251" s="14"/>
      <c r="G251" s="13"/>
      <c r="H251" s="11"/>
      <c r="I251" s="14"/>
      <c r="J251" s="11"/>
      <c r="K251" s="14"/>
    </row>
    <row r="252" spans="1:11" x14ac:dyDescent="0.25">
      <c r="C252" s="23" t="s">
        <v>593</v>
      </c>
    </row>
    <row r="253" spans="1:11" ht="14.5" x14ac:dyDescent="0.25">
      <c r="A253" s="10"/>
      <c r="B253" s="10"/>
      <c r="C253" s="10" t="s">
        <v>256</v>
      </c>
      <c r="D253" s="12"/>
      <c r="E253" s="11"/>
      <c r="F253" s="14">
        <v>905.52</v>
      </c>
      <c r="G253" s="15" t="s">
        <v>460</v>
      </c>
      <c r="H253" s="11">
        <v>1</v>
      </c>
      <c r="I253" s="14">
        <v>62.48</v>
      </c>
      <c r="J253" s="11">
        <v>57.05</v>
      </c>
      <c r="K253" s="14">
        <v>3564.48</v>
      </c>
    </row>
    <row r="254" spans="1:11" ht="14.5" x14ac:dyDescent="0.25">
      <c r="A254" s="10"/>
      <c r="B254" s="10"/>
      <c r="C254" s="10" t="s">
        <v>257</v>
      </c>
      <c r="D254" s="12"/>
      <c r="E254" s="11"/>
      <c r="F254" s="14">
        <v>144.03</v>
      </c>
      <c r="G254" s="15" t="s">
        <v>461</v>
      </c>
      <c r="H254" s="11">
        <v>1</v>
      </c>
      <c r="I254" s="14">
        <v>10.8</v>
      </c>
      <c r="J254" s="11">
        <v>16.649999999999999</v>
      </c>
      <c r="K254" s="14">
        <v>179.82</v>
      </c>
    </row>
    <row r="255" spans="1:11" ht="14.5" x14ac:dyDescent="0.25">
      <c r="A255" s="10"/>
      <c r="B255" s="10"/>
      <c r="C255" s="10" t="s">
        <v>258</v>
      </c>
      <c r="D255" s="12"/>
      <c r="E255" s="11"/>
      <c r="F255" s="14">
        <v>19.36</v>
      </c>
      <c r="G255" s="15" t="s">
        <v>461</v>
      </c>
      <c r="H255" s="11">
        <v>1</v>
      </c>
      <c r="I255" s="16">
        <v>1.45</v>
      </c>
      <c r="J255" s="11">
        <v>57.05</v>
      </c>
      <c r="K255" s="16">
        <v>82.72</v>
      </c>
    </row>
    <row r="256" spans="1:11" ht="14.5" x14ac:dyDescent="0.25">
      <c r="A256" s="10"/>
      <c r="B256" s="10"/>
      <c r="C256" s="10" t="s">
        <v>259</v>
      </c>
      <c r="D256" s="12"/>
      <c r="E256" s="11"/>
      <c r="F256" s="14">
        <v>71.150000000000006</v>
      </c>
      <c r="G256" s="15" t="s">
        <v>1</v>
      </c>
      <c r="H256" s="11">
        <v>1</v>
      </c>
      <c r="I256" s="14">
        <v>3.56</v>
      </c>
      <c r="J256" s="11">
        <v>10.02</v>
      </c>
      <c r="K256" s="14">
        <v>35.67</v>
      </c>
    </row>
    <row r="257" spans="1:11" ht="70" x14ac:dyDescent="0.25">
      <c r="A257" s="10" t="s">
        <v>773</v>
      </c>
      <c r="B257" s="10" t="s">
        <v>824</v>
      </c>
      <c r="C257" s="10" t="s">
        <v>774</v>
      </c>
      <c r="D257" s="12" t="s">
        <v>52</v>
      </c>
      <c r="E257" s="11">
        <v>5</v>
      </c>
      <c r="F257" s="14">
        <v>87.86</v>
      </c>
      <c r="G257" s="15" t="s">
        <v>1</v>
      </c>
      <c r="H257" s="11">
        <v>1</v>
      </c>
      <c r="I257" s="14">
        <v>439.3</v>
      </c>
      <c r="J257" s="11">
        <v>14.1</v>
      </c>
      <c r="K257" s="14">
        <v>6194.13</v>
      </c>
    </row>
    <row r="258" spans="1:11" ht="14.5" x14ac:dyDescent="0.25">
      <c r="A258" s="10"/>
      <c r="B258" s="10"/>
      <c r="C258" s="10" t="s">
        <v>260</v>
      </c>
      <c r="D258" s="12" t="s">
        <v>261</v>
      </c>
      <c r="E258" s="11">
        <v>109</v>
      </c>
      <c r="F258" s="14"/>
      <c r="G258" s="13"/>
      <c r="H258" s="11"/>
      <c r="I258" s="14">
        <v>69.680000000000007</v>
      </c>
      <c r="J258" s="11">
        <v>109</v>
      </c>
      <c r="K258" s="14">
        <v>3975.45</v>
      </c>
    </row>
    <row r="259" spans="1:11" ht="14.5" x14ac:dyDescent="0.25">
      <c r="A259" s="10"/>
      <c r="B259" s="10"/>
      <c r="C259" s="10" t="s">
        <v>262</v>
      </c>
      <c r="D259" s="12" t="s">
        <v>261</v>
      </c>
      <c r="E259" s="11">
        <v>61</v>
      </c>
      <c r="F259" s="14"/>
      <c r="G259" s="13"/>
      <c r="H259" s="11"/>
      <c r="I259" s="14">
        <v>39</v>
      </c>
      <c r="J259" s="11">
        <v>61</v>
      </c>
      <c r="K259" s="14">
        <v>2224.79</v>
      </c>
    </row>
    <row r="260" spans="1:11" ht="14.5" x14ac:dyDescent="0.25">
      <c r="A260" s="17"/>
      <c r="B260" s="17"/>
      <c r="C260" s="17" t="s">
        <v>263</v>
      </c>
      <c r="D260" s="18" t="s">
        <v>264</v>
      </c>
      <c r="E260" s="19">
        <v>72.5</v>
      </c>
      <c r="F260" s="20"/>
      <c r="G260" s="21" t="s">
        <v>460</v>
      </c>
      <c r="H260" s="19">
        <v>1</v>
      </c>
      <c r="I260" s="20">
        <v>5</v>
      </c>
      <c r="J260" s="19"/>
      <c r="K260" s="20"/>
    </row>
    <row r="261" spans="1:11" ht="14" x14ac:dyDescent="0.25">
      <c r="C261" s="22" t="s">
        <v>265</v>
      </c>
      <c r="H261" s="143">
        <v>624.82000000000005</v>
      </c>
      <c r="I261" s="143"/>
      <c r="J261" s="143">
        <v>16174.34</v>
      </c>
      <c r="K261" s="143"/>
    </row>
    <row r="262" spans="1:11" ht="14" x14ac:dyDescent="0.25">
      <c r="C262" s="22" t="s">
        <v>267</v>
      </c>
      <c r="H262" s="141">
        <v>624.82000000000005</v>
      </c>
      <c r="I262" s="141"/>
      <c r="J262" s="141">
        <v>16174.34</v>
      </c>
      <c r="K262" s="141"/>
    </row>
    <row r="264" spans="1:11" ht="144" x14ac:dyDescent="0.25">
      <c r="A264" s="10">
        <v>37</v>
      </c>
      <c r="B264" s="10" t="s">
        <v>498</v>
      </c>
      <c r="C264" s="10" t="s">
        <v>499</v>
      </c>
      <c r="D264" s="12" t="s">
        <v>575</v>
      </c>
      <c r="E264" s="11">
        <v>1.5</v>
      </c>
      <c r="F264" s="14"/>
      <c r="G264" s="13"/>
      <c r="H264" s="11"/>
      <c r="I264" s="14"/>
      <c r="J264" s="11"/>
      <c r="K264" s="14"/>
    </row>
    <row r="265" spans="1:11" x14ac:dyDescent="0.25">
      <c r="C265" s="23" t="s">
        <v>825</v>
      </c>
    </row>
    <row r="266" spans="1:11" ht="14.5" x14ac:dyDescent="0.25">
      <c r="A266" s="10"/>
      <c r="B266" s="10"/>
      <c r="C266" s="10" t="s">
        <v>256</v>
      </c>
      <c r="D266" s="12"/>
      <c r="E266" s="11"/>
      <c r="F266" s="14">
        <v>76.45</v>
      </c>
      <c r="G266" s="15" t="s">
        <v>460</v>
      </c>
      <c r="H266" s="11">
        <v>1</v>
      </c>
      <c r="I266" s="14">
        <v>158.25</v>
      </c>
      <c r="J266" s="11">
        <v>57.05</v>
      </c>
      <c r="K266" s="14">
        <v>9028.16</v>
      </c>
    </row>
    <row r="267" spans="1:11" ht="14.5" x14ac:dyDescent="0.25">
      <c r="A267" s="10"/>
      <c r="B267" s="10"/>
      <c r="C267" s="10" t="s">
        <v>259</v>
      </c>
      <c r="D267" s="12"/>
      <c r="E267" s="11"/>
      <c r="F267" s="14">
        <v>9.0399999999999991</v>
      </c>
      <c r="G267" s="15" t="s">
        <v>1</v>
      </c>
      <c r="H267" s="11">
        <v>1</v>
      </c>
      <c r="I267" s="14">
        <v>13.56</v>
      </c>
      <c r="J267" s="11">
        <v>7.25</v>
      </c>
      <c r="K267" s="14">
        <v>98.31</v>
      </c>
    </row>
    <row r="268" spans="1:11" ht="14.5" x14ac:dyDescent="0.25">
      <c r="A268" s="10"/>
      <c r="B268" s="10"/>
      <c r="C268" s="10" t="s">
        <v>260</v>
      </c>
      <c r="D268" s="12" t="s">
        <v>261</v>
      </c>
      <c r="E268" s="11">
        <v>109</v>
      </c>
      <c r="F268" s="14"/>
      <c r="G268" s="13"/>
      <c r="H268" s="11"/>
      <c r="I268" s="14">
        <v>172.49</v>
      </c>
      <c r="J268" s="11">
        <v>109</v>
      </c>
      <c r="K268" s="14">
        <v>9840.69</v>
      </c>
    </row>
    <row r="269" spans="1:11" ht="14.5" x14ac:dyDescent="0.25">
      <c r="A269" s="10"/>
      <c r="B269" s="10"/>
      <c r="C269" s="10" t="s">
        <v>262</v>
      </c>
      <c r="D269" s="12" t="s">
        <v>261</v>
      </c>
      <c r="E269" s="11">
        <v>61</v>
      </c>
      <c r="F269" s="14"/>
      <c r="G269" s="13"/>
      <c r="H269" s="11"/>
      <c r="I269" s="14">
        <v>96.53</v>
      </c>
      <c r="J269" s="11">
        <v>61</v>
      </c>
      <c r="K269" s="14">
        <v>5507.18</v>
      </c>
    </row>
    <row r="270" spans="1:11" ht="14.5" x14ac:dyDescent="0.25">
      <c r="A270" s="17"/>
      <c r="B270" s="17"/>
      <c r="C270" s="17" t="s">
        <v>263</v>
      </c>
      <c r="D270" s="18" t="s">
        <v>264</v>
      </c>
      <c r="E270" s="19">
        <v>5.01</v>
      </c>
      <c r="F270" s="20"/>
      <c r="G270" s="21" t="s">
        <v>460</v>
      </c>
      <c r="H270" s="19">
        <v>1</v>
      </c>
      <c r="I270" s="20">
        <v>10.37</v>
      </c>
      <c r="J270" s="19"/>
      <c r="K270" s="20"/>
    </row>
    <row r="271" spans="1:11" ht="14" x14ac:dyDescent="0.25">
      <c r="C271" s="22" t="s">
        <v>265</v>
      </c>
      <c r="H271" s="143">
        <v>440.83</v>
      </c>
      <c r="I271" s="143"/>
      <c r="J271" s="143">
        <v>24474.34</v>
      </c>
      <c r="K271" s="143"/>
    </row>
    <row r="272" spans="1:11" ht="14" x14ac:dyDescent="0.25">
      <c r="C272" s="22" t="s">
        <v>267</v>
      </c>
      <c r="H272" s="141">
        <v>440.83</v>
      </c>
      <c r="I272" s="141"/>
      <c r="J272" s="141">
        <v>24474.34</v>
      </c>
      <c r="K272" s="141"/>
    </row>
    <row r="274" spans="1:11" ht="144" x14ac:dyDescent="0.25">
      <c r="A274" s="10">
        <v>38</v>
      </c>
      <c r="B274" s="10" t="s">
        <v>775</v>
      </c>
      <c r="C274" s="10" t="s">
        <v>776</v>
      </c>
      <c r="D274" s="12" t="s">
        <v>575</v>
      </c>
      <c r="E274" s="11">
        <v>0.05</v>
      </c>
      <c r="F274" s="14"/>
      <c r="G274" s="13"/>
      <c r="H274" s="11"/>
      <c r="I274" s="14"/>
      <c r="J274" s="11"/>
      <c r="K274" s="14"/>
    </row>
    <row r="275" spans="1:11" x14ac:dyDescent="0.25">
      <c r="C275" s="23" t="s">
        <v>593</v>
      </c>
    </row>
    <row r="276" spans="1:11" ht="14.5" x14ac:dyDescent="0.25">
      <c r="A276" s="10"/>
      <c r="B276" s="10"/>
      <c r="C276" s="10" t="s">
        <v>256</v>
      </c>
      <c r="D276" s="12"/>
      <c r="E276" s="11"/>
      <c r="F276" s="14">
        <v>76.45</v>
      </c>
      <c r="G276" s="15" t="s">
        <v>460</v>
      </c>
      <c r="H276" s="11">
        <v>1</v>
      </c>
      <c r="I276" s="14">
        <v>5.28</v>
      </c>
      <c r="J276" s="11">
        <v>57.05</v>
      </c>
      <c r="K276" s="14">
        <v>301.22000000000003</v>
      </c>
    </row>
    <row r="277" spans="1:11" ht="14.5" x14ac:dyDescent="0.25">
      <c r="A277" s="10"/>
      <c r="B277" s="10"/>
      <c r="C277" s="10" t="s">
        <v>259</v>
      </c>
      <c r="D277" s="12"/>
      <c r="E277" s="11"/>
      <c r="F277" s="14">
        <v>28.84</v>
      </c>
      <c r="G277" s="15" t="s">
        <v>1</v>
      </c>
      <c r="H277" s="11">
        <v>1</v>
      </c>
      <c r="I277" s="14">
        <v>1.44</v>
      </c>
      <c r="J277" s="11">
        <v>7.59</v>
      </c>
      <c r="K277" s="14">
        <v>10.93</v>
      </c>
    </row>
    <row r="278" spans="1:11" ht="14.5" x14ac:dyDescent="0.25">
      <c r="A278" s="10"/>
      <c r="B278" s="10"/>
      <c r="C278" s="10" t="s">
        <v>260</v>
      </c>
      <c r="D278" s="12" t="s">
        <v>261</v>
      </c>
      <c r="E278" s="11">
        <v>109</v>
      </c>
      <c r="F278" s="14"/>
      <c r="G278" s="13"/>
      <c r="H278" s="11"/>
      <c r="I278" s="14">
        <v>5.76</v>
      </c>
      <c r="J278" s="11">
        <v>109</v>
      </c>
      <c r="K278" s="14">
        <v>328.33</v>
      </c>
    </row>
    <row r="279" spans="1:11" ht="14.5" x14ac:dyDescent="0.25">
      <c r="A279" s="10"/>
      <c r="B279" s="10"/>
      <c r="C279" s="10" t="s">
        <v>262</v>
      </c>
      <c r="D279" s="12" t="s">
        <v>261</v>
      </c>
      <c r="E279" s="11">
        <v>61</v>
      </c>
      <c r="F279" s="14"/>
      <c r="G279" s="13"/>
      <c r="H279" s="11"/>
      <c r="I279" s="14">
        <v>3.22</v>
      </c>
      <c r="J279" s="11">
        <v>61</v>
      </c>
      <c r="K279" s="14">
        <v>183.74</v>
      </c>
    </row>
    <row r="280" spans="1:11" ht="14.5" x14ac:dyDescent="0.25">
      <c r="A280" s="17"/>
      <c r="B280" s="17"/>
      <c r="C280" s="17" t="s">
        <v>263</v>
      </c>
      <c r="D280" s="18" t="s">
        <v>264</v>
      </c>
      <c r="E280" s="19">
        <v>5.01</v>
      </c>
      <c r="F280" s="20"/>
      <c r="G280" s="21" t="s">
        <v>460</v>
      </c>
      <c r="H280" s="19">
        <v>1</v>
      </c>
      <c r="I280" s="20">
        <v>0.35</v>
      </c>
      <c r="J280" s="19"/>
      <c r="K280" s="20"/>
    </row>
    <row r="281" spans="1:11" ht="14" x14ac:dyDescent="0.25">
      <c r="C281" s="22" t="s">
        <v>265</v>
      </c>
      <c r="H281" s="143">
        <v>15.7</v>
      </c>
      <c r="I281" s="143"/>
      <c r="J281" s="143">
        <v>824.22</v>
      </c>
      <c r="K281" s="143"/>
    </row>
    <row r="282" spans="1:11" ht="14" x14ac:dyDescent="0.25">
      <c r="C282" s="22" t="s">
        <v>267</v>
      </c>
      <c r="H282" s="141">
        <v>15.7</v>
      </c>
      <c r="I282" s="141"/>
      <c r="J282" s="141">
        <v>824.22</v>
      </c>
      <c r="K282" s="141"/>
    </row>
    <row r="284" spans="1:11" ht="144" x14ac:dyDescent="0.25">
      <c r="A284" s="10">
        <v>39</v>
      </c>
      <c r="B284" s="10" t="s">
        <v>777</v>
      </c>
      <c r="C284" s="10" t="s">
        <v>778</v>
      </c>
      <c r="D284" s="12" t="s">
        <v>826</v>
      </c>
      <c r="E284" s="11">
        <v>0.18871399999999999</v>
      </c>
      <c r="F284" s="14"/>
      <c r="G284" s="13"/>
      <c r="H284" s="11"/>
      <c r="I284" s="14"/>
      <c r="J284" s="11"/>
      <c r="K284" s="14"/>
    </row>
    <row r="285" spans="1:11" ht="37.5" x14ac:dyDescent="0.25">
      <c r="C285" s="23" t="s">
        <v>827</v>
      </c>
    </row>
    <row r="286" spans="1:11" ht="14.5" x14ac:dyDescent="0.25">
      <c r="A286" s="10"/>
      <c r="B286" s="10"/>
      <c r="C286" s="10" t="s">
        <v>256</v>
      </c>
      <c r="D286" s="12"/>
      <c r="E286" s="11"/>
      <c r="F286" s="14">
        <v>232.84</v>
      </c>
      <c r="G286" s="15" t="s">
        <v>460</v>
      </c>
      <c r="H286" s="11">
        <v>1</v>
      </c>
      <c r="I286" s="14">
        <v>60.64</v>
      </c>
      <c r="J286" s="11">
        <v>57.05</v>
      </c>
      <c r="K286" s="14">
        <v>3459.51</v>
      </c>
    </row>
    <row r="287" spans="1:11" ht="14.5" x14ac:dyDescent="0.25">
      <c r="A287" s="10"/>
      <c r="B287" s="10"/>
      <c r="C287" s="10" t="s">
        <v>257</v>
      </c>
      <c r="D287" s="12"/>
      <c r="E287" s="11"/>
      <c r="F287" s="14">
        <v>44.4</v>
      </c>
      <c r="G287" s="15" t="s">
        <v>461</v>
      </c>
      <c r="H287" s="11">
        <v>1</v>
      </c>
      <c r="I287" s="14">
        <v>12.57</v>
      </c>
      <c r="J287" s="11">
        <v>29.14</v>
      </c>
      <c r="K287" s="14">
        <v>366.29</v>
      </c>
    </row>
    <row r="288" spans="1:11" ht="14.5" x14ac:dyDescent="0.25">
      <c r="A288" s="10"/>
      <c r="B288" s="10"/>
      <c r="C288" s="10" t="s">
        <v>258</v>
      </c>
      <c r="D288" s="12"/>
      <c r="E288" s="11"/>
      <c r="F288" s="14">
        <v>17.86</v>
      </c>
      <c r="G288" s="15" t="s">
        <v>461</v>
      </c>
      <c r="H288" s="11">
        <v>1</v>
      </c>
      <c r="I288" s="16">
        <v>5.0599999999999996</v>
      </c>
      <c r="J288" s="11">
        <v>57.05</v>
      </c>
      <c r="K288" s="16">
        <v>288.67</v>
      </c>
    </row>
    <row r="289" spans="1:11" ht="14.5" x14ac:dyDescent="0.25">
      <c r="A289" s="10"/>
      <c r="B289" s="10"/>
      <c r="C289" s="10" t="s">
        <v>259</v>
      </c>
      <c r="D289" s="12"/>
      <c r="E289" s="11"/>
      <c r="F289" s="14">
        <v>557.45000000000005</v>
      </c>
      <c r="G289" s="15" t="s">
        <v>1</v>
      </c>
      <c r="H289" s="11">
        <v>1</v>
      </c>
      <c r="I289" s="14">
        <v>105.2</v>
      </c>
      <c r="J289" s="11">
        <v>6.34</v>
      </c>
      <c r="K289" s="14">
        <v>666.97</v>
      </c>
    </row>
    <row r="290" spans="1:11" ht="14.5" x14ac:dyDescent="0.25">
      <c r="A290" s="10"/>
      <c r="B290" s="10"/>
      <c r="C290" s="10" t="s">
        <v>260</v>
      </c>
      <c r="D290" s="12" t="s">
        <v>261</v>
      </c>
      <c r="E290" s="11">
        <v>87</v>
      </c>
      <c r="F290" s="14"/>
      <c r="G290" s="13"/>
      <c r="H290" s="11"/>
      <c r="I290" s="14">
        <v>57.16</v>
      </c>
      <c r="J290" s="11">
        <v>87</v>
      </c>
      <c r="K290" s="14">
        <v>3260.92</v>
      </c>
    </row>
    <row r="291" spans="1:11" ht="14.5" x14ac:dyDescent="0.25">
      <c r="A291" s="10"/>
      <c r="B291" s="10"/>
      <c r="C291" s="10" t="s">
        <v>262</v>
      </c>
      <c r="D291" s="12" t="s">
        <v>261</v>
      </c>
      <c r="E291" s="11">
        <v>47</v>
      </c>
      <c r="F291" s="14"/>
      <c r="G291" s="13"/>
      <c r="H291" s="11"/>
      <c r="I291" s="14">
        <v>30.88</v>
      </c>
      <c r="J291" s="11">
        <v>47</v>
      </c>
      <c r="K291" s="14">
        <v>1761.64</v>
      </c>
    </row>
    <row r="292" spans="1:11" ht="14.5" x14ac:dyDescent="0.25">
      <c r="A292" s="17"/>
      <c r="B292" s="17"/>
      <c r="C292" s="17" t="s">
        <v>263</v>
      </c>
      <c r="D292" s="18" t="s">
        <v>264</v>
      </c>
      <c r="E292" s="19">
        <v>18.45</v>
      </c>
      <c r="F292" s="20"/>
      <c r="G292" s="21" t="s">
        <v>460</v>
      </c>
      <c r="H292" s="19">
        <v>1</v>
      </c>
      <c r="I292" s="20">
        <v>4.8</v>
      </c>
      <c r="J292" s="19"/>
      <c r="K292" s="20"/>
    </row>
    <row r="293" spans="1:11" ht="14" x14ac:dyDescent="0.25">
      <c r="C293" s="22" t="s">
        <v>265</v>
      </c>
      <c r="H293" s="143">
        <v>266.45</v>
      </c>
      <c r="I293" s="143"/>
      <c r="J293" s="143">
        <v>9515.33</v>
      </c>
      <c r="K293" s="143"/>
    </row>
    <row r="294" spans="1:11" ht="14" x14ac:dyDescent="0.25">
      <c r="C294" s="22" t="s">
        <v>267</v>
      </c>
      <c r="H294" s="141">
        <v>266.45</v>
      </c>
      <c r="I294" s="141"/>
      <c r="J294" s="141">
        <v>9515.33</v>
      </c>
      <c r="K294" s="141"/>
    </row>
    <row r="296" spans="1:11" ht="70" x14ac:dyDescent="0.25">
      <c r="A296" s="10">
        <v>40</v>
      </c>
      <c r="B296" s="10" t="s">
        <v>828</v>
      </c>
      <c r="C296" s="10" t="s">
        <v>779</v>
      </c>
      <c r="D296" s="12" t="s">
        <v>52</v>
      </c>
      <c r="E296" s="11">
        <v>53.55</v>
      </c>
      <c r="F296" s="14">
        <v>35.03</v>
      </c>
      <c r="G296" s="15" t="s">
        <v>1</v>
      </c>
      <c r="H296" s="11">
        <v>1</v>
      </c>
      <c r="I296" s="14">
        <v>1875.86</v>
      </c>
      <c r="J296" s="11">
        <v>3.69</v>
      </c>
      <c r="K296" s="14">
        <v>6921.92</v>
      </c>
    </row>
    <row r="297" spans="1:11" x14ac:dyDescent="0.25">
      <c r="A297" s="28"/>
      <c r="B297" s="28"/>
      <c r="C297" s="25" t="s">
        <v>829</v>
      </c>
      <c r="D297" s="28"/>
      <c r="E297" s="28"/>
      <c r="F297" s="28"/>
      <c r="G297" s="28"/>
      <c r="H297" s="28"/>
      <c r="I297" s="28"/>
      <c r="J297" s="28"/>
      <c r="K297" s="28"/>
    </row>
    <row r="298" spans="1:11" ht="14" x14ac:dyDescent="0.25">
      <c r="C298" s="22" t="s">
        <v>267</v>
      </c>
      <c r="H298" s="143">
        <v>1875.86</v>
      </c>
      <c r="I298" s="143"/>
      <c r="J298" s="143">
        <v>6921.92</v>
      </c>
      <c r="K298" s="143"/>
    </row>
    <row r="300" spans="1:11" ht="70" x14ac:dyDescent="0.25">
      <c r="A300" s="10">
        <v>41</v>
      </c>
      <c r="B300" s="10" t="s">
        <v>830</v>
      </c>
      <c r="C300" s="10" t="s">
        <v>845</v>
      </c>
      <c r="D300" s="12" t="s">
        <v>52</v>
      </c>
      <c r="E300" s="11">
        <v>10.5</v>
      </c>
      <c r="F300" s="14">
        <v>51.75</v>
      </c>
      <c r="G300" s="15" t="s">
        <v>1</v>
      </c>
      <c r="H300" s="11">
        <v>1</v>
      </c>
      <c r="I300" s="14">
        <v>543.38</v>
      </c>
      <c r="J300" s="11">
        <v>3.55</v>
      </c>
      <c r="K300" s="14">
        <v>1929</v>
      </c>
    </row>
    <row r="301" spans="1:11" x14ac:dyDescent="0.25">
      <c r="A301" s="28"/>
      <c r="B301" s="28"/>
      <c r="C301" s="25" t="s">
        <v>831</v>
      </c>
      <c r="D301" s="28"/>
      <c r="E301" s="28"/>
      <c r="F301" s="28"/>
      <c r="G301" s="28"/>
      <c r="H301" s="28"/>
      <c r="I301" s="28"/>
      <c r="J301" s="28"/>
      <c r="K301" s="28"/>
    </row>
    <row r="302" spans="1:11" ht="14" x14ac:dyDescent="0.25">
      <c r="C302" s="22" t="s">
        <v>267</v>
      </c>
      <c r="H302" s="143">
        <v>543.38</v>
      </c>
      <c r="I302" s="143"/>
      <c r="J302" s="143">
        <v>1929</v>
      </c>
      <c r="K302" s="143"/>
    </row>
    <row r="304" spans="1:11" ht="70" x14ac:dyDescent="0.25">
      <c r="A304" s="10">
        <v>42</v>
      </c>
      <c r="B304" s="10" t="s">
        <v>832</v>
      </c>
      <c r="C304" s="10" t="s">
        <v>846</v>
      </c>
      <c r="D304" s="12" t="s">
        <v>52</v>
      </c>
      <c r="E304" s="11">
        <v>6.3</v>
      </c>
      <c r="F304" s="14">
        <v>43.6</v>
      </c>
      <c r="G304" s="15" t="s">
        <v>1</v>
      </c>
      <c r="H304" s="11">
        <v>1</v>
      </c>
      <c r="I304" s="14">
        <v>274.68</v>
      </c>
      <c r="J304" s="11">
        <v>4.74</v>
      </c>
      <c r="K304" s="14">
        <v>1301.98</v>
      </c>
    </row>
    <row r="305" spans="1:11" x14ac:dyDescent="0.25">
      <c r="A305" s="28"/>
      <c r="B305" s="28"/>
      <c r="C305" s="25" t="s">
        <v>833</v>
      </c>
      <c r="D305" s="28"/>
      <c r="E305" s="28"/>
      <c r="F305" s="28"/>
      <c r="G305" s="28"/>
      <c r="H305" s="28"/>
      <c r="I305" s="28"/>
      <c r="J305" s="28"/>
      <c r="K305" s="28"/>
    </row>
    <row r="306" spans="1:11" ht="14" x14ac:dyDescent="0.25">
      <c r="C306" s="22" t="s">
        <v>267</v>
      </c>
      <c r="H306" s="143">
        <v>274.68</v>
      </c>
      <c r="I306" s="143"/>
      <c r="J306" s="143">
        <v>1301.98</v>
      </c>
      <c r="K306" s="143"/>
    </row>
    <row r="308" spans="1:11" ht="70" x14ac:dyDescent="0.25">
      <c r="A308" s="10">
        <v>43</v>
      </c>
      <c r="B308" s="10" t="s">
        <v>834</v>
      </c>
      <c r="C308" s="10" t="s">
        <v>847</v>
      </c>
      <c r="D308" s="12" t="s">
        <v>52</v>
      </c>
      <c r="E308" s="11">
        <v>14.7</v>
      </c>
      <c r="F308" s="14">
        <v>44.66</v>
      </c>
      <c r="G308" s="15" t="s">
        <v>1</v>
      </c>
      <c r="H308" s="11">
        <v>1</v>
      </c>
      <c r="I308" s="14">
        <v>656.5</v>
      </c>
      <c r="J308" s="11">
        <v>5.21</v>
      </c>
      <c r="K308" s="14">
        <v>3420.37</v>
      </c>
    </row>
    <row r="309" spans="1:11" x14ac:dyDescent="0.25">
      <c r="A309" s="28"/>
      <c r="B309" s="28"/>
      <c r="C309" s="25" t="s">
        <v>835</v>
      </c>
      <c r="D309" s="28"/>
      <c r="E309" s="28"/>
      <c r="F309" s="28"/>
      <c r="G309" s="28"/>
      <c r="H309" s="28"/>
      <c r="I309" s="28"/>
      <c r="J309" s="28"/>
      <c r="K309" s="28"/>
    </row>
    <row r="310" spans="1:11" ht="14" x14ac:dyDescent="0.25">
      <c r="C310" s="22" t="s">
        <v>267</v>
      </c>
      <c r="H310" s="143">
        <v>656.5</v>
      </c>
      <c r="I310" s="143"/>
      <c r="J310" s="143">
        <v>3420.37</v>
      </c>
      <c r="K310" s="143"/>
    </row>
    <row r="312" spans="1:11" ht="70" x14ac:dyDescent="0.25">
      <c r="A312" s="10">
        <v>44</v>
      </c>
      <c r="B312" s="10" t="s">
        <v>836</v>
      </c>
      <c r="C312" s="10" t="s">
        <v>848</v>
      </c>
      <c r="D312" s="12" t="s">
        <v>52</v>
      </c>
      <c r="E312" s="11">
        <v>10.5</v>
      </c>
      <c r="F312" s="14">
        <v>48.43</v>
      </c>
      <c r="G312" s="15" t="s">
        <v>1</v>
      </c>
      <c r="H312" s="11">
        <v>1</v>
      </c>
      <c r="I312" s="14">
        <v>508.52</v>
      </c>
      <c r="J312" s="11">
        <v>5.21</v>
      </c>
      <c r="K312" s="14">
        <v>2649.39</v>
      </c>
    </row>
    <row r="313" spans="1:11" x14ac:dyDescent="0.25">
      <c r="A313" s="28"/>
      <c r="B313" s="28"/>
      <c r="C313" s="25" t="s">
        <v>831</v>
      </c>
      <c r="D313" s="28"/>
      <c r="E313" s="28"/>
      <c r="F313" s="28"/>
      <c r="G313" s="28"/>
      <c r="H313" s="28"/>
      <c r="I313" s="28"/>
      <c r="J313" s="28"/>
      <c r="K313" s="28"/>
    </row>
    <row r="314" spans="1:11" ht="14" x14ac:dyDescent="0.25">
      <c r="C314" s="22" t="s">
        <v>267</v>
      </c>
      <c r="H314" s="143">
        <v>508.52</v>
      </c>
      <c r="I314" s="143"/>
      <c r="J314" s="143">
        <v>2649.39</v>
      </c>
      <c r="K314" s="143"/>
    </row>
    <row r="316" spans="1:11" ht="70" x14ac:dyDescent="0.25">
      <c r="A316" s="10">
        <v>45</v>
      </c>
      <c r="B316" s="10" t="s">
        <v>837</v>
      </c>
      <c r="C316" s="10" t="s">
        <v>780</v>
      </c>
      <c r="D316" s="12" t="s">
        <v>52</v>
      </c>
      <c r="E316" s="11">
        <v>5.25</v>
      </c>
      <c r="F316" s="14">
        <v>74.37</v>
      </c>
      <c r="G316" s="15" t="s">
        <v>1</v>
      </c>
      <c r="H316" s="11">
        <v>1</v>
      </c>
      <c r="I316" s="14">
        <v>390.44</v>
      </c>
      <c r="J316" s="11">
        <v>5.21</v>
      </c>
      <c r="K316" s="14">
        <v>2034.19</v>
      </c>
    </row>
    <row r="317" spans="1:11" x14ac:dyDescent="0.25">
      <c r="A317" s="28"/>
      <c r="B317" s="28"/>
      <c r="C317" s="25" t="s">
        <v>571</v>
      </c>
      <c r="D317" s="28"/>
      <c r="E317" s="28"/>
      <c r="F317" s="28"/>
      <c r="G317" s="28"/>
      <c r="H317" s="28"/>
      <c r="I317" s="28"/>
      <c r="J317" s="28"/>
      <c r="K317" s="28"/>
    </row>
    <row r="318" spans="1:11" ht="14" x14ac:dyDescent="0.25">
      <c r="C318" s="22" t="s">
        <v>267</v>
      </c>
      <c r="H318" s="143">
        <v>390.44</v>
      </c>
      <c r="I318" s="143"/>
      <c r="J318" s="143">
        <v>2034.19</v>
      </c>
      <c r="K318" s="143"/>
    </row>
    <row r="320" spans="1:11" ht="144" x14ac:dyDescent="0.25">
      <c r="A320" s="10">
        <v>46</v>
      </c>
      <c r="B320" s="10" t="s">
        <v>781</v>
      </c>
      <c r="C320" s="10" t="s">
        <v>782</v>
      </c>
      <c r="D320" s="12" t="s">
        <v>838</v>
      </c>
      <c r="E320" s="11">
        <v>0.11</v>
      </c>
      <c r="F320" s="14"/>
      <c r="G320" s="13"/>
      <c r="H320" s="11"/>
      <c r="I320" s="14"/>
      <c r="J320" s="11"/>
      <c r="K320" s="14"/>
    </row>
    <row r="321" spans="1:11" x14ac:dyDescent="0.25">
      <c r="C321" s="23" t="s">
        <v>839</v>
      </c>
    </row>
    <row r="322" spans="1:11" ht="14.5" x14ac:dyDescent="0.25">
      <c r="A322" s="10"/>
      <c r="B322" s="10"/>
      <c r="C322" s="10" t="s">
        <v>256</v>
      </c>
      <c r="D322" s="12"/>
      <c r="E322" s="11"/>
      <c r="F322" s="14">
        <v>74.13</v>
      </c>
      <c r="G322" s="15" t="s">
        <v>460</v>
      </c>
      <c r="H322" s="11">
        <v>1</v>
      </c>
      <c r="I322" s="14">
        <v>11.25</v>
      </c>
      <c r="J322" s="11">
        <v>57.05</v>
      </c>
      <c r="K322" s="14">
        <v>641.80999999999995</v>
      </c>
    </row>
    <row r="323" spans="1:11" ht="14.5" x14ac:dyDescent="0.25">
      <c r="A323" s="10"/>
      <c r="B323" s="10"/>
      <c r="C323" s="10" t="s">
        <v>257</v>
      </c>
      <c r="D323" s="12"/>
      <c r="E323" s="11"/>
      <c r="F323" s="14">
        <v>13.64</v>
      </c>
      <c r="G323" s="15" t="s">
        <v>461</v>
      </c>
      <c r="H323" s="11">
        <v>1</v>
      </c>
      <c r="I323" s="14">
        <v>2.25</v>
      </c>
      <c r="J323" s="11">
        <v>12.24</v>
      </c>
      <c r="K323" s="14">
        <v>27.54</v>
      </c>
    </row>
    <row r="324" spans="1:11" ht="14.5" x14ac:dyDescent="0.25">
      <c r="A324" s="10"/>
      <c r="B324" s="10"/>
      <c r="C324" s="10" t="s">
        <v>258</v>
      </c>
      <c r="D324" s="12"/>
      <c r="E324" s="11"/>
      <c r="F324" s="14">
        <v>0.25</v>
      </c>
      <c r="G324" s="15" t="s">
        <v>461</v>
      </c>
      <c r="H324" s="11">
        <v>1</v>
      </c>
      <c r="I324" s="16">
        <v>0.04</v>
      </c>
      <c r="J324" s="11">
        <v>57.05</v>
      </c>
      <c r="K324" s="16">
        <v>2.2799999999999998</v>
      </c>
    </row>
    <row r="325" spans="1:11" ht="14.5" x14ac:dyDescent="0.25">
      <c r="A325" s="10"/>
      <c r="B325" s="10"/>
      <c r="C325" s="10" t="s">
        <v>259</v>
      </c>
      <c r="D325" s="12"/>
      <c r="E325" s="11"/>
      <c r="F325" s="14">
        <v>9.44</v>
      </c>
      <c r="G325" s="15" t="s">
        <v>1</v>
      </c>
      <c r="H325" s="11">
        <v>1</v>
      </c>
      <c r="I325" s="14">
        <v>1.04</v>
      </c>
      <c r="J325" s="11">
        <v>34.840000000000003</v>
      </c>
      <c r="K325" s="14">
        <v>36.229999999999997</v>
      </c>
    </row>
    <row r="326" spans="1:11" ht="14.5" x14ac:dyDescent="0.25">
      <c r="A326" s="10" t="s">
        <v>783</v>
      </c>
      <c r="B326" s="10" t="s">
        <v>840</v>
      </c>
      <c r="C326" s="10" t="s">
        <v>784</v>
      </c>
      <c r="D326" s="12" t="s">
        <v>28</v>
      </c>
      <c r="E326" s="11">
        <v>9.8999999999999999E-4</v>
      </c>
      <c r="F326" s="14">
        <v>18653.07</v>
      </c>
      <c r="G326" s="15" t="s">
        <v>1</v>
      </c>
      <c r="H326" s="11">
        <v>1</v>
      </c>
      <c r="I326" s="14">
        <v>18.47</v>
      </c>
      <c r="J326" s="11">
        <v>3.59</v>
      </c>
      <c r="K326" s="14">
        <v>66.31</v>
      </c>
    </row>
    <row r="327" spans="1:11" ht="14.5" x14ac:dyDescent="0.25">
      <c r="A327" s="10"/>
      <c r="B327" s="10"/>
      <c r="C327" s="10" t="s">
        <v>260</v>
      </c>
      <c r="D327" s="12" t="s">
        <v>261</v>
      </c>
      <c r="E327" s="11">
        <v>85</v>
      </c>
      <c r="F327" s="14"/>
      <c r="G327" s="13"/>
      <c r="H327" s="11"/>
      <c r="I327" s="14">
        <v>9.6</v>
      </c>
      <c r="J327" s="11">
        <v>85</v>
      </c>
      <c r="K327" s="14">
        <v>547.48</v>
      </c>
    </row>
    <row r="328" spans="1:11" ht="14.5" x14ac:dyDescent="0.25">
      <c r="A328" s="10"/>
      <c r="B328" s="10"/>
      <c r="C328" s="10" t="s">
        <v>262</v>
      </c>
      <c r="D328" s="12" t="s">
        <v>261</v>
      </c>
      <c r="E328" s="11">
        <v>43</v>
      </c>
      <c r="F328" s="14"/>
      <c r="G328" s="13"/>
      <c r="H328" s="11"/>
      <c r="I328" s="14">
        <v>4.8499999999999996</v>
      </c>
      <c r="J328" s="11">
        <v>43</v>
      </c>
      <c r="K328" s="14">
        <v>276.95999999999998</v>
      </c>
    </row>
    <row r="329" spans="1:11" ht="14.5" x14ac:dyDescent="0.25">
      <c r="A329" s="17"/>
      <c r="B329" s="17"/>
      <c r="C329" s="17" t="s">
        <v>263</v>
      </c>
      <c r="D329" s="18" t="s">
        <v>264</v>
      </c>
      <c r="E329" s="19">
        <v>5.31</v>
      </c>
      <c r="F329" s="20"/>
      <c r="G329" s="21" t="s">
        <v>460</v>
      </c>
      <c r="H329" s="19">
        <v>1</v>
      </c>
      <c r="I329" s="20">
        <v>0.81</v>
      </c>
      <c r="J329" s="19"/>
      <c r="K329" s="20"/>
    </row>
    <row r="330" spans="1:11" ht="14" x14ac:dyDescent="0.25">
      <c r="C330" s="22" t="s">
        <v>265</v>
      </c>
      <c r="H330" s="143">
        <v>47.46</v>
      </c>
      <c r="I330" s="143"/>
      <c r="J330" s="143">
        <v>1596.33</v>
      </c>
      <c r="K330" s="143"/>
    </row>
    <row r="331" spans="1:11" ht="14" x14ac:dyDescent="0.25">
      <c r="C331" s="22" t="s">
        <v>267</v>
      </c>
      <c r="H331" s="141">
        <v>47.46</v>
      </c>
      <c r="I331" s="141"/>
      <c r="J331" s="141">
        <v>1596.33</v>
      </c>
      <c r="K331" s="141"/>
    </row>
    <row r="333" spans="1:11" ht="144" x14ac:dyDescent="0.25">
      <c r="A333" s="10">
        <v>47</v>
      </c>
      <c r="B333" s="10" t="s">
        <v>785</v>
      </c>
      <c r="C333" s="10" t="s">
        <v>786</v>
      </c>
      <c r="D333" s="12" t="s">
        <v>838</v>
      </c>
      <c r="E333" s="11">
        <v>3.5000000000000003E-2</v>
      </c>
      <c r="F333" s="14"/>
      <c r="G333" s="13"/>
      <c r="H333" s="11"/>
      <c r="I333" s="14"/>
      <c r="J333" s="11"/>
      <c r="K333" s="14"/>
    </row>
    <row r="334" spans="1:11" x14ac:dyDescent="0.25">
      <c r="C334" s="23" t="s">
        <v>841</v>
      </c>
    </row>
    <row r="335" spans="1:11" ht="28" x14ac:dyDescent="0.25">
      <c r="A335" s="10"/>
      <c r="B335" s="10"/>
      <c r="C335" s="10" t="s">
        <v>256</v>
      </c>
      <c r="D335" s="12"/>
      <c r="E335" s="11"/>
      <c r="F335" s="14">
        <v>29.51</v>
      </c>
      <c r="G335" s="15" t="s">
        <v>787</v>
      </c>
      <c r="H335" s="11">
        <v>1</v>
      </c>
      <c r="I335" s="14">
        <v>2.85</v>
      </c>
      <c r="J335" s="11">
        <v>57.05</v>
      </c>
      <c r="K335" s="14">
        <v>162.59</v>
      </c>
    </row>
    <row r="336" spans="1:11" ht="28" x14ac:dyDescent="0.25">
      <c r="A336" s="10"/>
      <c r="B336" s="10"/>
      <c r="C336" s="10" t="s">
        <v>257</v>
      </c>
      <c r="D336" s="12"/>
      <c r="E336" s="11"/>
      <c r="F336" s="14">
        <v>13.64</v>
      </c>
      <c r="G336" s="15" t="s">
        <v>788</v>
      </c>
      <c r="H336" s="11">
        <v>1</v>
      </c>
      <c r="I336" s="14">
        <v>1.43</v>
      </c>
      <c r="J336" s="11">
        <v>12.24</v>
      </c>
      <c r="K336" s="14">
        <v>17.5</v>
      </c>
    </row>
    <row r="337" spans="1:11" ht="28" x14ac:dyDescent="0.25">
      <c r="A337" s="10"/>
      <c r="B337" s="10"/>
      <c r="C337" s="10" t="s">
        <v>258</v>
      </c>
      <c r="D337" s="12"/>
      <c r="E337" s="11"/>
      <c r="F337" s="14">
        <v>0.25</v>
      </c>
      <c r="G337" s="15" t="s">
        <v>788</v>
      </c>
      <c r="H337" s="11">
        <v>1</v>
      </c>
      <c r="I337" s="16">
        <v>0.03</v>
      </c>
      <c r="J337" s="11">
        <v>57.05</v>
      </c>
      <c r="K337" s="16">
        <v>1.71</v>
      </c>
    </row>
    <row r="338" spans="1:11" ht="14.5" x14ac:dyDescent="0.25">
      <c r="A338" s="10"/>
      <c r="B338" s="10"/>
      <c r="C338" s="10" t="s">
        <v>259</v>
      </c>
      <c r="D338" s="12"/>
      <c r="E338" s="11"/>
      <c r="F338" s="14">
        <v>432.57</v>
      </c>
      <c r="G338" s="15" t="s">
        <v>10</v>
      </c>
      <c r="H338" s="11">
        <v>1</v>
      </c>
      <c r="I338" s="14">
        <v>30.28</v>
      </c>
      <c r="J338" s="11">
        <v>3.46</v>
      </c>
      <c r="K338" s="14">
        <v>104.77</v>
      </c>
    </row>
    <row r="339" spans="1:11" ht="140" x14ac:dyDescent="0.25">
      <c r="A339" s="10" t="s">
        <v>789</v>
      </c>
      <c r="B339" s="10" t="s">
        <v>842</v>
      </c>
      <c r="C339" s="10" t="s">
        <v>790</v>
      </c>
      <c r="D339" s="12" t="s">
        <v>9</v>
      </c>
      <c r="E339" s="11">
        <v>0.45500000000000002</v>
      </c>
      <c r="F339" s="14">
        <v>65</v>
      </c>
      <c r="G339" s="15" t="s">
        <v>1</v>
      </c>
      <c r="H339" s="11">
        <v>1</v>
      </c>
      <c r="I339" s="14">
        <v>29.58</v>
      </c>
      <c r="J339" s="11">
        <v>6.14</v>
      </c>
      <c r="K339" s="14">
        <v>181.62</v>
      </c>
    </row>
    <row r="340" spans="1:11" ht="14.5" x14ac:dyDescent="0.25">
      <c r="A340" s="10"/>
      <c r="B340" s="10"/>
      <c r="C340" s="10" t="s">
        <v>260</v>
      </c>
      <c r="D340" s="12" t="s">
        <v>261</v>
      </c>
      <c r="E340" s="11">
        <v>85</v>
      </c>
      <c r="F340" s="14"/>
      <c r="G340" s="13"/>
      <c r="H340" s="11"/>
      <c r="I340" s="14">
        <v>2.4500000000000002</v>
      </c>
      <c r="J340" s="11">
        <v>85</v>
      </c>
      <c r="K340" s="14">
        <v>139.66</v>
      </c>
    </row>
    <row r="341" spans="1:11" ht="14.5" x14ac:dyDescent="0.25">
      <c r="A341" s="10"/>
      <c r="B341" s="10"/>
      <c r="C341" s="10" t="s">
        <v>262</v>
      </c>
      <c r="D341" s="12" t="s">
        <v>261</v>
      </c>
      <c r="E341" s="11">
        <v>43</v>
      </c>
      <c r="F341" s="14"/>
      <c r="G341" s="13"/>
      <c r="H341" s="11"/>
      <c r="I341" s="14">
        <v>1.24</v>
      </c>
      <c r="J341" s="11">
        <v>43</v>
      </c>
      <c r="K341" s="14">
        <v>70.650000000000006</v>
      </c>
    </row>
    <row r="342" spans="1:11" ht="28" x14ac:dyDescent="0.25">
      <c r="A342" s="17"/>
      <c r="B342" s="17"/>
      <c r="C342" s="17" t="s">
        <v>263</v>
      </c>
      <c r="D342" s="18" t="s">
        <v>264</v>
      </c>
      <c r="E342" s="19">
        <v>2.48</v>
      </c>
      <c r="F342" s="20"/>
      <c r="G342" s="21" t="s">
        <v>787</v>
      </c>
      <c r="H342" s="19">
        <v>1</v>
      </c>
      <c r="I342" s="20">
        <v>0.24</v>
      </c>
      <c r="J342" s="19"/>
      <c r="K342" s="20"/>
    </row>
    <row r="343" spans="1:11" ht="14" x14ac:dyDescent="0.25">
      <c r="C343" s="22" t="s">
        <v>265</v>
      </c>
      <c r="H343" s="143">
        <v>67.83</v>
      </c>
      <c r="I343" s="143"/>
      <c r="J343" s="143">
        <v>676.79</v>
      </c>
      <c r="K343" s="143"/>
    </row>
    <row r="344" spans="1:11" ht="14" x14ac:dyDescent="0.25">
      <c r="C344" s="22" t="s">
        <v>267</v>
      </c>
      <c r="H344" s="141">
        <v>67.83</v>
      </c>
      <c r="I344" s="141"/>
      <c r="J344" s="141">
        <v>676.79</v>
      </c>
      <c r="K344" s="141"/>
    </row>
    <row r="347" spans="1:11" ht="14" x14ac:dyDescent="0.3">
      <c r="A347" s="140" t="s">
        <v>843</v>
      </c>
      <c r="B347" s="140"/>
      <c r="C347" s="140"/>
      <c r="D347" s="140"/>
      <c r="E347" s="140"/>
      <c r="F347" s="140"/>
      <c r="G347" s="140"/>
      <c r="H347" s="141">
        <v>68455.33</v>
      </c>
      <c r="I347" s="142"/>
      <c r="J347" s="141">
        <v>619116.92000000004</v>
      </c>
      <c r="K347" s="142"/>
    </row>
    <row r="349" spans="1:11" ht="14" x14ac:dyDescent="0.3">
      <c r="A349" s="140" t="s">
        <v>435</v>
      </c>
      <c r="B349" s="140"/>
      <c r="C349" s="140"/>
      <c r="D349" s="140"/>
      <c r="E349" s="140"/>
      <c r="F349" s="140"/>
      <c r="G349" s="140"/>
      <c r="H349" s="141">
        <v>68455.33</v>
      </c>
      <c r="I349" s="142"/>
      <c r="J349" s="141">
        <v>619116.92000000004</v>
      </c>
      <c r="K349" s="142"/>
    </row>
  </sheetData>
  <mergeCells count="152">
    <mergeCell ref="J2:K2"/>
    <mergeCell ref="A3:K3"/>
    <mergeCell ref="A4:K4"/>
    <mergeCell ref="A6:K6"/>
    <mergeCell ref="A8:K8"/>
    <mergeCell ref="A9:K9"/>
    <mergeCell ref="A24:K24"/>
    <mergeCell ref="H34:I34"/>
    <mergeCell ref="J34:K34"/>
    <mergeCell ref="H35:I35"/>
    <mergeCell ref="J35:K35"/>
    <mergeCell ref="E17:H17"/>
    <mergeCell ref="E18:H18"/>
    <mergeCell ref="A21:K21"/>
    <mergeCell ref="E13:H13"/>
    <mergeCell ref="E14:H14"/>
    <mergeCell ref="E15:H15"/>
    <mergeCell ref="E16:H16"/>
    <mergeCell ref="H50:I50"/>
    <mergeCell ref="J50:K50"/>
    <mergeCell ref="H53:I53"/>
    <mergeCell ref="J53:K53"/>
    <mergeCell ref="H56:I56"/>
    <mergeCell ref="J56:K56"/>
    <mergeCell ref="H38:I38"/>
    <mergeCell ref="J38:K38"/>
    <mergeCell ref="H49:I49"/>
    <mergeCell ref="J49:K49"/>
    <mergeCell ref="H68:I68"/>
    <mergeCell ref="J68:K68"/>
    <mergeCell ref="H79:I79"/>
    <mergeCell ref="J79:K79"/>
    <mergeCell ref="H59:I59"/>
    <mergeCell ref="J59:K59"/>
    <mergeCell ref="H62:I62"/>
    <mergeCell ref="J62:K62"/>
    <mergeCell ref="H65:I65"/>
    <mergeCell ref="J65:K65"/>
    <mergeCell ref="H109:I109"/>
    <mergeCell ref="J109:K109"/>
    <mergeCell ref="H110:I110"/>
    <mergeCell ref="J110:K110"/>
    <mergeCell ref="H95:I95"/>
    <mergeCell ref="J95:K95"/>
    <mergeCell ref="H98:I98"/>
    <mergeCell ref="J98:K98"/>
    <mergeCell ref="H80:I80"/>
    <mergeCell ref="J80:K80"/>
    <mergeCell ref="H83:I83"/>
    <mergeCell ref="J83:K83"/>
    <mergeCell ref="H94:I94"/>
    <mergeCell ref="J94:K94"/>
    <mergeCell ref="H122:I122"/>
    <mergeCell ref="J122:K122"/>
    <mergeCell ref="H133:I133"/>
    <mergeCell ref="J133:K133"/>
    <mergeCell ref="H113:I113"/>
    <mergeCell ref="J113:K113"/>
    <mergeCell ref="H116:I116"/>
    <mergeCell ref="J116:K116"/>
    <mergeCell ref="H119:I119"/>
    <mergeCell ref="J119:K119"/>
    <mergeCell ref="H149:I149"/>
    <mergeCell ref="J149:K149"/>
    <mergeCell ref="H150:I150"/>
    <mergeCell ref="J150:K150"/>
    <mergeCell ref="H134:I134"/>
    <mergeCell ref="J134:K134"/>
    <mergeCell ref="H137:I137"/>
    <mergeCell ref="J137:K137"/>
    <mergeCell ref="H140:I140"/>
    <mergeCell ref="J140:K140"/>
    <mergeCell ref="H162:I162"/>
    <mergeCell ref="J162:K162"/>
    <mergeCell ref="H165:I165"/>
    <mergeCell ref="J165:K165"/>
    <mergeCell ref="H168:I168"/>
    <mergeCell ref="J168:K168"/>
    <mergeCell ref="H153:I153"/>
    <mergeCell ref="J153:K153"/>
    <mergeCell ref="H156:I156"/>
    <mergeCell ref="J156:K156"/>
    <mergeCell ref="H159:I159"/>
    <mergeCell ref="J159:K159"/>
    <mergeCell ref="H197:I197"/>
    <mergeCell ref="J197:K197"/>
    <mergeCell ref="H209:I209"/>
    <mergeCell ref="J209:K209"/>
    <mergeCell ref="H184:I184"/>
    <mergeCell ref="J184:K184"/>
    <mergeCell ref="H196:I196"/>
    <mergeCell ref="J196:K196"/>
    <mergeCell ref="H171:I171"/>
    <mergeCell ref="J171:K171"/>
    <mergeCell ref="H183:I183"/>
    <mergeCell ref="J183:K183"/>
    <mergeCell ref="H236:I236"/>
    <mergeCell ref="J236:K236"/>
    <mergeCell ref="H248:I248"/>
    <mergeCell ref="J248:K248"/>
    <mergeCell ref="H223:I223"/>
    <mergeCell ref="J223:K223"/>
    <mergeCell ref="H235:I235"/>
    <mergeCell ref="J235:K235"/>
    <mergeCell ref="H210:I210"/>
    <mergeCell ref="J210:K210"/>
    <mergeCell ref="H222:I222"/>
    <mergeCell ref="J222:K222"/>
    <mergeCell ref="H272:I272"/>
    <mergeCell ref="J272:K272"/>
    <mergeCell ref="H281:I281"/>
    <mergeCell ref="J281:K281"/>
    <mergeCell ref="H262:I262"/>
    <mergeCell ref="J262:K262"/>
    <mergeCell ref="H271:I271"/>
    <mergeCell ref="J271:K271"/>
    <mergeCell ref="H249:I249"/>
    <mergeCell ref="J249:K249"/>
    <mergeCell ref="H261:I261"/>
    <mergeCell ref="J261:K261"/>
    <mergeCell ref="H294:I294"/>
    <mergeCell ref="J294:K294"/>
    <mergeCell ref="H298:I298"/>
    <mergeCell ref="J298:K298"/>
    <mergeCell ref="H302:I302"/>
    <mergeCell ref="J302:K302"/>
    <mergeCell ref="H282:I282"/>
    <mergeCell ref="J282:K282"/>
    <mergeCell ref="H293:I293"/>
    <mergeCell ref="J293:K293"/>
    <mergeCell ref="H318:I318"/>
    <mergeCell ref="J318:K318"/>
    <mergeCell ref="H330:I330"/>
    <mergeCell ref="J330:K330"/>
    <mergeCell ref="H306:I306"/>
    <mergeCell ref="J306:K306"/>
    <mergeCell ref="H310:I310"/>
    <mergeCell ref="J310:K310"/>
    <mergeCell ref="H314:I314"/>
    <mergeCell ref="J314:K314"/>
    <mergeCell ref="A349:G349"/>
    <mergeCell ref="H349:I349"/>
    <mergeCell ref="J349:K349"/>
    <mergeCell ref="H344:I344"/>
    <mergeCell ref="J344:K344"/>
    <mergeCell ref="A347:G347"/>
    <mergeCell ref="H347:I347"/>
    <mergeCell ref="J347:K347"/>
    <mergeCell ref="H331:I331"/>
    <mergeCell ref="J331:K331"/>
    <mergeCell ref="H343:I343"/>
    <mergeCell ref="J343:K34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A969-9FB4-4390-A70C-0C8E1179FCFC}">
  <dimension ref="A1:K136"/>
  <sheetViews>
    <sheetView topLeftCell="A125" zoomScale="66" workbookViewId="0">
      <selection activeCell="F87" sqref="F87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8" style="27" bestFit="1" customWidth="1"/>
    <col min="6" max="6" width="12.453125" style="27" customWidth="1"/>
    <col min="7" max="7" width="8.453125" style="27" bestFit="1" customWidth="1"/>
    <col min="8" max="8" width="9.1796875" style="27"/>
    <col min="9" max="9" width="17" style="27" customWidth="1"/>
    <col min="10" max="10" width="9.1796875" style="27"/>
    <col min="11" max="11" width="17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872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896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187.84</v>
      </c>
      <c r="J13" s="5">
        <v>1809.85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24.86</v>
      </c>
      <c r="J14" s="7">
        <v>575.29999999999995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0.11</v>
      </c>
      <c r="J15" s="7">
        <v>6.54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162.87</v>
      </c>
      <c r="J16" s="7">
        <v>1228.01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3.16</v>
      </c>
      <c r="J17" s="7">
        <v>180.19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242.54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43.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873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144" x14ac:dyDescent="0.25">
      <c r="A25" s="10">
        <v>1</v>
      </c>
      <c r="B25" s="10" t="s">
        <v>849</v>
      </c>
      <c r="C25" s="10" t="s">
        <v>850</v>
      </c>
      <c r="D25" s="12" t="s">
        <v>874</v>
      </c>
      <c r="E25" s="11">
        <v>25</v>
      </c>
      <c r="F25" s="14"/>
      <c r="G25" s="13"/>
      <c r="H25" s="11"/>
      <c r="I25" s="14"/>
      <c r="J25" s="11"/>
      <c r="K25" s="14"/>
    </row>
    <row r="26" spans="1:11" ht="37.5" x14ac:dyDescent="0.25">
      <c r="C26" s="23" t="s">
        <v>875</v>
      </c>
    </row>
    <row r="27" spans="1:11" ht="14.5" x14ac:dyDescent="0.25">
      <c r="A27" s="10"/>
      <c r="B27" s="10"/>
      <c r="C27" s="10" t="s">
        <v>256</v>
      </c>
      <c r="D27" s="12"/>
      <c r="E27" s="11"/>
      <c r="F27" s="14">
        <v>11.06</v>
      </c>
      <c r="G27" s="15" t="s">
        <v>277</v>
      </c>
      <c r="H27" s="11">
        <v>1</v>
      </c>
      <c r="I27" s="14">
        <v>381.57</v>
      </c>
      <c r="J27" s="11">
        <v>57.05</v>
      </c>
      <c r="K27" s="14">
        <v>21768.57</v>
      </c>
    </row>
    <row r="28" spans="1:11" ht="14.5" x14ac:dyDescent="0.25">
      <c r="A28" s="10"/>
      <c r="B28" s="10"/>
      <c r="C28" s="10" t="s">
        <v>257</v>
      </c>
      <c r="D28" s="12"/>
      <c r="E28" s="11"/>
      <c r="F28" s="14">
        <v>0.65</v>
      </c>
      <c r="G28" s="15" t="s">
        <v>278</v>
      </c>
      <c r="H28" s="11">
        <v>1</v>
      </c>
      <c r="I28" s="14">
        <v>24.38</v>
      </c>
      <c r="J28" s="11">
        <v>14.32</v>
      </c>
      <c r="K28" s="14">
        <v>349.12</v>
      </c>
    </row>
    <row r="29" spans="1:11" ht="14.5" x14ac:dyDescent="0.25">
      <c r="A29" s="10"/>
      <c r="B29" s="10"/>
      <c r="C29" s="10" t="s">
        <v>258</v>
      </c>
      <c r="D29" s="12"/>
      <c r="E29" s="11"/>
      <c r="F29" s="14">
        <v>0.06</v>
      </c>
      <c r="G29" s="15" t="s">
        <v>278</v>
      </c>
      <c r="H29" s="11">
        <v>1</v>
      </c>
      <c r="I29" s="16">
        <v>2.25</v>
      </c>
      <c r="J29" s="11">
        <v>57.05</v>
      </c>
      <c r="K29" s="16">
        <v>128.36000000000001</v>
      </c>
    </row>
    <row r="30" spans="1:11" ht="14.5" x14ac:dyDescent="0.25">
      <c r="A30" s="10"/>
      <c r="B30" s="10"/>
      <c r="C30" s="10" t="s">
        <v>259</v>
      </c>
      <c r="D30" s="12"/>
      <c r="E30" s="11"/>
      <c r="F30" s="14">
        <v>98.58</v>
      </c>
      <c r="G30" s="15" t="s">
        <v>1</v>
      </c>
      <c r="H30" s="11">
        <v>1</v>
      </c>
      <c r="I30" s="14">
        <v>2464.5</v>
      </c>
      <c r="J30" s="11">
        <v>5.14</v>
      </c>
      <c r="K30" s="14">
        <v>12667.53</v>
      </c>
    </row>
    <row r="31" spans="1:11" ht="14.5" x14ac:dyDescent="0.25">
      <c r="A31" s="10"/>
      <c r="B31" s="10"/>
      <c r="C31" s="10" t="s">
        <v>260</v>
      </c>
      <c r="D31" s="12" t="s">
        <v>261</v>
      </c>
      <c r="E31" s="11">
        <v>109</v>
      </c>
      <c r="F31" s="14"/>
      <c r="G31" s="13"/>
      <c r="H31" s="11"/>
      <c r="I31" s="14">
        <v>418.36</v>
      </c>
      <c r="J31" s="11">
        <v>109</v>
      </c>
      <c r="K31" s="14">
        <v>23867.65</v>
      </c>
    </row>
    <row r="32" spans="1:11" ht="14.5" x14ac:dyDescent="0.25">
      <c r="A32" s="10"/>
      <c r="B32" s="10"/>
      <c r="C32" s="10" t="s">
        <v>262</v>
      </c>
      <c r="D32" s="12" t="s">
        <v>261</v>
      </c>
      <c r="E32" s="11">
        <v>61</v>
      </c>
      <c r="F32" s="14"/>
      <c r="G32" s="13"/>
      <c r="H32" s="11"/>
      <c r="I32" s="14">
        <v>234.13</v>
      </c>
      <c r="J32" s="11">
        <v>61</v>
      </c>
      <c r="K32" s="14">
        <v>13357.13</v>
      </c>
    </row>
    <row r="33" spans="1:11" ht="14.5" x14ac:dyDescent="0.25">
      <c r="A33" s="17"/>
      <c r="B33" s="17"/>
      <c r="C33" s="17" t="s">
        <v>263</v>
      </c>
      <c r="D33" s="18" t="s">
        <v>264</v>
      </c>
      <c r="E33" s="19">
        <v>0.82</v>
      </c>
      <c r="F33" s="20"/>
      <c r="G33" s="21" t="s">
        <v>277</v>
      </c>
      <c r="H33" s="19">
        <v>1</v>
      </c>
      <c r="I33" s="20">
        <v>28.29</v>
      </c>
      <c r="J33" s="19"/>
      <c r="K33" s="20"/>
    </row>
    <row r="34" spans="1:11" ht="14" x14ac:dyDescent="0.25">
      <c r="C34" s="22" t="s">
        <v>265</v>
      </c>
      <c r="H34" s="143">
        <v>3522.94</v>
      </c>
      <c r="I34" s="143"/>
      <c r="J34" s="143">
        <v>72010</v>
      </c>
      <c r="K34" s="143"/>
    </row>
    <row r="35" spans="1:11" ht="14" x14ac:dyDescent="0.25">
      <c r="C35" s="22" t="s">
        <v>267</v>
      </c>
      <c r="H35" s="141">
        <v>3522.94</v>
      </c>
      <c r="I35" s="141"/>
      <c r="J35" s="141">
        <v>72010</v>
      </c>
      <c r="K35" s="141"/>
    </row>
    <row r="37" spans="1:11" ht="144" x14ac:dyDescent="0.25">
      <c r="A37" s="10">
        <v>2</v>
      </c>
      <c r="B37" s="10" t="s">
        <v>851</v>
      </c>
      <c r="C37" s="10" t="s">
        <v>852</v>
      </c>
      <c r="D37" s="12" t="s">
        <v>874</v>
      </c>
      <c r="E37" s="11">
        <v>25</v>
      </c>
      <c r="F37" s="14"/>
      <c r="G37" s="13"/>
      <c r="H37" s="11"/>
      <c r="I37" s="14"/>
      <c r="J37" s="11"/>
      <c r="K37" s="14"/>
    </row>
    <row r="38" spans="1:11" ht="14.5" x14ac:dyDescent="0.25">
      <c r="A38" s="10"/>
      <c r="B38" s="10"/>
      <c r="C38" s="10" t="s">
        <v>256</v>
      </c>
      <c r="D38" s="12"/>
      <c r="E38" s="11"/>
      <c r="F38" s="14">
        <v>79.45</v>
      </c>
      <c r="G38" s="15" t="s">
        <v>277</v>
      </c>
      <c r="H38" s="11">
        <v>1</v>
      </c>
      <c r="I38" s="14">
        <v>2741.03</v>
      </c>
      <c r="J38" s="11">
        <v>57.05</v>
      </c>
      <c r="K38" s="14">
        <v>156375.76</v>
      </c>
    </row>
    <row r="39" spans="1:11" ht="14.5" x14ac:dyDescent="0.25">
      <c r="A39" s="10"/>
      <c r="B39" s="10"/>
      <c r="C39" s="10" t="s">
        <v>257</v>
      </c>
      <c r="D39" s="12"/>
      <c r="E39" s="11"/>
      <c r="F39" s="14">
        <v>0.89</v>
      </c>
      <c r="G39" s="15" t="s">
        <v>278</v>
      </c>
      <c r="H39" s="11">
        <v>1</v>
      </c>
      <c r="I39" s="14">
        <v>33.380000000000003</v>
      </c>
      <c r="J39" s="11">
        <v>12.98</v>
      </c>
      <c r="K39" s="14">
        <v>433.27</v>
      </c>
    </row>
    <row r="40" spans="1:11" ht="14.5" x14ac:dyDescent="0.25">
      <c r="A40" s="10"/>
      <c r="B40" s="10"/>
      <c r="C40" s="10" t="s">
        <v>258</v>
      </c>
      <c r="D40" s="12"/>
      <c r="E40" s="11"/>
      <c r="F40" s="14">
        <v>0.05</v>
      </c>
      <c r="G40" s="15" t="s">
        <v>278</v>
      </c>
      <c r="H40" s="11">
        <v>1</v>
      </c>
      <c r="I40" s="16">
        <v>1.88</v>
      </c>
      <c r="J40" s="11">
        <v>57.05</v>
      </c>
      <c r="K40" s="16">
        <v>107.25</v>
      </c>
    </row>
    <row r="41" spans="1:11" ht="14.5" x14ac:dyDescent="0.25">
      <c r="A41" s="10"/>
      <c r="B41" s="10"/>
      <c r="C41" s="10" t="s">
        <v>259</v>
      </c>
      <c r="D41" s="12"/>
      <c r="E41" s="11"/>
      <c r="F41" s="14">
        <v>289.06</v>
      </c>
      <c r="G41" s="15" t="s">
        <v>1</v>
      </c>
      <c r="H41" s="11">
        <v>1</v>
      </c>
      <c r="I41" s="14">
        <v>7226.5</v>
      </c>
      <c r="J41" s="11">
        <v>8.0299999999999994</v>
      </c>
      <c r="K41" s="14">
        <v>58028.800000000003</v>
      </c>
    </row>
    <row r="42" spans="1:11" ht="14.5" x14ac:dyDescent="0.25">
      <c r="A42" s="10"/>
      <c r="B42" s="10"/>
      <c r="C42" s="10" t="s">
        <v>260</v>
      </c>
      <c r="D42" s="12" t="s">
        <v>261</v>
      </c>
      <c r="E42" s="11">
        <v>109</v>
      </c>
      <c r="F42" s="14"/>
      <c r="G42" s="13"/>
      <c r="H42" s="11"/>
      <c r="I42" s="14">
        <v>2989.77</v>
      </c>
      <c r="J42" s="11">
        <v>109</v>
      </c>
      <c r="K42" s="14">
        <v>170566.48</v>
      </c>
    </row>
    <row r="43" spans="1:11" ht="14.5" x14ac:dyDescent="0.25">
      <c r="A43" s="10"/>
      <c r="B43" s="10"/>
      <c r="C43" s="10" t="s">
        <v>262</v>
      </c>
      <c r="D43" s="12" t="s">
        <v>261</v>
      </c>
      <c r="E43" s="11">
        <v>61</v>
      </c>
      <c r="F43" s="14"/>
      <c r="G43" s="13"/>
      <c r="H43" s="11"/>
      <c r="I43" s="14">
        <v>1673.18</v>
      </c>
      <c r="J43" s="11">
        <v>61</v>
      </c>
      <c r="K43" s="14">
        <v>95454.64</v>
      </c>
    </row>
    <row r="44" spans="1:11" ht="14.5" x14ac:dyDescent="0.25">
      <c r="A44" s="17"/>
      <c r="B44" s="17"/>
      <c r="C44" s="17" t="s">
        <v>263</v>
      </c>
      <c r="D44" s="18" t="s">
        <v>264</v>
      </c>
      <c r="E44" s="19">
        <v>6.14</v>
      </c>
      <c r="F44" s="20"/>
      <c r="G44" s="21" t="s">
        <v>277</v>
      </c>
      <c r="H44" s="19">
        <v>1</v>
      </c>
      <c r="I44" s="20">
        <v>211.83</v>
      </c>
      <c r="J44" s="19"/>
      <c r="K44" s="20"/>
    </row>
    <row r="45" spans="1:11" ht="14" x14ac:dyDescent="0.25">
      <c r="C45" s="22" t="s">
        <v>265</v>
      </c>
      <c r="H45" s="143">
        <v>14663.86</v>
      </c>
      <c r="I45" s="143"/>
      <c r="J45" s="143">
        <v>480858.95</v>
      </c>
      <c r="K45" s="143"/>
    </row>
    <row r="46" spans="1:11" ht="14" x14ac:dyDescent="0.25">
      <c r="C46" s="22" t="s">
        <v>267</v>
      </c>
      <c r="H46" s="141">
        <v>14663.86</v>
      </c>
      <c r="I46" s="141"/>
      <c r="J46" s="141">
        <v>480858.95</v>
      </c>
      <c r="K46" s="141"/>
    </row>
    <row r="48" spans="1:11" ht="144" x14ac:dyDescent="0.25">
      <c r="A48" s="10">
        <v>3</v>
      </c>
      <c r="B48" s="10" t="s">
        <v>853</v>
      </c>
      <c r="C48" s="10" t="s">
        <v>854</v>
      </c>
      <c r="D48" s="31" t="s">
        <v>52</v>
      </c>
      <c r="E48" s="30">
        <v>-76.875</v>
      </c>
      <c r="F48" s="30">
        <v>10.78</v>
      </c>
      <c r="G48" s="32" t="s">
        <v>1</v>
      </c>
      <c r="H48" s="30">
        <v>1</v>
      </c>
      <c r="I48" s="30">
        <v>-828.71</v>
      </c>
      <c r="J48" s="30">
        <v>1.56</v>
      </c>
      <c r="K48" s="30">
        <v>-1292.79</v>
      </c>
    </row>
    <row r="49" spans="1:11" x14ac:dyDescent="0.25">
      <c r="A49" s="28"/>
      <c r="B49" s="28"/>
      <c r="C49" s="25" t="s">
        <v>876</v>
      </c>
      <c r="D49" s="33"/>
      <c r="E49" s="33"/>
      <c r="F49" s="33"/>
      <c r="G49" s="33"/>
      <c r="H49" s="33"/>
      <c r="I49" s="33"/>
      <c r="J49" s="33"/>
      <c r="K49" s="33"/>
    </row>
    <row r="50" spans="1:11" ht="14" x14ac:dyDescent="0.25">
      <c r="C50" s="22" t="s">
        <v>267</v>
      </c>
      <c r="D50" s="34"/>
      <c r="E50" s="34"/>
      <c r="F50" s="34"/>
      <c r="G50" s="34"/>
      <c r="H50" s="159">
        <v>-828.71</v>
      </c>
      <c r="I50" s="159"/>
      <c r="J50" s="159">
        <v>-1292.79</v>
      </c>
      <c r="K50" s="159"/>
    </row>
    <row r="51" spans="1:11" x14ac:dyDescent="0.25">
      <c r="D51" s="34"/>
      <c r="E51" s="34"/>
      <c r="F51" s="34"/>
      <c r="G51" s="34"/>
      <c r="H51" s="34"/>
      <c r="I51" s="34"/>
      <c r="J51" s="34"/>
      <c r="K51" s="34"/>
    </row>
    <row r="52" spans="1:11" ht="144" x14ac:dyDescent="0.25">
      <c r="A52" s="10">
        <v>4</v>
      </c>
      <c r="B52" s="10" t="s">
        <v>855</v>
      </c>
      <c r="C52" s="10" t="s">
        <v>856</v>
      </c>
      <c r="D52" s="31" t="s">
        <v>52</v>
      </c>
      <c r="E52" s="30">
        <v>-76.875</v>
      </c>
      <c r="F52" s="30">
        <v>4.37</v>
      </c>
      <c r="G52" s="32" t="s">
        <v>1</v>
      </c>
      <c r="H52" s="30">
        <v>1</v>
      </c>
      <c r="I52" s="30">
        <v>-335.94</v>
      </c>
      <c r="J52" s="30">
        <v>35.03</v>
      </c>
      <c r="K52" s="30">
        <v>-11767.98</v>
      </c>
    </row>
    <row r="53" spans="1:11" x14ac:dyDescent="0.25">
      <c r="A53" s="28"/>
      <c r="B53" s="28"/>
      <c r="C53" s="25" t="s">
        <v>876</v>
      </c>
      <c r="D53" s="33"/>
      <c r="E53" s="33"/>
      <c r="F53" s="33"/>
      <c r="G53" s="33"/>
      <c r="H53" s="33"/>
      <c r="I53" s="33"/>
      <c r="J53" s="33"/>
      <c r="K53" s="33"/>
    </row>
    <row r="54" spans="1:11" ht="14" x14ac:dyDescent="0.25">
      <c r="C54" s="22" t="s">
        <v>267</v>
      </c>
      <c r="D54" s="34"/>
      <c r="E54" s="34"/>
      <c r="F54" s="34"/>
      <c r="G54" s="34"/>
      <c r="H54" s="159">
        <v>-335.94</v>
      </c>
      <c r="I54" s="159"/>
      <c r="J54" s="159">
        <v>-11767.98</v>
      </c>
      <c r="K54" s="159"/>
    </row>
    <row r="55" spans="1:11" x14ac:dyDescent="0.25">
      <c r="D55" s="34"/>
      <c r="E55" s="34"/>
      <c r="F55" s="34"/>
      <c r="G55" s="34"/>
      <c r="H55" s="34"/>
      <c r="I55" s="34"/>
      <c r="J55" s="34"/>
      <c r="K55" s="34"/>
    </row>
    <row r="56" spans="1:11" ht="144" x14ac:dyDescent="0.25">
      <c r="A56" s="10">
        <v>5</v>
      </c>
      <c r="B56" s="10" t="s">
        <v>857</v>
      </c>
      <c r="C56" s="10" t="s">
        <v>858</v>
      </c>
      <c r="D56" s="31" t="s">
        <v>52</v>
      </c>
      <c r="E56" s="30">
        <v>-76.875</v>
      </c>
      <c r="F56" s="30">
        <v>10.28</v>
      </c>
      <c r="G56" s="32" t="s">
        <v>1</v>
      </c>
      <c r="H56" s="30">
        <v>1</v>
      </c>
      <c r="I56" s="30">
        <v>-790.28</v>
      </c>
      <c r="J56" s="30">
        <v>31.66</v>
      </c>
      <c r="K56" s="30">
        <v>-25020.26</v>
      </c>
    </row>
    <row r="57" spans="1:11" x14ac:dyDescent="0.25">
      <c r="A57" s="28"/>
      <c r="B57" s="28"/>
      <c r="C57" s="25" t="s">
        <v>876</v>
      </c>
      <c r="D57" s="28"/>
      <c r="E57" s="28"/>
      <c r="F57" s="28"/>
      <c r="G57" s="28"/>
      <c r="H57" s="33"/>
      <c r="I57" s="33"/>
      <c r="J57" s="33"/>
      <c r="K57" s="33"/>
    </row>
    <row r="58" spans="1:11" ht="14" x14ac:dyDescent="0.25">
      <c r="C58" s="22" t="s">
        <v>267</v>
      </c>
      <c r="H58" s="159">
        <v>-790.28</v>
      </c>
      <c r="I58" s="159"/>
      <c r="J58" s="159">
        <v>-25020.26</v>
      </c>
      <c r="K58" s="159"/>
    </row>
    <row r="59" spans="1:11" x14ac:dyDescent="0.25">
      <c r="H59" s="34"/>
      <c r="I59" s="34"/>
      <c r="J59" s="34"/>
      <c r="K59" s="34"/>
    </row>
    <row r="60" spans="1:11" ht="124" x14ac:dyDescent="0.25">
      <c r="A60" s="38">
        <v>6</v>
      </c>
      <c r="B60" s="38" t="s">
        <v>409</v>
      </c>
      <c r="C60" s="38" t="s">
        <v>1952</v>
      </c>
      <c r="D60" s="39" t="s">
        <v>11</v>
      </c>
      <c r="E60" s="40">
        <v>6</v>
      </c>
      <c r="F60" s="41">
        <v>8657.25</v>
      </c>
      <c r="G60" s="42" t="s">
        <v>1</v>
      </c>
      <c r="H60" s="99">
        <v>1</v>
      </c>
      <c r="I60" s="99">
        <v>51943.5</v>
      </c>
      <c r="J60" s="99">
        <v>7.54</v>
      </c>
      <c r="K60" s="99">
        <v>391653.99</v>
      </c>
    </row>
    <row r="61" spans="1:11" ht="14" x14ac:dyDescent="0.25">
      <c r="A61" s="43"/>
      <c r="B61" s="43"/>
      <c r="C61" s="44" t="s">
        <v>267</v>
      </c>
      <c r="D61" s="43"/>
      <c r="E61" s="43"/>
      <c r="F61" s="43"/>
      <c r="G61" s="43"/>
      <c r="H61" s="156">
        <v>51943.5</v>
      </c>
      <c r="I61" s="156"/>
      <c r="J61" s="156">
        <v>391653.99</v>
      </c>
      <c r="K61" s="156"/>
    </row>
    <row r="62" spans="1:11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</row>
    <row r="63" spans="1:11" ht="110" x14ac:dyDescent="0.25">
      <c r="A63" s="38">
        <v>7</v>
      </c>
      <c r="B63" s="38" t="s">
        <v>409</v>
      </c>
      <c r="C63" s="38" t="s">
        <v>1953</v>
      </c>
      <c r="D63" s="39" t="s">
        <v>11</v>
      </c>
      <c r="E63" s="40">
        <v>13</v>
      </c>
      <c r="F63" s="41">
        <v>4793.22</v>
      </c>
      <c r="G63" s="42" t="s">
        <v>1</v>
      </c>
      <c r="H63" s="40">
        <v>1</v>
      </c>
      <c r="I63" s="41">
        <v>62311.86</v>
      </c>
      <c r="J63" s="40">
        <v>7.54</v>
      </c>
      <c r="K63" s="41">
        <v>469831.42</v>
      </c>
    </row>
    <row r="64" spans="1:11" ht="14" x14ac:dyDescent="0.25">
      <c r="A64" s="43"/>
      <c r="B64" s="43"/>
      <c r="C64" s="44" t="s">
        <v>267</v>
      </c>
      <c r="D64" s="43"/>
      <c r="E64" s="43"/>
      <c r="F64" s="43"/>
      <c r="G64" s="43"/>
      <c r="H64" s="156">
        <v>62311.86</v>
      </c>
      <c r="I64" s="156"/>
      <c r="J64" s="156">
        <v>469831.42</v>
      </c>
      <c r="K64" s="156"/>
    </row>
    <row r="65" spans="1:11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spans="1:11" ht="110" x14ac:dyDescent="0.25">
      <c r="A66" s="38">
        <v>8</v>
      </c>
      <c r="B66" s="38" t="s">
        <v>409</v>
      </c>
      <c r="C66" s="38" t="s">
        <v>1954</v>
      </c>
      <c r="D66" s="39" t="s">
        <v>11</v>
      </c>
      <c r="E66" s="40">
        <v>1</v>
      </c>
      <c r="F66" s="41">
        <v>5971.69</v>
      </c>
      <c r="G66" s="42" t="s">
        <v>1</v>
      </c>
      <c r="H66" s="40">
        <v>1</v>
      </c>
      <c r="I66" s="41">
        <v>5971.69</v>
      </c>
      <c r="J66" s="40">
        <v>7.54</v>
      </c>
      <c r="K66" s="41">
        <v>45026.54</v>
      </c>
    </row>
    <row r="67" spans="1:11" ht="14" x14ac:dyDescent="0.25">
      <c r="A67" s="43"/>
      <c r="B67" s="43"/>
      <c r="C67" s="44" t="s">
        <v>267</v>
      </c>
      <c r="D67" s="43"/>
      <c r="E67" s="43"/>
      <c r="F67" s="43"/>
      <c r="G67" s="43"/>
      <c r="H67" s="156">
        <v>5971.69</v>
      </c>
      <c r="I67" s="156"/>
      <c r="J67" s="156">
        <v>45026.54</v>
      </c>
      <c r="K67" s="156"/>
    </row>
    <row r="68" spans="1:11" x14ac:dyDescent="0.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spans="1:11" ht="110" x14ac:dyDescent="0.25">
      <c r="A69" s="38">
        <v>9</v>
      </c>
      <c r="B69" s="38" t="s">
        <v>409</v>
      </c>
      <c r="C69" s="38" t="s">
        <v>1955</v>
      </c>
      <c r="D69" s="39" t="s">
        <v>11</v>
      </c>
      <c r="E69" s="40">
        <v>5</v>
      </c>
      <c r="F69" s="41">
        <v>5189.82</v>
      </c>
      <c r="G69" s="42" t="s">
        <v>1</v>
      </c>
      <c r="H69" s="40">
        <v>1</v>
      </c>
      <c r="I69" s="41">
        <v>25949.1</v>
      </c>
      <c r="J69" s="40">
        <v>7.54</v>
      </c>
      <c r="K69" s="41">
        <v>195656.21</v>
      </c>
    </row>
    <row r="70" spans="1:11" ht="14" x14ac:dyDescent="0.25">
      <c r="A70" s="43"/>
      <c r="B70" s="43"/>
      <c r="C70" s="44" t="s">
        <v>267</v>
      </c>
      <c r="D70" s="43"/>
      <c r="E70" s="43"/>
      <c r="F70" s="43"/>
      <c r="G70" s="43"/>
      <c r="H70" s="156">
        <v>25949.1</v>
      </c>
      <c r="I70" s="156"/>
      <c r="J70" s="156">
        <v>195656.21</v>
      </c>
      <c r="K70" s="156"/>
    </row>
    <row r="72" spans="1:11" ht="79" x14ac:dyDescent="0.25">
      <c r="A72" s="10">
        <v>10</v>
      </c>
      <c r="B72" s="10" t="s">
        <v>859</v>
      </c>
      <c r="C72" s="10" t="s">
        <v>860</v>
      </c>
      <c r="D72" s="12" t="s">
        <v>24</v>
      </c>
      <c r="E72" s="11">
        <v>6</v>
      </c>
      <c r="F72" s="14"/>
      <c r="G72" s="13"/>
      <c r="H72" s="11"/>
      <c r="I72" s="14"/>
      <c r="J72" s="11"/>
      <c r="K72" s="14"/>
    </row>
    <row r="73" spans="1:11" x14ac:dyDescent="0.25">
      <c r="C73" s="23" t="s">
        <v>877</v>
      </c>
    </row>
    <row r="74" spans="1:11" ht="14.5" x14ac:dyDescent="0.25">
      <c r="A74" s="10"/>
      <c r="B74" s="10"/>
      <c r="C74" s="10" t="s">
        <v>256</v>
      </c>
      <c r="D74" s="12"/>
      <c r="E74" s="11"/>
      <c r="F74" s="14">
        <v>6.75</v>
      </c>
      <c r="G74" s="15" t="s">
        <v>13</v>
      </c>
      <c r="H74" s="11">
        <v>1</v>
      </c>
      <c r="I74" s="14">
        <v>48.6</v>
      </c>
      <c r="J74" s="11">
        <v>57.05</v>
      </c>
      <c r="K74" s="14">
        <v>2772.63</v>
      </c>
    </row>
    <row r="75" spans="1:11" ht="14.5" x14ac:dyDescent="0.25">
      <c r="A75" s="10"/>
      <c r="B75" s="10"/>
      <c r="C75" s="10" t="s">
        <v>260</v>
      </c>
      <c r="D75" s="12" t="s">
        <v>261</v>
      </c>
      <c r="E75" s="11">
        <v>90</v>
      </c>
      <c r="F75" s="14"/>
      <c r="G75" s="13"/>
      <c r="H75" s="11"/>
      <c r="I75" s="14">
        <v>43.74</v>
      </c>
      <c r="J75" s="11">
        <v>90</v>
      </c>
      <c r="K75" s="14">
        <v>2495.37</v>
      </c>
    </row>
    <row r="76" spans="1:11" ht="14.5" x14ac:dyDescent="0.25">
      <c r="A76" s="10"/>
      <c r="B76" s="10"/>
      <c r="C76" s="10" t="s">
        <v>262</v>
      </c>
      <c r="D76" s="12" t="s">
        <v>261</v>
      </c>
      <c r="E76" s="11">
        <v>46</v>
      </c>
      <c r="F76" s="14"/>
      <c r="G76" s="13"/>
      <c r="H76" s="11"/>
      <c r="I76" s="14">
        <v>22.36</v>
      </c>
      <c r="J76" s="11">
        <v>46</v>
      </c>
      <c r="K76" s="14">
        <v>1275.4100000000001</v>
      </c>
    </row>
    <row r="77" spans="1:11" ht="14.5" x14ac:dyDescent="0.25">
      <c r="A77" s="17"/>
      <c r="B77" s="17"/>
      <c r="C77" s="17" t="s">
        <v>263</v>
      </c>
      <c r="D77" s="18" t="s">
        <v>264</v>
      </c>
      <c r="E77" s="19">
        <v>0.52</v>
      </c>
      <c r="F77" s="20"/>
      <c r="G77" s="21" t="s">
        <v>13</v>
      </c>
      <c r="H77" s="19">
        <v>1</v>
      </c>
      <c r="I77" s="20">
        <v>3.74</v>
      </c>
      <c r="J77" s="19"/>
      <c r="K77" s="20"/>
    </row>
    <row r="78" spans="1:11" ht="14" x14ac:dyDescent="0.25">
      <c r="C78" s="22" t="s">
        <v>265</v>
      </c>
      <c r="H78" s="143">
        <v>114.7</v>
      </c>
      <c r="I78" s="143"/>
      <c r="J78" s="143">
        <v>6543.41</v>
      </c>
      <c r="K78" s="143"/>
    </row>
    <row r="79" spans="1:11" ht="14" x14ac:dyDescent="0.25">
      <c r="C79" s="22" t="s">
        <v>267</v>
      </c>
      <c r="H79" s="141">
        <v>114.7</v>
      </c>
      <c r="I79" s="141"/>
      <c r="J79" s="141">
        <v>6543.41</v>
      </c>
      <c r="K79" s="141"/>
    </row>
    <row r="81" spans="1:11" ht="68" x14ac:dyDescent="0.25">
      <c r="A81" s="38">
        <v>11</v>
      </c>
      <c r="B81" s="38" t="s">
        <v>409</v>
      </c>
      <c r="C81" s="38" t="s">
        <v>1956</v>
      </c>
      <c r="D81" s="39" t="s">
        <v>11</v>
      </c>
      <c r="E81" s="40">
        <v>1</v>
      </c>
      <c r="F81" s="41">
        <v>8532.61</v>
      </c>
      <c r="G81" s="42" t="s">
        <v>1</v>
      </c>
      <c r="H81" s="40">
        <v>1</v>
      </c>
      <c r="I81" s="41">
        <v>8532.61</v>
      </c>
      <c r="J81" s="40">
        <v>7.54</v>
      </c>
      <c r="K81" s="41">
        <v>64335.88</v>
      </c>
    </row>
    <row r="82" spans="1:11" ht="14" x14ac:dyDescent="0.25">
      <c r="A82" s="43"/>
      <c r="B82" s="43"/>
      <c r="C82" s="44" t="s">
        <v>267</v>
      </c>
      <c r="D82" s="43"/>
      <c r="E82" s="43"/>
      <c r="F82" s="43"/>
      <c r="G82" s="43"/>
      <c r="H82" s="156">
        <v>8532.61</v>
      </c>
      <c r="I82" s="156"/>
      <c r="J82" s="156">
        <v>64335.88</v>
      </c>
      <c r="K82" s="156"/>
    </row>
    <row r="83" spans="1:11" x14ac:dyDescent="0.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</row>
    <row r="84" spans="1:11" ht="68" x14ac:dyDescent="0.25">
      <c r="A84" s="38">
        <v>12</v>
      </c>
      <c r="B84" s="38" t="s">
        <v>409</v>
      </c>
      <c r="C84" s="38" t="s">
        <v>1957</v>
      </c>
      <c r="D84" s="39" t="s">
        <v>11</v>
      </c>
      <c r="E84" s="40">
        <v>5</v>
      </c>
      <c r="F84" s="41">
        <v>1631.51</v>
      </c>
      <c r="G84" s="42" t="s">
        <v>1</v>
      </c>
      <c r="H84" s="40">
        <v>1</v>
      </c>
      <c r="I84" s="41">
        <v>8157.55</v>
      </c>
      <c r="J84" s="40">
        <v>7.54</v>
      </c>
      <c r="K84" s="41">
        <v>61507.93</v>
      </c>
    </row>
    <row r="85" spans="1:11" ht="14" x14ac:dyDescent="0.25">
      <c r="A85" s="43"/>
      <c r="B85" s="43"/>
      <c r="C85" s="44" t="s">
        <v>267</v>
      </c>
      <c r="D85" s="43"/>
      <c r="E85" s="43"/>
      <c r="F85" s="43"/>
      <c r="G85" s="43"/>
      <c r="H85" s="156">
        <v>8157.55</v>
      </c>
      <c r="I85" s="156"/>
      <c r="J85" s="156">
        <v>61507.93</v>
      </c>
      <c r="K85" s="156"/>
    </row>
    <row r="87" spans="1:11" ht="79" x14ac:dyDescent="0.25">
      <c r="A87" s="10">
        <v>13</v>
      </c>
      <c r="B87" s="10" t="s">
        <v>861</v>
      </c>
      <c r="C87" s="10" t="s">
        <v>862</v>
      </c>
      <c r="D87" s="12" t="s">
        <v>878</v>
      </c>
      <c r="E87" s="11">
        <v>-2.5</v>
      </c>
      <c r="F87" s="14"/>
      <c r="G87" s="13"/>
      <c r="H87" s="30"/>
      <c r="I87" s="30"/>
      <c r="J87" s="30"/>
      <c r="K87" s="30"/>
    </row>
    <row r="88" spans="1:11" x14ac:dyDescent="0.25">
      <c r="C88" s="23" t="s">
        <v>879</v>
      </c>
      <c r="H88" s="34"/>
      <c r="I88" s="34"/>
      <c r="J88" s="34"/>
      <c r="K88" s="34"/>
    </row>
    <row r="89" spans="1:11" ht="14.5" x14ac:dyDescent="0.25">
      <c r="A89" s="10"/>
      <c r="B89" s="10"/>
      <c r="C89" s="10" t="s">
        <v>256</v>
      </c>
      <c r="D89" s="12"/>
      <c r="E89" s="11"/>
      <c r="F89" s="14">
        <v>5.59</v>
      </c>
      <c r="G89" s="15" t="s">
        <v>13</v>
      </c>
      <c r="H89" s="30">
        <v>1</v>
      </c>
      <c r="I89" s="30">
        <v>-16.77</v>
      </c>
      <c r="J89" s="30">
        <v>57.05</v>
      </c>
      <c r="K89" s="30">
        <v>-956.73</v>
      </c>
    </row>
    <row r="90" spans="1:11" ht="14.5" x14ac:dyDescent="0.25">
      <c r="A90" s="10"/>
      <c r="B90" s="10"/>
      <c r="C90" s="10" t="s">
        <v>257</v>
      </c>
      <c r="D90" s="12"/>
      <c r="E90" s="11"/>
      <c r="F90" s="14">
        <v>7.0000000000000007E-2</v>
      </c>
      <c r="G90" s="15" t="s">
        <v>13</v>
      </c>
      <c r="H90" s="30">
        <v>1</v>
      </c>
      <c r="I90" s="30">
        <v>-0.21</v>
      </c>
      <c r="J90" s="30">
        <v>18.71</v>
      </c>
      <c r="K90" s="30">
        <v>-3.93</v>
      </c>
    </row>
    <row r="91" spans="1:11" ht="14.5" x14ac:dyDescent="0.25">
      <c r="A91" s="10"/>
      <c r="B91" s="10"/>
      <c r="C91" s="10" t="s">
        <v>258</v>
      </c>
      <c r="D91" s="12"/>
      <c r="E91" s="11"/>
      <c r="F91" s="14">
        <v>0.01</v>
      </c>
      <c r="G91" s="15" t="s">
        <v>13</v>
      </c>
      <c r="H91" s="30">
        <v>1</v>
      </c>
      <c r="I91" s="36">
        <v>-0.03</v>
      </c>
      <c r="J91" s="30">
        <v>57.05</v>
      </c>
      <c r="K91" s="36">
        <v>-1.71</v>
      </c>
    </row>
    <row r="92" spans="1:11" ht="14.5" x14ac:dyDescent="0.25">
      <c r="A92" s="10"/>
      <c r="B92" s="10"/>
      <c r="C92" s="10" t="s">
        <v>259</v>
      </c>
      <c r="D92" s="12"/>
      <c r="E92" s="11"/>
      <c r="F92" s="14">
        <v>30.57</v>
      </c>
      <c r="G92" s="15" t="s">
        <v>1</v>
      </c>
      <c r="H92" s="30">
        <v>1</v>
      </c>
      <c r="I92" s="30">
        <v>-76.430000000000007</v>
      </c>
      <c r="J92" s="30">
        <v>17.100000000000001</v>
      </c>
      <c r="K92" s="30">
        <v>-1306.95</v>
      </c>
    </row>
    <row r="93" spans="1:11" ht="14.5" x14ac:dyDescent="0.25">
      <c r="A93" s="10" t="s">
        <v>472</v>
      </c>
      <c r="B93" s="10" t="s">
        <v>880</v>
      </c>
      <c r="C93" s="10" t="s">
        <v>863</v>
      </c>
      <c r="D93" s="12" t="s">
        <v>9</v>
      </c>
      <c r="E93" s="11">
        <v>-6.25E-2</v>
      </c>
      <c r="F93" s="14">
        <v>40.29</v>
      </c>
      <c r="G93" s="15" t="s">
        <v>1</v>
      </c>
      <c r="H93" s="30">
        <v>1</v>
      </c>
      <c r="I93" s="30">
        <v>-2.52</v>
      </c>
      <c r="J93" s="30">
        <v>22.05</v>
      </c>
      <c r="K93" s="30">
        <v>-55.57</v>
      </c>
    </row>
    <row r="94" spans="1:11" ht="98" x14ac:dyDescent="0.25">
      <c r="A94" s="10" t="s">
        <v>474</v>
      </c>
      <c r="B94" s="10" t="s">
        <v>881</v>
      </c>
      <c r="C94" s="10" t="s">
        <v>897</v>
      </c>
      <c r="D94" s="12" t="s">
        <v>60</v>
      </c>
      <c r="E94" s="11">
        <v>-2.5000000000000001E-3</v>
      </c>
      <c r="F94" s="14">
        <v>4785.46</v>
      </c>
      <c r="G94" s="15" t="s">
        <v>1</v>
      </c>
      <c r="H94" s="30">
        <v>1</v>
      </c>
      <c r="I94" s="30">
        <v>-11.96</v>
      </c>
      <c r="J94" s="30">
        <v>8.51</v>
      </c>
      <c r="K94" s="30">
        <v>-101.78</v>
      </c>
    </row>
    <row r="95" spans="1:11" ht="14.5" x14ac:dyDescent="0.25">
      <c r="A95" s="10"/>
      <c r="B95" s="10"/>
      <c r="C95" s="10" t="s">
        <v>260</v>
      </c>
      <c r="D95" s="12" t="s">
        <v>261</v>
      </c>
      <c r="E95" s="11">
        <v>109</v>
      </c>
      <c r="F95" s="14"/>
      <c r="G95" s="13"/>
      <c r="H95" s="30"/>
      <c r="I95" s="30">
        <v>-18.309999999999999</v>
      </c>
      <c r="J95" s="30">
        <v>109</v>
      </c>
      <c r="K95" s="30">
        <v>-1044.7</v>
      </c>
    </row>
    <row r="96" spans="1:11" ht="14.5" x14ac:dyDescent="0.25">
      <c r="A96" s="10"/>
      <c r="B96" s="10"/>
      <c r="C96" s="10" t="s">
        <v>262</v>
      </c>
      <c r="D96" s="12" t="s">
        <v>261</v>
      </c>
      <c r="E96" s="11">
        <v>61</v>
      </c>
      <c r="F96" s="14"/>
      <c r="G96" s="13"/>
      <c r="H96" s="30"/>
      <c r="I96" s="30">
        <v>-10.25</v>
      </c>
      <c r="J96" s="30">
        <v>61</v>
      </c>
      <c r="K96" s="30">
        <v>-584.65</v>
      </c>
    </row>
    <row r="97" spans="1:11" ht="14.5" x14ac:dyDescent="0.25">
      <c r="A97" s="17"/>
      <c r="B97" s="17"/>
      <c r="C97" s="17" t="s">
        <v>263</v>
      </c>
      <c r="D97" s="18" t="s">
        <v>264</v>
      </c>
      <c r="E97" s="19">
        <v>0.44</v>
      </c>
      <c r="F97" s="20"/>
      <c r="G97" s="21" t="s">
        <v>13</v>
      </c>
      <c r="H97" s="35">
        <v>1</v>
      </c>
      <c r="I97" s="35">
        <v>-1.32</v>
      </c>
      <c r="J97" s="35"/>
      <c r="K97" s="35"/>
    </row>
    <row r="98" spans="1:11" ht="14" x14ac:dyDescent="0.25">
      <c r="C98" s="22" t="s">
        <v>265</v>
      </c>
      <c r="H98" s="159">
        <v>-136.44999999999999</v>
      </c>
      <c r="I98" s="159"/>
      <c r="J98" s="159">
        <v>-4054.31</v>
      </c>
      <c r="K98" s="159"/>
    </row>
    <row r="99" spans="1:11" ht="14" x14ac:dyDescent="0.25">
      <c r="C99" s="22" t="s">
        <v>267</v>
      </c>
      <c r="H99" s="160">
        <v>-136.44999999999999</v>
      </c>
      <c r="I99" s="160"/>
      <c r="J99" s="160">
        <v>-4054.31</v>
      </c>
      <c r="K99" s="160"/>
    </row>
    <row r="101" spans="1:11" ht="42" x14ac:dyDescent="0.25">
      <c r="A101" s="10">
        <v>14</v>
      </c>
      <c r="B101" s="10" t="s">
        <v>882</v>
      </c>
      <c r="C101" s="10" t="s">
        <v>856</v>
      </c>
      <c r="D101" s="12" t="s">
        <v>52</v>
      </c>
      <c r="E101" s="11">
        <v>52</v>
      </c>
      <c r="F101" s="14">
        <v>4.37</v>
      </c>
      <c r="G101" s="15" t="s">
        <v>1</v>
      </c>
      <c r="H101" s="11">
        <v>1</v>
      </c>
      <c r="I101" s="14">
        <v>227.24</v>
      </c>
      <c r="J101" s="11">
        <v>35.03</v>
      </c>
      <c r="K101" s="14">
        <v>7960.22</v>
      </c>
    </row>
    <row r="102" spans="1:11" x14ac:dyDescent="0.25">
      <c r="A102" s="28"/>
      <c r="B102" s="28"/>
      <c r="C102" s="25" t="s">
        <v>883</v>
      </c>
      <c r="D102" s="28"/>
      <c r="E102" s="28"/>
      <c r="F102" s="28"/>
      <c r="G102" s="28"/>
      <c r="H102" s="28"/>
      <c r="I102" s="28"/>
      <c r="J102" s="28"/>
      <c r="K102" s="28"/>
    </row>
    <row r="103" spans="1:11" ht="14" x14ac:dyDescent="0.25">
      <c r="C103" s="22" t="s">
        <v>267</v>
      </c>
      <c r="H103" s="143">
        <v>227.24</v>
      </c>
      <c r="I103" s="143"/>
      <c r="J103" s="143">
        <v>7960.22</v>
      </c>
      <c r="K103" s="143"/>
    </row>
    <row r="105" spans="1:11" ht="42" x14ac:dyDescent="0.25">
      <c r="A105" s="10">
        <v>15</v>
      </c>
      <c r="B105" s="10" t="s">
        <v>884</v>
      </c>
      <c r="C105" s="10" t="s">
        <v>864</v>
      </c>
      <c r="D105" s="12" t="s">
        <v>52</v>
      </c>
      <c r="E105" s="11">
        <v>98.8</v>
      </c>
      <c r="F105" s="14">
        <v>7.73</v>
      </c>
      <c r="G105" s="15" t="s">
        <v>1</v>
      </c>
      <c r="H105" s="11">
        <v>1</v>
      </c>
      <c r="I105" s="14">
        <v>763.72</v>
      </c>
      <c r="J105" s="11">
        <v>30.53</v>
      </c>
      <c r="K105" s="14">
        <v>23316.37</v>
      </c>
    </row>
    <row r="106" spans="1:11" x14ac:dyDescent="0.25">
      <c r="A106" s="28"/>
      <c r="B106" s="28"/>
      <c r="C106" s="25" t="s">
        <v>885</v>
      </c>
      <c r="D106" s="28"/>
      <c r="E106" s="28"/>
      <c r="F106" s="28"/>
      <c r="G106" s="28"/>
      <c r="H106" s="28"/>
      <c r="I106" s="28"/>
      <c r="J106" s="28"/>
      <c r="K106" s="28"/>
    </row>
    <row r="107" spans="1:11" ht="14" x14ac:dyDescent="0.25">
      <c r="C107" s="22" t="s">
        <v>267</v>
      </c>
      <c r="H107" s="143">
        <v>763.72</v>
      </c>
      <c r="I107" s="143"/>
      <c r="J107" s="143">
        <v>23316.37</v>
      </c>
      <c r="K107" s="143"/>
    </row>
    <row r="109" spans="1:11" ht="112" x14ac:dyDescent="0.25">
      <c r="A109" s="17">
        <v>16</v>
      </c>
      <c r="B109" s="17" t="s">
        <v>886</v>
      </c>
      <c r="C109" s="17" t="s">
        <v>865</v>
      </c>
      <c r="D109" s="18" t="s">
        <v>52</v>
      </c>
      <c r="E109" s="19">
        <v>189</v>
      </c>
      <c r="F109" s="20">
        <v>23.19</v>
      </c>
      <c r="G109" s="21" t="s">
        <v>1</v>
      </c>
      <c r="H109" s="19">
        <v>1</v>
      </c>
      <c r="I109" s="20">
        <v>4382.91</v>
      </c>
      <c r="J109" s="19">
        <v>4.04</v>
      </c>
      <c r="K109" s="20">
        <v>17706.96</v>
      </c>
    </row>
    <row r="110" spans="1:11" ht="14" x14ac:dyDescent="0.25">
      <c r="C110" s="22" t="s">
        <v>267</v>
      </c>
      <c r="H110" s="143">
        <v>4382.91</v>
      </c>
      <c r="I110" s="143"/>
      <c r="J110" s="143">
        <v>17706.96</v>
      </c>
      <c r="K110" s="143"/>
    </row>
    <row r="112" spans="1:11" ht="56" x14ac:dyDescent="0.25">
      <c r="A112" s="17">
        <v>17</v>
      </c>
      <c r="B112" s="17" t="s">
        <v>887</v>
      </c>
      <c r="C112" s="17" t="s">
        <v>866</v>
      </c>
      <c r="D112" s="18" t="s">
        <v>52</v>
      </c>
      <c r="E112" s="19">
        <v>102.5</v>
      </c>
      <c r="F112" s="20">
        <v>10.84</v>
      </c>
      <c r="G112" s="21" t="s">
        <v>1</v>
      </c>
      <c r="H112" s="19">
        <v>1</v>
      </c>
      <c r="I112" s="20">
        <v>1111.0999999999999</v>
      </c>
      <c r="J112" s="19">
        <v>2.41</v>
      </c>
      <c r="K112" s="20">
        <v>2677.75</v>
      </c>
    </row>
    <row r="113" spans="1:11" ht="14" x14ac:dyDescent="0.25">
      <c r="C113" s="22" t="s">
        <v>267</v>
      </c>
      <c r="H113" s="143">
        <v>1111.0999999999999</v>
      </c>
      <c r="I113" s="143"/>
      <c r="J113" s="143">
        <v>2677.75</v>
      </c>
      <c r="K113" s="143"/>
    </row>
    <row r="115" spans="1:11" ht="56" x14ac:dyDescent="0.25">
      <c r="A115" s="17">
        <v>18</v>
      </c>
      <c r="B115" s="17" t="s">
        <v>888</v>
      </c>
      <c r="C115" s="17" t="s">
        <v>867</v>
      </c>
      <c r="D115" s="18" t="s">
        <v>52</v>
      </c>
      <c r="E115" s="19">
        <v>25.625</v>
      </c>
      <c r="F115" s="20">
        <v>17</v>
      </c>
      <c r="G115" s="21" t="s">
        <v>1</v>
      </c>
      <c r="H115" s="19">
        <v>1</v>
      </c>
      <c r="I115" s="20">
        <v>435.63</v>
      </c>
      <c r="J115" s="19">
        <v>2.35</v>
      </c>
      <c r="K115" s="20">
        <v>1023.73</v>
      </c>
    </row>
    <row r="116" spans="1:11" ht="14" x14ac:dyDescent="0.25">
      <c r="C116" s="22" t="s">
        <v>267</v>
      </c>
      <c r="H116" s="143">
        <v>435.63</v>
      </c>
      <c r="I116" s="143"/>
      <c r="J116" s="143">
        <v>1023.73</v>
      </c>
      <c r="K116" s="143"/>
    </row>
    <row r="118" spans="1:11" ht="56" x14ac:dyDescent="0.25">
      <c r="A118" s="17">
        <v>19</v>
      </c>
      <c r="B118" s="17" t="s">
        <v>889</v>
      </c>
      <c r="C118" s="17" t="s">
        <v>868</v>
      </c>
      <c r="D118" s="18" t="s">
        <v>52</v>
      </c>
      <c r="E118" s="19">
        <v>10.25</v>
      </c>
      <c r="F118" s="20">
        <v>27.68</v>
      </c>
      <c r="G118" s="21" t="s">
        <v>1</v>
      </c>
      <c r="H118" s="19">
        <v>1</v>
      </c>
      <c r="I118" s="20">
        <v>283.72000000000003</v>
      </c>
      <c r="J118" s="19">
        <v>2.52</v>
      </c>
      <c r="K118" s="20">
        <v>714.97</v>
      </c>
    </row>
    <row r="119" spans="1:11" ht="14" x14ac:dyDescent="0.25">
      <c r="C119" s="22" t="s">
        <v>267</v>
      </c>
      <c r="H119" s="143">
        <v>283.72000000000003</v>
      </c>
      <c r="I119" s="143"/>
      <c r="J119" s="143">
        <v>714.97</v>
      </c>
      <c r="K119" s="143"/>
    </row>
    <row r="121" spans="1:11" ht="126" x14ac:dyDescent="0.25">
      <c r="A121" s="10">
        <v>20</v>
      </c>
      <c r="B121" s="10" t="s">
        <v>890</v>
      </c>
      <c r="C121" s="10" t="s">
        <v>869</v>
      </c>
      <c r="D121" s="12" t="s">
        <v>52</v>
      </c>
      <c r="E121" s="11">
        <v>105</v>
      </c>
      <c r="F121" s="14">
        <v>10.38</v>
      </c>
      <c r="G121" s="15" t="s">
        <v>1</v>
      </c>
      <c r="H121" s="11">
        <v>1</v>
      </c>
      <c r="I121" s="14">
        <v>1089.9000000000001</v>
      </c>
      <c r="J121" s="11">
        <v>7.12</v>
      </c>
      <c r="K121" s="14">
        <v>7760.09</v>
      </c>
    </row>
    <row r="122" spans="1:11" x14ac:dyDescent="0.25">
      <c r="A122" s="28"/>
      <c r="B122" s="28"/>
      <c r="C122" s="25" t="s">
        <v>891</v>
      </c>
      <c r="D122" s="28"/>
      <c r="E122" s="28"/>
      <c r="F122" s="28"/>
      <c r="G122" s="28"/>
      <c r="H122" s="28"/>
      <c r="I122" s="28"/>
      <c r="J122" s="28"/>
      <c r="K122" s="28"/>
    </row>
    <row r="123" spans="1:11" ht="14" x14ac:dyDescent="0.25">
      <c r="C123" s="22" t="s">
        <v>267</v>
      </c>
      <c r="H123" s="143">
        <v>1089.9000000000001</v>
      </c>
      <c r="I123" s="143"/>
      <c r="J123" s="143">
        <v>7760.09</v>
      </c>
      <c r="K123" s="143"/>
    </row>
    <row r="125" spans="1:11" ht="126" x14ac:dyDescent="0.25">
      <c r="A125" s="10">
        <v>21</v>
      </c>
      <c r="B125" s="10" t="s">
        <v>892</v>
      </c>
      <c r="C125" s="10" t="s">
        <v>870</v>
      </c>
      <c r="D125" s="12" t="s">
        <v>52</v>
      </c>
      <c r="E125" s="11">
        <v>26.25</v>
      </c>
      <c r="F125" s="14">
        <v>12.04</v>
      </c>
      <c r="G125" s="15" t="s">
        <v>1</v>
      </c>
      <c r="H125" s="11">
        <v>1</v>
      </c>
      <c r="I125" s="14">
        <v>316.05</v>
      </c>
      <c r="J125" s="11">
        <v>7.25</v>
      </c>
      <c r="K125" s="14">
        <v>2291.36</v>
      </c>
    </row>
    <row r="126" spans="1:11" x14ac:dyDescent="0.25">
      <c r="A126" s="28"/>
      <c r="B126" s="28"/>
      <c r="C126" s="25" t="s">
        <v>893</v>
      </c>
      <c r="D126" s="28"/>
      <c r="E126" s="28"/>
      <c r="F126" s="28"/>
      <c r="G126" s="28"/>
      <c r="H126" s="28"/>
      <c r="I126" s="28"/>
      <c r="J126" s="28"/>
      <c r="K126" s="28"/>
    </row>
    <row r="127" spans="1:11" ht="14" x14ac:dyDescent="0.25">
      <c r="C127" s="22" t="s">
        <v>267</v>
      </c>
      <c r="H127" s="143">
        <v>316.05</v>
      </c>
      <c r="I127" s="143"/>
      <c r="J127" s="143">
        <v>2291.36</v>
      </c>
      <c r="K127" s="143"/>
    </row>
    <row r="129" spans="1:11" ht="126" x14ac:dyDescent="0.25">
      <c r="A129" s="10">
        <v>22</v>
      </c>
      <c r="B129" s="10" t="s">
        <v>894</v>
      </c>
      <c r="C129" s="10" t="s">
        <v>871</v>
      </c>
      <c r="D129" s="12" t="s">
        <v>52</v>
      </c>
      <c r="E129" s="11">
        <v>10.5</v>
      </c>
      <c r="F129" s="14">
        <v>14.45</v>
      </c>
      <c r="G129" s="15" t="s">
        <v>1</v>
      </c>
      <c r="H129" s="11">
        <v>1</v>
      </c>
      <c r="I129" s="14">
        <v>151.72999999999999</v>
      </c>
      <c r="J129" s="11">
        <v>7.38</v>
      </c>
      <c r="K129" s="14">
        <v>1119.77</v>
      </c>
    </row>
    <row r="130" spans="1:11" x14ac:dyDescent="0.25">
      <c r="A130" s="28"/>
      <c r="B130" s="28"/>
      <c r="C130" s="25" t="s">
        <v>831</v>
      </c>
      <c r="D130" s="28"/>
      <c r="E130" s="28"/>
      <c r="F130" s="28"/>
      <c r="G130" s="28"/>
      <c r="H130" s="28"/>
      <c r="I130" s="28"/>
      <c r="J130" s="28"/>
      <c r="K130" s="28"/>
    </row>
    <row r="131" spans="1:11" ht="14" x14ac:dyDescent="0.25">
      <c r="C131" s="22" t="s">
        <v>267</v>
      </c>
      <c r="H131" s="143">
        <v>151.72999999999999</v>
      </c>
      <c r="I131" s="143"/>
      <c r="J131" s="143">
        <v>1119.77</v>
      </c>
      <c r="K131" s="143"/>
    </row>
    <row r="134" spans="1:11" ht="14" x14ac:dyDescent="0.3">
      <c r="A134" s="140" t="s">
        <v>895</v>
      </c>
      <c r="B134" s="140"/>
      <c r="C134" s="140"/>
      <c r="D134" s="140"/>
      <c r="E134" s="140"/>
      <c r="F134" s="140"/>
      <c r="G134" s="140"/>
      <c r="H134" s="141">
        <v>187838.43</v>
      </c>
      <c r="I134" s="142"/>
      <c r="J134" s="141">
        <v>1809860.21</v>
      </c>
      <c r="K134" s="142"/>
    </row>
    <row r="136" spans="1:11" ht="14" x14ac:dyDescent="0.3">
      <c r="A136" s="140" t="s">
        <v>435</v>
      </c>
      <c r="B136" s="140"/>
      <c r="C136" s="140"/>
      <c r="D136" s="140"/>
      <c r="E136" s="140"/>
      <c r="F136" s="140"/>
      <c r="G136" s="140"/>
      <c r="H136" s="141">
        <v>187838.43</v>
      </c>
      <c r="I136" s="142"/>
      <c r="J136" s="141">
        <v>1809860.21</v>
      </c>
      <c r="K136" s="142"/>
    </row>
  </sheetData>
  <mergeCells count="72">
    <mergeCell ref="A9:K9"/>
    <mergeCell ref="J2:K2"/>
    <mergeCell ref="A3:K3"/>
    <mergeCell ref="A4:K4"/>
    <mergeCell ref="A6:K6"/>
    <mergeCell ref="A8:K8"/>
    <mergeCell ref="E17:H17"/>
    <mergeCell ref="E18:H18"/>
    <mergeCell ref="A21:K21"/>
    <mergeCell ref="E13:H13"/>
    <mergeCell ref="E14:H14"/>
    <mergeCell ref="E15:H15"/>
    <mergeCell ref="E16:H16"/>
    <mergeCell ref="H45:I45"/>
    <mergeCell ref="J45:K45"/>
    <mergeCell ref="H46:I46"/>
    <mergeCell ref="J46:K46"/>
    <mergeCell ref="A24:K24"/>
    <mergeCell ref="H34:I34"/>
    <mergeCell ref="J34:K34"/>
    <mergeCell ref="H35:I35"/>
    <mergeCell ref="J35:K35"/>
    <mergeCell ref="H50:I50"/>
    <mergeCell ref="J50:K50"/>
    <mergeCell ref="H54:I54"/>
    <mergeCell ref="J54:K54"/>
    <mergeCell ref="H58:I58"/>
    <mergeCell ref="J58:K58"/>
    <mergeCell ref="H70:I70"/>
    <mergeCell ref="J70:K70"/>
    <mergeCell ref="H78:I78"/>
    <mergeCell ref="J78:K78"/>
    <mergeCell ref="H61:I61"/>
    <mergeCell ref="J61:K61"/>
    <mergeCell ref="H64:I64"/>
    <mergeCell ref="J64:K64"/>
    <mergeCell ref="H67:I67"/>
    <mergeCell ref="J67:K67"/>
    <mergeCell ref="H98:I98"/>
    <mergeCell ref="J98:K98"/>
    <mergeCell ref="H99:I99"/>
    <mergeCell ref="J99:K99"/>
    <mergeCell ref="H79:I79"/>
    <mergeCell ref="J79:K79"/>
    <mergeCell ref="H82:I82"/>
    <mergeCell ref="J82:K82"/>
    <mergeCell ref="H85:I85"/>
    <mergeCell ref="J85:K85"/>
    <mergeCell ref="H103:I103"/>
    <mergeCell ref="J103:K103"/>
    <mergeCell ref="H107:I107"/>
    <mergeCell ref="J107:K107"/>
    <mergeCell ref="H110:I110"/>
    <mergeCell ref="J110:K110"/>
    <mergeCell ref="H113:I113"/>
    <mergeCell ref="J113:K113"/>
    <mergeCell ref="H116:I116"/>
    <mergeCell ref="J116:K116"/>
    <mergeCell ref="H119:I119"/>
    <mergeCell ref="J119:K119"/>
    <mergeCell ref="H123:I123"/>
    <mergeCell ref="J123:K123"/>
    <mergeCell ref="H127:I127"/>
    <mergeCell ref="J127:K127"/>
    <mergeCell ref="H131:I131"/>
    <mergeCell ref="J131:K131"/>
    <mergeCell ref="A136:G136"/>
    <mergeCell ref="H136:I136"/>
    <mergeCell ref="J136:K136"/>
    <mergeCell ref="A134:G134"/>
    <mergeCell ref="H134:I134"/>
    <mergeCell ref="J134:K1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B6CD-4BFC-464D-9579-D33E25F87AC5}">
  <dimension ref="A1:K284"/>
  <sheetViews>
    <sheetView topLeftCell="A270" zoomScale="54" workbookViewId="0">
      <selection activeCell="E187" sqref="E187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3" style="27" customWidth="1"/>
    <col min="7" max="7" width="8.54296875" style="27" bestFit="1" customWidth="1"/>
    <col min="8" max="8" width="9.26953125" style="27" bestFit="1" customWidth="1"/>
    <col min="9" max="9" width="10.1796875" style="27" bestFit="1" customWidth="1"/>
    <col min="10" max="10" width="9.26953125" style="27" bestFit="1" customWidth="1"/>
    <col min="11" max="11" width="11.2695312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945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967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83.58</v>
      </c>
      <c r="J13" s="5">
        <v>1495.13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4.95</v>
      </c>
      <c r="J14" s="7">
        <v>50.39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25.23</v>
      </c>
      <c r="J15" s="7">
        <v>1044.06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53.4</v>
      </c>
      <c r="J16" s="7">
        <v>400.68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7.49</v>
      </c>
      <c r="J17" s="7">
        <v>427.18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603.27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6.7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946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898</v>
      </c>
      <c r="C25" s="10" t="s">
        <v>899</v>
      </c>
      <c r="D25" s="12" t="s">
        <v>24</v>
      </c>
      <c r="E25" s="11">
        <v>2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95.04</v>
      </c>
      <c r="G26" s="15" t="s">
        <v>13</v>
      </c>
      <c r="H26" s="11">
        <v>1</v>
      </c>
      <c r="I26" s="14">
        <v>228.1</v>
      </c>
      <c r="J26" s="11">
        <v>57.05</v>
      </c>
      <c r="K26" s="14">
        <v>13013.11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0.06</v>
      </c>
      <c r="G27" s="15" t="s">
        <v>13</v>
      </c>
      <c r="H27" s="11">
        <v>1</v>
      </c>
      <c r="I27" s="14">
        <v>0.14000000000000001</v>
      </c>
      <c r="J27" s="11">
        <v>18.829999999999998</v>
      </c>
      <c r="K27" s="14">
        <v>2.64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0.01</v>
      </c>
      <c r="G28" s="15" t="s">
        <v>13</v>
      </c>
      <c r="H28" s="11">
        <v>1</v>
      </c>
      <c r="I28" s="16">
        <v>0.02</v>
      </c>
      <c r="J28" s="11">
        <v>57.05</v>
      </c>
      <c r="K28" s="16">
        <v>1.1399999999999999</v>
      </c>
    </row>
    <row r="29" spans="1:11" ht="14.5" x14ac:dyDescent="0.25">
      <c r="A29" s="10"/>
      <c r="B29" s="10"/>
      <c r="C29" s="10" t="s">
        <v>259</v>
      </c>
      <c r="D29" s="12"/>
      <c r="E29" s="11"/>
      <c r="F29" s="14">
        <v>12.53</v>
      </c>
      <c r="G29" s="15" t="s">
        <v>1</v>
      </c>
      <c r="H29" s="11">
        <v>1</v>
      </c>
      <c r="I29" s="14">
        <v>25.06</v>
      </c>
      <c r="J29" s="11">
        <v>10.18</v>
      </c>
      <c r="K29" s="14">
        <v>255.11</v>
      </c>
    </row>
    <row r="30" spans="1:11" ht="14.5" x14ac:dyDescent="0.25">
      <c r="A30" s="10"/>
      <c r="B30" s="10"/>
      <c r="C30" s="10" t="s">
        <v>260</v>
      </c>
      <c r="D30" s="12" t="s">
        <v>261</v>
      </c>
      <c r="E30" s="11">
        <v>90</v>
      </c>
      <c r="F30" s="14"/>
      <c r="G30" s="13"/>
      <c r="H30" s="11"/>
      <c r="I30" s="14">
        <v>205.31</v>
      </c>
      <c r="J30" s="11">
        <v>90</v>
      </c>
      <c r="K30" s="14">
        <v>11712.83</v>
      </c>
    </row>
    <row r="31" spans="1:11" ht="14.5" x14ac:dyDescent="0.25">
      <c r="A31" s="10"/>
      <c r="B31" s="10"/>
      <c r="C31" s="10" t="s">
        <v>262</v>
      </c>
      <c r="D31" s="12" t="s">
        <v>261</v>
      </c>
      <c r="E31" s="11">
        <v>46</v>
      </c>
      <c r="F31" s="14"/>
      <c r="G31" s="13"/>
      <c r="H31" s="11"/>
      <c r="I31" s="14">
        <v>104.94</v>
      </c>
      <c r="J31" s="11">
        <v>46</v>
      </c>
      <c r="K31" s="14">
        <v>5986.56</v>
      </c>
    </row>
    <row r="32" spans="1:11" ht="14.5" x14ac:dyDescent="0.25">
      <c r="A32" s="17"/>
      <c r="B32" s="17"/>
      <c r="C32" s="17" t="s">
        <v>263</v>
      </c>
      <c r="D32" s="18" t="s">
        <v>264</v>
      </c>
      <c r="E32" s="19">
        <v>7.2</v>
      </c>
      <c r="F32" s="20"/>
      <c r="G32" s="21" t="s">
        <v>13</v>
      </c>
      <c r="H32" s="19">
        <v>1</v>
      </c>
      <c r="I32" s="20">
        <v>17.28</v>
      </c>
      <c r="J32" s="19"/>
      <c r="K32" s="20"/>
    </row>
    <row r="33" spans="1:11" ht="14" x14ac:dyDescent="0.25">
      <c r="C33" s="22" t="s">
        <v>265</v>
      </c>
      <c r="H33" s="143">
        <v>563.54999999999995</v>
      </c>
      <c r="I33" s="143"/>
      <c r="J33" s="143">
        <v>30970.25</v>
      </c>
      <c r="K33" s="143"/>
    </row>
    <row r="34" spans="1:11" ht="14" x14ac:dyDescent="0.25">
      <c r="C34" s="22" t="s">
        <v>267</v>
      </c>
      <c r="H34" s="141">
        <v>563.54999999999995</v>
      </c>
      <c r="I34" s="141"/>
      <c r="J34" s="141">
        <v>30970.25</v>
      </c>
      <c r="K34" s="141"/>
    </row>
    <row r="36" spans="1:11" ht="82" x14ac:dyDescent="0.25">
      <c r="A36" s="38">
        <v>2</v>
      </c>
      <c r="B36" s="38" t="s">
        <v>409</v>
      </c>
      <c r="C36" s="38" t="s">
        <v>1958</v>
      </c>
      <c r="D36" s="39" t="s">
        <v>11</v>
      </c>
      <c r="E36" s="40">
        <v>2</v>
      </c>
      <c r="F36" s="41">
        <v>4870.3999999999996</v>
      </c>
      <c r="G36" s="42" t="s">
        <v>1</v>
      </c>
      <c r="H36" s="40">
        <v>1</v>
      </c>
      <c r="I36" s="41">
        <v>9740.7999999999993</v>
      </c>
      <c r="J36" s="40">
        <v>7.54</v>
      </c>
      <c r="K36" s="41">
        <v>73445.63</v>
      </c>
    </row>
    <row r="37" spans="1:11" ht="14" x14ac:dyDescent="0.25">
      <c r="C37" s="22" t="s">
        <v>267</v>
      </c>
      <c r="H37" s="143">
        <v>9740.7999999999993</v>
      </c>
      <c r="I37" s="143"/>
      <c r="J37" s="143">
        <v>73445.63</v>
      </c>
      <c r="K37" s="143"/>
    </row>
    <row r="39" spans="1:11" ht="79" x14ac:dyDescent="0.25">
      <c r="A39" s="10">
        <v>3</v>
      </c>
      <c r="B39" s="10" t="s">
        <v>900</v>
      </c>
      <c r="C39" s="10" t="s">
        <v>901</v>
      </c>
      <c r="D39" s="12" t="s">
        <v>24</v>
      </c>
      <c r="E39" s="11">
        <v>1</v>
      </c>
      <c r="F39" s="14"/>
      <c r="G39" s="13"/>
      <c r="H39" s="11"/>
      <c r="I39" s="14"/>
      <c r="J39" s="11"/>
      <c r="K39" s="14"/>
    </row>
    <row r="40" spans="1:11" ht="14.5" x14ac:dyDescent="0.25">
      <c r="A40" s="10"/>
      <c r="B40" s="10"/>
      <c r="C40" s="10" t="s">
        <v>256</v>
      </c>
      <c r="D40" s="12"/>
      <c r="E40" s="11"/>
      <c r="F40" s="14">
        <v>33.47</v>
      </c>
      <c r="G40" s="15" t="s">
        <v>13</v>
      </c>
      <c r="H40" s="11">
        <v>1</v>
      </c>
      <c r="I40" s="14">
        <v>40.159999999999997</v>
      </c>
      <c r="J40" s="11">
        <v>57.05</v>
      </c>
      <c r="K40" s="14">
        <v>2291.13</v>
      </c>
    </row>
    <row r="41" spans="1:11" ht="14.5" x14ac:dyDescent="0.25">
      <c r="A41" s="10"/>
      <c r="B41" s="10"/>
      <c r="C41" s="10" t="s">
        <v>259</v>
      </c>
      <c r="D41" s="12"/>
      <c r="E41" s="11"/>
      <c r="F41" s="14">
        <v>2.34</v>
      </c>
      <c r="G41" s="15" t="s">
        <v>1</v>
      </c>
      <c r="H41" s="11">
        <v>1</v>
      </c>
      <c r="I41" s="14">
        <v>2.34</v>
      </c>
      <c r="J41" s="11">
        <v>9.91</v>
      </c>
      <c r="K41" s="14">
        <v>23.19</v>
      </c>
    </row>
    <row r="42" spans="1:11" ht="14.5" x14ac:dyDescent="0.25">
      <c r="A42" s="10"/>
      <c r="B42" s="10"/>
      <c r="C42" s="10" t="s">
        <v>260</v>
      </c>
      <c r="D42" s="12" t="s">
        <v>261</v>
      </c>
      <c r="E42" s="11">
        <v>90</v>
      </c>
      <c r="F42" s="14"/>
      <c r="G42" s="13"/>
      <c r="H42" s="11"/>
      <c r="I42" s="14">
        <v>36.14</v>
      </c>
      <c r="J42" s="11">
        <v>90</v>
      </c>
      <c r="K42" s="14">
        <v>2062.02</v>
      </c>
    </row>
    <row r="43" spans="1:11" ht="14.5" x14ac:dyDescent="0.25">
      <c r="A43" s="10"/>
      <c r="B43" s="10"/>
      <c r="C43" s="10" t="s">
        <v>262</v>
      </c>
      <c r="D43" s="12" t="s">
        <v>261</v>
      </c>
      <c r="E43" s="11">
        <v>46</v>
      </c>
      <c r="F43" s="14"/>
      <c r="G43" s="13"/>
      <c r="H43" s="11"/>
      <c r="I43" s="14">
        <v>18.47</v>
      </c>
      <c r="J43" s="11">
        <v>46</v>
      </c>
      <c r="K43" s="14">
        <v>1053.92</v>
      </c>
    </row>
    <row r="44" spans="1:11" ht="14.5" x14ac:dyDescent="0.25">
      <c r="A44" s="17"/>
      <c r="B44" s="17"/>
      <c r="C44" s="17" t="s">
        <v>263</v>
      </c>
      <c r="D44" s="18" t="s">
        <v>264</v>
      </c>
      <c r="E44" s="19">
        <v>2.65</v>
      </c>
      <c r="F44" s="20"/>
      <c r="G44" s="21" t="s">
        <v>13</v>
      </c>
      <c r="H44" s="19">
        <v>1</v>
      </c>
      <c r="I44" s="20">
        <v>3.18</v>
      </c>
      <c r="J44" s="19"/>
      <c r="K44" s="20"/>
    </row>
    <row r="45" spans="1:11" ht="14" x14ac:dyDescent="0.25">
      <c r="C45" s="22" t="s">
        <v>265</v>
      </c>
      <c r="H45" s="143">
        <v>97.11</v>
      </c>
      <c r="I45" s="143"/>
      <c r="J45" s="143">
        <v>5430.26</v>
      </c>
      <c r="K45" s="143"/>
    </row>
    <row r="46" spans="1:11" ht="14" x14ac:dyDescent="0.25">
      <c r="C46" s="22" t="s">
        <v>267</v>
      </c>
      <c r="H46" s="141">
        <v>97.11</v>
      </c>
      <c r="I46" s="141"/>
      <c r="J46" s="141">
        <v>5430.26</v>
      </c>
      <c r="K46" s="141"/>
    </row>
    <row r="48" spans="1:11" ht="54" x14ac:dyDescent="0.25">
      <c r="A48" s="38">
        <v>4</v>
      </c>
      <c r="B48" s="38" t="s">
        <v>409</v>
      </c>
      <c r="C48" s="38" t="s">
        <v>1959</v>
      </c>
      <c r="D48" s="39" t="s">
        <v>11</v>
      </c>
      <c r="E48" s="40">
        <v>1</v>
      </c>
      <c r="F48" s="41">
        <v>2394.5700000000002</v>
      </c>
      <c r="G48" s="42" t="s">
        <v>1</v>
      </c>
      <c r="H48" s="40">
        <v>1</v>
      </c>
      <c r="I48" s="41">
        <v>2394.5700000000002</v>
      </c>
      <c r="J48" s="40">
        <v>7.54</v>
      </c>
      <c r="K48" s="41">
        <v>18055.060000000001</v>
      </c>
    </row>
    <row r="49" spans="1:11" ht="14" x14ac:dyDescent="0.25">
      <c r="A49" s="43"/>
      <c r="B49" s="43"/>
      <c r="C49" s="44" t="s">
        <v>267</v>
      </c>
      <c r="D49" s="43"/>
      <c r="E49" s="43"/>
      <c r="F49" s="43"/>
      <c r="G49" s="43"/>
      <c r="H49" s="156">
        <v>2394.5700000000002</v>
      </c>
      <c r="I49" s="156"/>
      <c r="J49" s="156">
        <v>18055.060000000001</v>
      </c>
      <c r="K49" s="156"/>
    </row>
    <row r="51" spans="1:11" ht="79" x14ac:dyDescent="0.25">
      <c r="A51" s="10">
        <v>5</v>
      </c>
      <c r="B51" s="10" t="s">
        <v>902</v>
      </c>
      <c r="C51" s="10" t="s">
        <v>903</v>
      </c>
      <c r="D51" s="12" t="s">
        <v>24</v>
      </c>
      <c r="E51" s="11">
        <v>1</v>
      </c>
      <c r="F51" s="14"/>
      <c r="G51" s="13"/>
      <c r="H51" s="11"/>
      <c r="I51" s="14"/>
      <c r="J51" s="11"/>
      <c r="K51" s="14"/>
    </row>
    <row r="52" spans="1:11" ht="14.5" x14ac:dyDescent="0.25">
      <c r="A52" s="10"/>
      <c r="B52" s="10"/>
      <c r="C52" s="10" t="s">
        <v>256</v>
      </c>
      <c r="D52" s="12"/>
      <c r="E52" s="11"/>
      <c r="F52" s="14">
        <v>16.07</v>
      </c>
      <c r="G52" s="15" t="s">
        <v>13</v>
      </c>
      <c r="H52" s="11">
        <v>1</v>
      </c>
      <c r="I52" s="14">
        <v>19.28</v>
      </c>
      <c r="J52" s="11">
        <v>57.05</v>
      </c>
      <c r="K52" s="14">
        <v>1099.92</v>
      </c>
    </row>
    <row r="53" spans="1:11" ht="14.5" x14ac:dyDescent="0.25">
      <c r="A53" s="10"/>
      <c r="B53" s="10"/>
      <c r="C53" s="10" t="s">
        <v>257</v>
      </c>
      <c r="D53" s="12"/>
      <c r="E53" s="11"/>
      <c r="F53" s="14">
        <v>0.05</v>
      </c>
      <c r="G53" s="15" t="s">
        <v>13</v>
      </c>
      <c r="H53" s="11">
        <v>1</v>
      </c>
      <c r="I53" s="14">
        <v>0.06</v>
      </c>
      <c r="J53" s="11">
        <v>20.399999999999999</v>
      </c>
      <c r="K53" s="14">
        <v>1.22</v>
      </c>
    </row>
    <row r="54" spans="1:11" ht="14.5" x14ac:dyDescent="0.25">
      <c r="A54" s="10"/>
      <c r="B54" s="10"/>
      <c r="C54" s="10" t="s">
        <v>258</v>
      </c>
      <c r="D54" s="12"/>
      <c r="E54" s="11"/>
      <c r="F54" s="14">
        <v>0.01</v>
      </c>
      <c r="G54" s="15" t="s">
        <v>13</v>
      </c>
      <c r="H54" s="11">
        <v>1</v>
      </c>
      <c r="I54" s="16">
        <v>0.01</v>
      </c>
      <c r="J54" s="11">
        <v>57.05</v>
      </c>
      <c r="K54" s="16">
        <v>0.56999999999999995</v>
      </c>
    </row>
    <row r="55" spans="1:11" ht="14.5" x14ac:dyDescent="0.25">
      <c r="A55" s="10"/>
      <c r="B55" s="10"/>
      <c r="C55" s="10" t="s">
        <v>259</v>
      </c>
      <c r="D55" s="12"/>
      <c r="E55" s="11"/>
      <c r="F55" s="14">
        <v>1.96</v>
      </c>
      <c r="G55" s="15" t="s">
        <v>1</v>
      </c>
      <c r="H55" s="11">
        <v>1</v>
      </c>
      <c r="I55" s="14">
        <v>1.96</v>
      </c>
      <c r="J55" s="11">
        <v>10.18</v>
      </c>
      <c r="K55" s="14">
        <v>19.95</v>
      </c>
    </row>
    <row r="56" spans="1:11" ht="14.5" x14ac:dyDescent="0.25">
      <c r="A56" s="10"/>
      <c r="B56" s="10"/>
      <c r="C56" s="10" t="s">
        <v>260</v>
      </c>
      <c r="D56" s="12" t="s">
        <v>261</v>
      </c>
      <c r="E56" s="11">
        <v>90</v>
      </c>
      <c r="F56" s="14"/>
      <c r="G56" s="13"/>
      <c r="H56" s="11"/>
      <c r="I56" s="14">
        <v>17.36</v>
      </c>
      <c r="J56" s="11">
        <v>90</v>
      </c>
      <c r="K56" s="14">
        <v>990.44</v>
      </c>
    </row>
    <row r="57" spans="1:11" ht="14.5" x14ac:dyDescent="0.25">
      <c r="A57" s="10"/>
      <c r="B57" s="10"/>
      <c r="C57" s="10" t="s">
        <v>262</v>
      </c>
      <c r="D57" s="12" t="s">
        <v>261</v>
      </c>
      <c r="E57" s="11">
        <v>46</v>
      </c>
      <c r="F57" s="14"/>
      <c r="G57" s="13"/>
      <c r="H57" s="11"/>
      <c r="I57" s="14">
        <v>8.8699999999999992</v>
      </c>
      <c r="J57" s="11">
        <v>46</v>
      </c>
      <c r="K57" s="14">
        <v>506.23</v>
      </c>
    </row>
    <row r="58" spans="1:11" ht="14.5" x14ac:dyDescent="0.25">
      <c r="A58" s="17"/>
      <c r="B58" s="17"/>
      <c r="C58" s="17" t="s">
        <v>263</v>
      </c>
      <c r="D58" s="18" t="s">
        <v>264</v>
      </c>
      <c r="E58" s="19">
        <v>1.2</v>
      </c>
      <c r="F58" s="20"/>
      <c r="G58" s="21" t="s">
        <v>13</v>
      </c>
      <c r="H58" s="19">
        <v>1</v>
      </c>
      <c r="I58" s="20">
        <v>1.44</v>
      </c>
      <c r="J58" s="19"/>
      <c r="K58" s="20"/>
    </row>
    <row r="59" spans="1:11" ht="14" x14ac:dyDescent="0.25">
      <c r="C59" s="22" t="s">
        <v>265</v>
      </c>
      <c r="H59" s="143">
        <v>47.53</v>
      </c>
      <c r="I59" s="143"/>
      <c r="J59" s="143">
        <v>2617.7600000000002</v>
      </c>
      <c r="K59" s="143"/>
    </row>
    <row r="60" spans="1:11" ht="14" x14ac:dyDescent="0.25">
      <c r="C60" s="22" t="s">
        <v>267</v>
      </c>
      <c r="H60" s="141">
        <v>47.53</v>
      </c>
      <c r="I60" s="141"/>
      <c r="J60" s="141">
        <v>2617.7600000000002</v>
      </c>
      <c r="K60" s="141"/>
    </row>
    <row r="62" spans="1:11" ht="54" x14ac:dyDescent="0.25">
      <c r="A62" s="38">
        <v>6</v>
      </c>
      <c r="B62" s="38" t="s">
        <v>409</v>
      </c>
      <c r="C62" s="38" t="s">
        <v>1960</v>
      </c>
      <c r="D62" s="39" t="s">
        <v>11</v>
      </c>
      <c r="E62" s="40">
        <v>1</v>
      </c>
      <c r="F62" s="41">
        <v>2070.1</v>
      </c>
      <c r="G62" s="42" t="s">
        <v>1</v>
      </c>
      <c r="H62" s="40">
        <v>1</v>
      </c>
      <c r="I62" s="41">
        <v>2070.1</v>
      </c>
      <c r="J62" s="40">
        <v>7.54</v>
      </c>
      <c r="K62" s="41">
        <v>15608.55</v>
      </c>
    </row>
    <row r="63" spans="1:11" ht="14" x14ac:dyDescent="0.25">
      <c r="A63" s="43"/>
      <c r="B63" s="43"/>
      <c r="C63" s="44" t="s">
        <v>267</v>
      </c>
      <c r="D63" s="43"/>
      <c r="E63" s="43"/>
      <c r="F63" s="43"/>
      <c r="G63" s="43"/>
      <c r="H63" s="156">
        <v>2070.1</v>
      </c>
      <c r="I63" s="156"/>
      <c r="J63" s="156">
        <v>15608.55</v>
      </c>
      <c r="K63" s="156"/>
    </row>
    <row r="65" spans="1:11" ht="79" x14ac:dyDescent="0.25">
      <c r="A65" s="10">
        <v>7</v>
      </c>
      <c r="B65" s="10" t="s">
        <v>904</v>
      </c>
      <c r="C65" s="10" t="s">
        <v>905</v>
      </c>
      <c r="D65" s="12" t="s">
        <v>24</v>
      </c>
      <c r="E65" s="11">
        <v>85</v>
      </c>
      <c r="F65" s="14"/>
      <c r="G65" s="13"/>
      <c r="H65" s="11"/>
      <c r="I65" s="14"/>
      <c r="J65" s="11"/>
      <c r="K65" s="14"/>
    </row>
    <row r="66" spans="1:11" ht="14.5" x14ac:dyDescent="0.25">
      <c r="A66" s="10"/>
      <c r="B66" s="10"/>
      <c r="C66" s="10" t="s">
        <v>256</v>
      </c>
      <c r="D66" s="12"/>
      <c r="E66" s="11"/>
      <c r="F66" s="14">
        <v>21.2</v>
      </c>
      <c r="G66" s="15" t="s">
        <v>13</v>
      </c>
      <c r="H66" s="11">
        <v>1</v>
      </c>
      <c r="I66" s="14">
        <v>2162.4</v>
      </c>
      <c r="J66" s="11">
        <v>57.05</v>
      </c>
      <c r="K66" s="14">
        <v>123364.92</v>
      </c>
    </row>
    <row r="67" spans="1:11" ht="14.5" x14ac:dyDescent="0.25">
      <c r="A67" s="10"/>
      <c r="B67" s="10"/>
      <c r="C67" s="10" t="s">
        <v>257</v>
      </c>
      <c r="D67" s="12"/>
      <c r="E67" s="11"/>
      <c r="F67" s="14">
        <v>0.06</v>
      </c>
      <c r="G67" s="15" t="s">
        <v>13</v>
      </c>
      <c r="H67" s="11">
        <v>1</v>
      </c>
      <c r="I67" s="14">
        <v>6.12</v>
      </c>
      <c r="J67" s="11">
        <v>18.829999999999998</v>
      </c>
      <c r="K67" s="14">
        <v>115.24</v>
      </c>
    </row>
    <row r="68" spans="1:11" ht="14.5" x14ac:dyDescent="0.25">
      <c r="A68" s="10"/>
      <c r="B68" s="10"/>
      <c r="C68" s="10" t="s">
        <v>258</v>
      </c>
      <c r="D68" s="12"/>
      <c r="E68" s="11"/>
      <c r="F68" s="14">
        <v>0.01</v>
      </c>
      <c r="G68" s="15" t="s">
        <v>13</v>
      </c>
      <c r="H68" s="11">
        <v>1</v>
      </c>
      <c r="I68" s="16">
        <v>1.02</v>
      </c>
      <c r="J68" s="11">
        <v>57.05</v>
      </c>
      <c r="K68" s="16">
        <v>58.19</v>
      </c>
    </row>
    <row r="69" spans="1:11" ht="14.5" x14ac:dyDescent="0.25">
      <c r="A69" s="10"/>
      <c r="B69" s="10"/>
      <c r="C69" s="10" t="s">
        <v>259</v>
      </c>
      <c r="D69" s="12"/>
      <c r="E69" s="11"/>
      <c r="F69" s="14">
        <v>1.26</v>
      </c>
      <c r="G69" s="15" t="s">
        <v>1</v>
      </c>
      <c r="H69" s="11">
        <v>1</v>
      </c>
      <c r="I69" s="14">
        <v>107.1</v>
      </c>
      <c r="J69" s="11">
        <v>10.18</v>
      </c>
      <c r="K69" s="14">
        <v>1090.28</v>
      </c>
    </row>
    <row r="70" spans="1:11" ht="14.5" x14ac:dyDescent="0.25">
      <c r="A70" s="10"/>
      <c r="B70" s="10"/>
      <c r="C70" s="10" t="s">
        <v>260</v>
      </c>
      <c r="D70" s="12" t="s">
        <v>261</v>
      </c>
      <c r="E70" s="11">
        <v>90</v>
      </c>
      <c r="F70" s="14"/>
      <c r="G70" s="13"/>
      <c r="H70" s="11"/>
      <c r="I70" s="14">
        <v>1947.08</v>
      </c>
      <c r="J70" s="11">
        <v>90</v>
      </c>
      <c r="K70" s="14">
        <v>111080.8</v>
      </c>
    </row>
    <row r="71" spans="1:11" ht="14.5" x14ac:dyDescent="0.25">
      <c r="A71" s="10"/>
      <c r="B71" s="10"/>
      <c r="C71" s="10" t="s">
        <v>262</v>
      </c>
      <c r="D71" s="12" t="s">
        <v>261</v>
      </c>
      <c r="E71" s="11">
        <v>46</v>
      </c>
      <c r="F71" s="14"/>
      <c r="G71" s="13"/>
      <c r="H71" s="11"/>
      <c r="I71" s="14">
        <v>995.17</v>
      </c>
      <c r="J71" s="11">
        <v>46</v>
      </c>
      <c r="K71" s="14">
        <v>56774.63</v>
      </c>
    </row>
    <row r="72" spans="1:11" ht="14.5" x14ac:dyDescent="0.25">
      <c r="A72" s="17"/>
      <c r="B72" s="17"/>
      <c r="C72" s="17" t="s">
        <v>263</v>
      </c>
      <c r="D72" s="18" t="s">
        <v>264</v>
      </c>
      <c r="E72" s="19">
        <v>1.68</v>
      </c>
      <c r="F72" s="20"/>
      <c r="G72" s="21" t="s">
        <v>13</v>
      </c>
      <c r="H72" s="19">
        <v>1</v>
      </c>
      <c r="I72" s="20">
        <v>171.36</v>
      </c>
      <c r="J72" s="19"/>
      <c r="K72" s="20"/>
    </row>
    <row r="73" spans="1:11" ht="14" x14ac:dyDescent="0.25">
      <c r="C73" s="22" t="s">
        <v>265</v>
      </c>
      <c r="H73" s="143">
        <v>5217.87</v>
      </c>
      <c r="I73" s="143"/>
      <c r="J73" s="143">
        <v>292425.87</v>
      </c>
      <c r="K73" s="143"/>
    </row>
    <row r="74" spans="1:11" ht="14" x14ac:dyDescent="0.25">
      <c r="C74" s="22" t="s">
        <v>267</v>
      </c>
      <c r="H74" s="141">
        <v>5217.87</v>
      </c>
      <c r="I74" s="141"/>
      <c r="J74" s="141">
        <v>292425.87</v>
      </c>
      <c r="K74" s="141"/>
    </row>
    <row r="76" spans="1:11" ht="68" x14ac:dyDescent="0.25">
      <c r="A76" s="17">
        <v>8</v>
      </c>
      <c r="B76" s="17" t="s">
        <v>409</v>
      </c>
      <c r="C76" s="17" t="s">
        <v>1961</v>
      </c>
      <c r="D76" s="18" t="s">
        <v>11</v>
      </c>
      <c r="E76" s="19">
        <v>85</v>
      </c>
      <c r="F76" s="20">
        <v>136.99</v>
      </c>
      <c r="G76" s="21" t="s">
        <v>1</v>
      </c>
      <c r="H76" s="19">
        <v>1</v>
      </c>
      <c r="I76" s="20">
        <v>11644.15</v>
      </c>
      <c r="J76" s="19">
        <v>7.54</v>
      </c>
      <c r="K76" s="20">
        <v>87796.89</v>
      </c>
    </row>
    <row r="77" spans="1:11" ht="14" x14ac:dyDescent="0.25">
      <c r="C77" s="22" t="s">
        <v>267</v>
      </c>
      <c r="H77" s="143">
        <v>11644.15</v>
      </c>
      <c r="I77" s="143"/>
      <c r="J77" s="143">
        <v>87796.89</v>
      </c>
      <c r="K77" s="143"/>
    </row>
    <row r="79" spans="1:11" ht="79" x14ac:dyDescent="0.25">
      <c r="A79" s="10">
        <v>9</v>
      </c>
      <c r="B79" s="10" t="s">
        <v>906</v>
      </c>
      <c r="C79" s="10" t="s">
        <v>907</v>
      </c>
      <c r="D79" s="12" t="s">
        <v>24</v>
      </c>
      <c r="E79" s="11">
        <v>85</v>
      </c>
      <c r="F79" s="14"/>
      <c r="G79" s="13"/>
      <c r="H79" s="11"/>
      <c r="I79" s="14"/>
      <c r="J79" s="11"/>
      <c r="K79" s="14"/>
    </row>
    <row r="80" spans="1:11" x14ac:dyDescent="0.25">
      <c r="C80" s="23" t="s">
        <v>947</v>
      </c>
    </row>
    <row r="81" spans="1:11" ht="14.5" x14ac:dyDescent="0.25">
      <c r="A81" s="10"/>
      <c r="B81" s="10"/>
      <c r="C81" s="10" t="s">
        <v>256</v>
      </c>
      <c r="D81" s="12"/>
      <c r="E81" s="11"/>
      <c r="F81" s="14">
        <v>4.42</v>
      </c>
      <c r="G81" s="15" t="s">
        <v>13</v>
      </c>
      <c r="H81" s="11">
        <v>1</v>
      </c>
      <c r="I81" s="14">
        <v>450.84</v>
      </c>
      <c r="J81" s="11">
        <v>57.05</v>
      </c>
      <c r="K81" s="14">
        <v>25720.42</v>
      </c>
    </row>
    <row r="82" spans="1:11" ht="14.5" x14ac:dyDescent="0.25">
      <c r="A82" s="10"/>
      <c r="B82" s="10"/>
      <c r="C82" s="10" t="s">
        <v>257</v>
      </c>
      <c r="D82" s="12"/>
      <c r="E82" s="11"/>
      <c r="F82" s="14">
        <v>4.5599999999999996</v>
      </c>
      <c r="G82" s="15" t="s">
        <v>13</v>
      </c>
      <c r="H82" s="11">
        <v>1</v>
      </c>
      <c r="I82" s="14">
        <v>465.12</v>
      </c>
      <c r="J82" s="11">
        <v>14.1</v>
      </c>
      <c r="K82" s="14">
        <v>6558.19</v>
      </c>
    </row>
    <row r="83" spans="1:11" ht="14.5" x14ac:dyDescent="0.25">
      <c r="A83" s="10"/>
      <c r="B83" s="10"/>
      <c r="C83" s="10" t="s">
        <v>258</v>
      </c>
      <c r="D83" s="12"/>
      <c r="E83" s="11"/>
      <c r="F83" s="14">
        <v>0.28000000000000003</v>
      </c>
      <c r="G83" s="15" t="s">
        <v>13</v>
      </c>
      <c r="H83" s="11">
        <v>1</v>
      </c>
      <c r="I83" s="16">
        <v>28.56</v>
      </c>
      <c r="J83" s="11">
        <v>57.05</v>
      </c>
      <c r="K83" s="16">
        <v>1629.35</v>
      </c>
    </row>
    <row r="84" spans="1:11" ht="14.5" x14ac:dyDescent="0.25">
      <c r="A84" s="10"/>
      <c r="B84" s="10"/>
      <c r="C84" s="10" t="s">
        <v>259</v>
      </c>
      <c r="D84" s="12"/>
      <c r="E84" s="11"/>
      <c r="F84" s="14">
        <v>1.05</v>
      </c>
      <c r="G84" s="15" t="s">
        <v>1</v>
      </c>
      <c r="H84" s="11">
        <v>1</v>
      </c>
      <c r="I84" s="14">
        <v>89.25</v>
      </c>
      <c r="J84" s="11">
        <v>10.18</v>
      </c>
      <c r="K84" s="14">
        <v>908.57</v>
      </c>
    </row>
    <row r="85" spans="1:11" ht="14.5" x14ac:dyDescent="0.25">
      <c r="A85" s="10"/>
      <c r="B85" s="10"/>
      <c r="C85" s="10" t="s">
        <v>260</v>
      </c>
      <c r="D85" s="12" t="s">
        <v>261</v>
      </c>
      <c r="E85" s="11">
        <v>90</v>
      </c>
      <c r="F85" s="14"/>
      <c r="G85" s="13"/>
      <c r="H85" s="11"/>
      <c r="I85" s="14">
        <v>431.46</v>
      </c>
      <c r="J85" s="11">
        <v>90</v>
      </c>
      <c r="K85" s="14">
        <v>24614.79</v>
      </c>
    </row>
    <row r="86" spans="1:11" ht="14.5" x14ac:dyDescent="0.25">
      <c r="A86" s="10"/>
      <c r="B86" s="10"/>
      <c r="C86" s="10" t="s">
        <v>262</v>
      </c>
      <c r="D86" s="12" t="s">
        <v>261</v>
      </c>
      <c r="E86" s="11">
        <v>46</v>
      </c>
      <c r="F86" s="14"/>
      <c r="G86" s="13"/>
      <c r="H86" s="11"/>
      <c r="I86" s="14">
        <v>220.52</v>
      </c>
      <c r="J86" s="11">
        <v>46</v>
      </c>
      <c r="K86" s="14">
        <v>12580.89</v>
      </c>
    </row>
    <row r="87" spans="1:11" ht="14.5" x14ac:dyDescent="0.25">
      <c r="A87" s="17"/>
      <c r="B87" s="17"/>
      <c r="C87" s="17" t="s">
        <v>263</v>
      </c>
      <c r="D87" s="18" t="s">
        <v>264</v>
      </c>
      <c r="E87" s="19">
        <v>0.35</v>
      </c>
      <c r="F87" s="20"/>
      <c r="G87" s="21" t="s">
        <v>13</v>
      </c>
      <c r="H87" s="19">
        <v>1</v>
      </c>
      <c r="I87" s="20">
        <v>35.700000000000003</v>
      </c>
      <c r="J87" s="19"/>
      <c r="K87" s="20"/>
    </row>
    <row r="88" spans="1:11" ht="14" x14ac:dyDescent="0.25">
      <c r="C88" s="22" t="s">
        <v>265</v>
      </c>
      <c r="H88" s="143">
        <v>1657.19</v>
      </c>
      <c r="I88" s="143"/>
      <c r="J88" s="143">
        <v>70382.86</v>
      </c>
      <c r="K88" s="143"/>
    </row>
    <row r="89" spans="1:11" ht="14" x14ac:dyDescent="0.25">
      <c r="C89" s="22" t="s">
        <v>267</v>
      </c>
      <c r="H89" s="141">
        <v>1657.19</v>
      </c>
      <c r="I89" s="141"/>
      <c r="J89" s="141">
        <v>70382.86</v>
      </c>
      <c r="K89" s="141"/>
    </row>
    <row r="91" spans="1:11" ht="41" x14ac:dyDescent="0.25">
      <c r="A91" s="38">
        <v>10</v>
      </c>
      <c r="B91" s="38" t="s">
        <v>409</v>
      </c>
      <c r="C91" s="38" t="s">
        <v>1962</v>
      </c>
      <c r="D91" s="39" t="s">
        <v>11</v>
      </c>
      <c r="E91" s="40">
        <v>22</v>
      </c>
      <c r="F91" s="41">
        <v>42.95</v>
      </c>
      <c r="G91" s="42" t="s">
        <v>1</v>
      </c>
      <c r="H91" s="40">
        <v>1</v>
      </c>
      <c r="I91" s="41">
        <v>944.9</v>
      </c>
      <c r="J91" s="40">
        <v>10.18</v>
      </c>
      <c r="K91" s="41">
        <v>9619.08</v>
      </c>
    </row>
    <row r="92" spans="1:11" ht="14" x14ac:dyDescent="0.25">
      <c r="A92" s="43"/>
      <c r="B92" s="43"/>
      <c r="C92" s="44" t="s">
        <v>267</v>
      </c>
      <c r="D92" s="43"/>
      <c r="E92" s="43"/>
      <c r="F92" s="43"/>
      <c r="G92" s="43"/>
      <c r="H92" s="156">
        <v>944.9</v>
      </c>
      <c r="I92" s="156"/>
      <c r="J92" s="156">
        <v>9619.08</v>
      </c>
      <c r="K92" s="156"/>
    </row>
    <row r="93" spans="1:11" x14ac:dyDescent="0.2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</row>
    <row r="94" spans="1:11" ht="41" x14ac:dyDescent="0.25">
      <c r="A94" s="38">
        <v>11</v>
      </c>
      <c r="B94" s="38" t="s">
        <v>409</v>
      </c>
      <c r="C94" s="38" t="s">
        <v>1964</v>
      </c>
      <c r="D94" s="39" t="s">
        <v>11</v>
      </c>
      <c r="E94" s="40">
        <v>63</v>
      </c>
      <c r="F94" s="41">
        <v>17.09</v>
      </c>
      <c r="G94" s="42" t="s">
        <v>1</v>
      </c>
      <c r="H94" s="40">
        <v>1</v>
      </c>
      <c r="I94" s="41">
        <v>1076.67</v>
      </c>
      <c r="J94" s="40">
        <v>10.18</v>
      </c>
      <c r="K94" s="41">
        <v>10960.5</v>
      </c>
    </row>
    <row r="95" spans="1:11" ht="14" x14ac:dyDescent="0.25">
      <c r="A95" s="43"/>
      <c r="B95" s="43"/>
      <c r="C95" s="44" t="s">
        <v>267</v>
      </c>
      <c r="D95" s="43"/>
      <c r="E95" s="43"/>
      <c r="F95" s="43"/>
      <c r="G95" s="43"/>
      <c r="H95" s="156">
        <v>1076.67</v>
      </c>
      <c r="I95" s="156"/>
      <c r="J95" s="156">
        <v>10960.5</v>
      </c>
      <c r="K95" s="156"/>
    </row>
    <row r="97" spans="1:11" ht="79" x14ac:dyDescent="0.25">
      <c r="A97" s="10">
        <v>12</v>
      </c>
      <c r="B97" s="10" t="s">
        <v>908</v>
      </c>
      <c r="C97" s="10" t="s">
        <v>909</v>
      </c>
      <c r="D97" s="12" t="s">
        <v>24</v>
      </c>
      <c r="E97" s="11">
        <v>4</v>
      </c>
      <c r="F97" s="14"/>
      <c r="G97" s="13"/>
      <c r="H97" s="11"/>
      <c r="I97" s="14"/>
      <c r="J97" s="11"/>
      <c r="K97" s="14"/>
    </row>
    <row r="98" spans="1:11" ht="14.5" x14ac:dyDescent="0.25">
      <c r="A98" s="10"/>
      <c r="B98" s="10"/>
      <c r="C98" s="10" t="s">
        <v>256</v>
      </c>
      <c r="D98" s="12"/>
      <c r="E98" s="11"/>
      <c r="F98" s="14">
        <v>11.89</v>
      </c>
      <c r="G98" s="15" t="s">
        <v>13</v>
      </c>
      <c r="H98" s="11">
        <v>1</v>
      </c>
      <c r="I98" s="14">
        <v>57.07</v>
      </c>
      <c r="J98" s="11">
        <v>57.05</v>
      </c>
      <c r="K98" s="14">
        <v>3255.84</v>
      </c>
    </row>
    <row r="99" spans="1:11" ht="14.5" x14ac:dyDescent="0.25">
      <c r="A99" s="10"/>
      <c r="B99" s="10"/>
      <c r="C99" s="10" t="s">
        <v>259</v>
      </c>
      <c r="D99" s="12"/>
      <c r="E99" s="11"/>
      <c r="F99" s="14">
        <v>1.67</v>
      </c>
      <c r="G99" s="15" t="s">
        <v>1</v>
      </c>
      <c r="H99" s="11">
        <v>1</v>
      </c>
      <c r="I99" s="14">
        <v>6.68</v>
      </c>
      <c r="J99" s="11">
        <v>17.41</v>
      </c>
      <c r="K99" s="14">
        <v>116.3</v>
      </c>
    </row>
    <row r="100" spans="1:11" ht="14.5" x14ac:dyDescent="0.25">
      <c r="A100" s="10"/>
      <c r="B100" s="10"/>
      <c r="C100" s="10" t="s">
        <v>260</v>
      </c>
      <c r="D100" s="12" t="s">
        <v>261</v>
      </c>
      <c r="E100" s="11">
        <v>95</v>
      </c>
      <c r="F100" s="14"/>
      <c r="G100" s="13"/>
      <c r="H100" s="11"/>
      <c r="I100" s="14">
        <v>54.22</v>
      </c>
      <c r="J100" s="11">
        <v>95</v>
      </c>
      <c r="K100" s="14">
        <v>3093.05</v>
      </c>
    </row>
    <row r="101" spans="1:11" ht="14.5" x14ac:dyDescent="0.25">
      <c r="A101" s="10"/>
      <c r="B101" s="10"/>
      <c r="C101" s="10" t="s">
        <v>262</v>
      </c>
      <c r="D101" s="12" t="s">
        <v>261</v>
      </c>
      <c r="E101" s="11">
        <v>53</v>
      </c>
      <c r="F101" s="14"/>
      <c r="G101" s="13"/>
      <c r="H101" s="11"/>
      <c r="I101" s="14">
        <v>30.25</v>
      </c>
      <c r="J101" s="11">
        <v>53</v>
      </c>
      <c r="K101" s="14">
        <v>1725.6</v>
      </c>
    </row>
    <row r="102" spans="1:11" ht="14.5" x14ac:dyDescent="0.25">
      <c r="A102" s="17"/>
      <c r="B102" s="17"/>
      <c r="C102" s="17" t="s">
        <v>263</v>
      </c>
      <c r="D102" s="18" t="s">
        <v>264</v>
      </c>
      <c r="E102" s="19">
        <v>1</v>
      </c>
      <c r="F102" s="20"/>
      <c r="G102" s="21" t="s">
        <v>13</v>
      </c>
      <c r="H102" s="19">
        <v>1</v>
      </c>
      <c r="I102" s="20">
        <v>4.8</v>
      </c>
      <c r="J102" s="19"/>
      <c r="K102" s="20"/>
    </row>
    <row r="103" spans="1:11" ht="14" x14ac:dyDescent="0.25">
      <c r="C103" s="22" t="s">
        <v>265</v>
      </c>
      <c r="H103" s="143">
        <v>148.22</v>
      </c>
      <c r="I103" s="143"/>
      <c r="J103" s="143">
        <v>8190.79</v>
      </c>
      <c r="K103" s="143"/>
    </row>
    <row r="104" spans="1:11" ht="14" x14ac:dyDescent="0.25">
      <c r="C104" s="22" t="s">
        <v>267</v>
      </c>
      <c r="H104" s="141">
        <v>148.22</v>
      </c>
      <c r="I104" s="141"/>
      <c r="J104" s="141">
        <v>8190.79</v>
      </c>
      <c r="K104" s="141"/>
    </row>
    <row r="106" spans="1:11" ht="68" x14ac:dyDescent="0.25">
      <c r="A106" s="38">
        <v>13</v>
      </c>
      <c r="B106" s="38" t="s">
        <v>409</v>
      </c>
      <c r="C106" s="38" t="s">
        <v>1963</v>
      </c>
      <c r="D106" s="39" t="s">
        <v>11</v>
      </c>
      <c r="E106" s="40">
        <v>4</v>
      </c>
      <c r="F106" s="41">
        <v>136.44</v>
      </c>
      <c r="G106" s="42" t="s">
        <v>1</v>
      </c>
      <c r="H106" s="40">
        <v>1</v>
      </c>
      <c r="I106" s="41">
        <v>545.76</v>
      </c>
      <c r="J106" s="40">
        <v>7.54</v>
      </c>
      <c r="K106" s="41">
        <v>4115.03</v>
      </c>
    </row>
    <row r="107" spans="1:11" ht="14" x14ac:dyDescent="0.25">
      <c r="A107" s="43"/>
      <c r="B107" s="43"/>
      <c r="C107" s="44" t="s">
        <v>267</v>
      </c>
      <c r="D107" s="43"/>
      <c r="E107" s="43"/>
      <c r="F107" s="43"/>
      <c r="G107" s="43"/>
      <c r="H107" s="156">
        <v>545.76</v>
      </c>
      <c r="I107" s="156"/>
      <c r="J107" s="156">
        <v>4115.03</v>
      </c>
      <c r="K107" s="156"/>
    </row>
    <row r="109" spans="1:11" ht="79" x14ac:dyDescent="0.25">
      <c r="A109" s="10">
        <v>14</v>
      </c>
      <c r="B109" s="10" t="s">
        <v>902</v>
      </c>
      <c r="C109" s="10" t="s">
        <v>903</v>
      </c>
      <c r="D109" s="12" t="s">
        <v>24</v>
      </c>
      <c r="E109" s="11">
        <v>28</v>
      </c>
      <c r="F109" s="14"/>
      <c r="G109" s="13"/>
      <c r="H109" s="11"/>
      <c r="I109" s="14"/>
      <c r="J109" s="11"/>
      <c r="K109" s="14"/>
    </row>
    <row r="110" spans="1:11" ht="14.5" x14ac:dyDescent="0.25">
      <c r="A110" s="10"/>
      <c r="B110" s="10"/>
      <c r="C110" s="10" t="s">
        <v>256</v>
      </c>
      <c r="D110" s="12"/>
      <c r="E110" s="11"/>
      <c r="F110" s="14">
        <v>16.07</v>
      </c>
      <c r="G110" s="15" t="s">
        <v>13</v>
      </c>
      <c r="H110" s="11">
        <v>1</v>
      </c>
      <c r="I110" s="14">
        <v>539.95000000000005</v>
      </c>
      <c r="J110" s="11">
        <v>57.05</v>
      </c>
      <c r="K110" s="14">
        <v>30804.15</v>
      </c>
    </row>
    <row r="111" spans="1:11" ht="14.5" x14ac:dyDescent="0.25">
      <c r="A111" s="10"/>
      <c r="B111" s="10"/>
      <c r="C111" s="10" t="s">
        <v>257</v>
      </c>
      <c r="D111" s="12"/>
      <c r="E111" s="11"/>
      <c r="F111" s="14">
        <v>0.05</v>
      </c>
      <c r="G111" s="15" t="s">
        <v>13</v>
      </c>
      <c r="H111" s="11">
        <v>1</v>
      </c>
      <c r="I111" s="14">
        <v>1.68</v>
      </c>
      <c r="J111" s="11">
        <v>20.399999999999999</v>
      </c>
      <c r="K111" s="14">
        <v>34.270000000000003</v>
      </c>
    </row>
    <row r="112" spans="1:11" ht="14.5" x14ac:dyDescent="0.25">
      <c r="A112" s="10"/>
      <c r="B112" s="10"/>
      <c r="C112" s="10" t="s">
        <v>258</v>
      </c>
      <c r="D112" s="12"/>
      <c r="E112" s="11"/>
      <c r="F112" s="14">
        <v>0.01</v>
      </c>
      <c r="G112" s="15" t="s">
        <v>13</v>
      </c>
      <c r="H112" s="11">
        <v>1</v>
      </c>
      <c r="I112" s="16">
        <v>0.34</v>
      </c>
      <c r="J112" s="11">
        <v>57.05</v>
      </c>
      <c r="K112" s="16">
        <v>19.399999999999999</v>
      </c>
    </row>
    <row r="113" spans="1:11" ht="14.5" x14ac:dyDescent="0.25">
      <c r="A113" s="10"/>
      <c r="B113" s="10"/>
      <c r="C113" s="10" t="s">
        <v>259</v>
      </c>
      <c r="D113" s="12"/>
      <c r="E113" s="11"/>
      <c r="F113" s="14">
        <v>1.96</v>
      </c>
      <c r="G113" s="15" t="s">
        <v>1</v>
      </c>
      <c r="H113" s="11">
        <v>1</v>
      </c>
      <c r="I113" s="14">
        <v>54.88</v>
      </c>
      <c r="J113" s="11">
        <v>10.18</v>
      </c>
      <c r="K113" s="14">
        <v>558.67999999999995</v>
      </c>
    </row>
    <row r="114" spans="1:11" ht="14.5" x14ac:dyDescent="0.25">
      <c r="A114" s="10"/>
      <c r="B114" s="10"/>
      <c r="C114" s="10" t="s">
        <v>260</v>
      </c>
      <c r="D114" s="12" t="s">
        <v>261</v>
      </c>
      <c r="E114" s="11">
        <v>90</v>
      </c>
      <c r="F114" s="14"/>
      <c r="G114" s="13"/>
      <c r="H114" s="11"/>
      <c r="I114" s="14">
        <v>486.26</v>
      </c>
      <c r="J114" s="11">
        <v>90</v>
      </c>
      <c r="K114" s="14">
        <v>27741.200000000001</v>
      </c>
    </row>
    <row r="115" spans="1:11" ht="14.5" x14ac:dyDescent="0.25">
      <c r="A115" s="10"/>
      <c r="B115" s="10"/>
      <c r="C115" s="10" t="s">
        <v>262</v>
      </c>
      <c r="D115" s="12" t="s">
        <v>261</v>
      </c>
      <c r="E115" s="11">
        <v>46</v>
      </c>
      <c r="F115" s="14"/>
      <c r="G115" s="13"/>
      <c r="H115" s="11"/>
      <c r="I115" s="14">
        <v>248.53</v>
      </c>
      <c r="J115" s="11">
        <v>46</v>
      </c>
      <c r="K115" s="14">
        <v>14178.83</v>
      </c>
    </row>
    <row r="116" spans="1:11" ht="14.5" x14ac:dyDescent="0.25">
      <c r="A116" s="17"/>
      <c r="B116" s="17"/>
      <c r="C116" s="17" t="s">
        <v>263</v>
      </c>
      <c r="D116" s="18" t="s">
        <v>264</v>
      </c>
      <c r="E116" s="19">
        <v>1.2</v>
      </c>
      <c r="F116" s="20"/>
      <c r="G116" s="21" t="s">
        <v>13</v>
      </c>
      <c r="H116" s="19">
        <v>1</v>
      </c>
      <c r="I116" s="20">
        <v>40.32</v>
      </c>
      <c r="J116" s="19"/>
      <c r="K116" s="20"/>
    </row>
    <row r="117" spans="1:11" ht="14" x14ac:dyDescent="0.25">
      <c r="C117" s="22" t="s">
        <v>265</v>
      </c>
      <c r="H117" s="143">
        <v>1331.3</v>
      </c>
      <c r="I117" s="143"/>
      <c r="J117" s="143">
        <v>73317.13</v>
      </c>
      <c r="K117" s="143"/>
    </row>
    <row r="118" spans="1:11" ht="14" x14ac:dyDescent="0.25">
      <c r="C118" s="22" t="s">
        <v>267</v>
      </c>
      <c r="H118" s="141">
        <v>1331.3</v>
      </c>
      <c r="I118" s="141"/>
      <c r="J118" s="141">
        <v>73317.13</v>
      </c>
      <c r="K118" s="141"/>
    </row>
    <row r="120" spans="1:11" ht="54" x14ac:dyDescent="0.25">
      <c r="A120" s="17">
        <v>15</v>
      </c>
      <c r="B120" s="17" t="s">
        <v>409</v>
      </c>
      <c r="C120" s="17" t="s">
        <v>1965</v>
      </c>
      <c r="D120" s="18" t="s">
        <v>11</v>
      </c>
      <c r="E120" s="19">
        <v>28</v>
      </c>
      <c r="F120" s="20">
        <v>77.209999999999994</v>
      </c>
      <c r="G120" s="21" t="s">
        <v>1</v>
      </c>
      <c r="H120" s="19">
        <v>1</v>
      </c>
      <c r="I120" s="20">
        <v>2161.88</v>
      </c>
      <c r="J120" s="19">
        <v>7.54</v>
      </c>
      <c r="K120" s="20">
        <v>16300.58</v>
      </c>
    </row>
    <row r="121" spans="1:11" ht="14" x14ac:dyDescent="0.25">
      <c r="C121" s="22" t="s">
        <v>267</v>
      </c>
      <c r="H121" s="143">
        <v>2161.88</v>
      </c>
      <c r="I121" s="143"/>
      <c r="J121" s="143">
        <v>16300.58</v>
      </c>
      <c r="K121" s="143"/>
    </row>
    <row r="123" spans="1:11" ht="79" x14ac:dyDescent="0.25">
      <c r="A123" s="10">
        <v>16</v>
      </c>
      <c r="B123" s="10" t="s">
        <v>910</v>
      </c>
      <c r="C123" s="10" t="s">
        <v>911</v>
      </c>
      <c r="D123" s="12" t="s">
        <v>34</v>
      </c>
      <c r="E123" s="11">
        <v>0.14000000000000001</v>
      </c>
      <c r="F123" s="14"/>
      <c r="G123" s="13"/>
      <c r="H123" s="11"/>
      <c r="I123" s="14"/>
      <c r="J123" s="11"/>
      <c r="K123" s="14"/>
    </row>
    <row r="124" spans="1:11" x14ac:dyDescent="0.25">
      <c r="C124" s="23" t="s">
        <v>821</v>
      </c>
    </row>
    <row r="125" spans="1:11" ht="14.5" x14ac:dyDescent="0.25">
      <c r="A125" s="10"/>
      <c r="B125" s="10"/>
      <c r="C125" s="10" t="s">
        <v>256</v>
      </c>
      <c r="D125" s="12"/>
      <c r="E125" s="11"/>
      <c r="F125" s="14">
        <v>1099.8599999999999</v>
      </c>
      <c r="G125" s="15" t="s">
        <v>13</v>
      </c>
      <c r="H125" s="11">
        <v>1</v>
      </c>
      <c r="I125" s="14">
        <v>184.78</v>
      </c>
      <c r="J125" s="11">
        <v>57.05</v>
      </c>
      <c r="K125" s="14">
        <v>10541.7</v>
      </c>
    </row>
    <row r="126" spans="1:11" ht="14.5" x14ac:dyDescent="0.25">
      <c r="A126" s="10"/>
      <c r="B126" s="10"/>
      <c r="C126" s="10" t="s">
        <v>257</v>
      </c>
      <c r="D126" s="12"/>
      <c r="E126" s="11"/>
      <c r="F126" s="14">
        <v>93.32</v>
      </c>
      <c r="G126" s="15" t="s">
        <v>13</v>
      </c>
      <c r="H126" s="11">
        <v>1</v>
      </c>
      <c r="I126" s="14">
        <v>15.68</v>
      </c>
      <c r="J126" s="11">
        <v>16.8</v>
      </c>
      <c r="K126" s="14">
        <v>263.42</v>
      </c>
    </row>
    <row r="127" spans="1:11" ht="14.5" x14ac:dyDescent="0.25">
      <c r="A127" s="10"/>
      <c r="B127" s="10"/>
      <c r="C127" s="10" t="s">
        <v>258</v>
      </c>
      <c r="D127" s="12"/>
      <c r="E127" s="11"/>
      <c r="F127" s="14">
        <v>13</v>
      </c>
      <c r="G127" s="15" t="s">
        <v>13</v>
      </c>
      <c r="H127" s="11">
        <v>1</v>
      </c>
      <c r="I127" s="16">
        <v>2.1800000000000002</v>
      </c>
      <c r="J127" s="11">
        <v>57.05</v>
      </c>
      <c r="K127" s="16">
        <v>124.37</v>
      </c>
    </row>
    <row r="128" spans="1:11" ht="14.5" x14ac:dyDescent="0.25">
      <c r="A128" s="10"/>
      <c r="B128" s="10"/>
      <c r="C128" s="10" t="s">
        <v>259</v>
      </c>
      <c r="D128" s="12"/>
      <c r="E128" s="11"/>
      <c r="F128" s="14">
        <v>81.36</v>
      </c>
      <c r="G128" s="15" t="s">
        <v>1</v>
      </c>
      <c r="H128" s="11">
        <v>1</v>
      </c>
      <c r="I128" s="14">
        <v>11.39</v>
      </c>
      <c r="J128" s="11">
        <v>10.65</v>
      </c>
      <c r="K128" s="14">
        <v>121.3</v>
      </c>
    </row>
    <row r="129" spans="1:11" ht="14.5" x14ac:dyDescent="0.25">
      <c r="A129" s="10"/>
      <c r="B129" s="10"/>
      <c r="C129" s="10" t="s">
        <v>260</v>
      </c>
      <c r="D129" s="12" t="s">
        <v>261</v>
      </c>
      <c r="E129" s="11">
        <v>97</v>
      </c>
      <c r="F129" s="14"/>
      <c r="G129" s="13"/>
      <c r="H129" s="11"/>
      <c r="I129" s="14">
        <v>181.35</v>
      </c>
      <c r="J129" s="11">
        <v>97</v>
      </c>
      <c r="K129" s="14">
        <v>10346.09</v>
      </c>
    </row>
    <row r="130" spans="1:11" ht="14.5" x14ac:dyDescent="0.25">
      <c r="A130" s="10"/>
      <c r="B130" s="10"/>
      <c r="C130" s="10" t="s">
        <v>262</v>
      </c>
      <c r="D130" s="12" t="s">
        <v>261</v>
      </c>
      <c r="E130" s="11">
        <v>51</v>
      </c>
      <c r="F130" s="14"/>
      <c r="G130" s="13"/>
      <c r="H130" s="11"/>
      <c r="I130" s="14">
        <v>95.35</v>
      </c>
      <c r="J130" s="11">
        <v>51</v>
      </c>
      <c r="K130" s="14">
        <v>5439.7</v>
      </c>
    </row>
    <row r="131" spans="1:11" ht="14.5" x14ac:dyDescent="0.25">
      <c r="A131" s="17"/>
      <c r="B131" s="17"/>
      <c r="C131" s="17" t="s">
        <v>263</v>
      </c>
      <c r="D131" s="18" t="s">
        <v>264</v>
      </c>
      <c r="E131" s="19">
        <v>84.67</v>
      </c>
      <c r="F131" s="20"/>
      <c r="G131" s="21" t="s">
        <v>13</v>
      </c>
      <c r="H131" s="19">
        <v>1</v>
      </c>
      <c r="I131" s="20">
        <v>14.22</v>
      </c>
      <c r="J131" s="19"/>
      <c r="K131" s="20"/>
    </row>
    <row r="132" spans="1:11" ht="14" x14ac:dyDescent="0.25">
      <c r="C132" s="22" t="s">
        <v>265</v>
      </c>
      <c r="H132" s="143">
        <v>488.55</v>
      </c>
      <c r="I132" s="143"/>
      <c r="J132" s="143">
        <v>26712.21</v>
      </c>
      <c r="K132" s="143"/>
    </row>
    <row r="133" spans="1:11" ht="14" x14ac:dyDescent="0.25">
      <c r="C133" s="22" t="s">
        <v>267</v>
      </c>
      <c r="H133" s="141">
        <v>488.55</v>
      </c>
      <c r="I133" s="141"/>
      <c r="J133" s="141">
        <v>26712.21</v>
      </c>
      <c r="K133" s="141"/>
    </row>
    <row r="135" spans="1:11" ht="68" x14ac:dyDescent="0.25">
      <c r="A135" s="17">
        <v>17</v>
      </c>
      <c r="B135" s="17" t="s">
        <v>409</v>
      </c>
      <c r="C135" s="17" t="s">
        <v>1966</v>
      </c>
      <c r="D135" s="18" t="s">
        <v>11</v>
      </c>
      <c r="E135" s="19">
        <v>13</v>
      </c>
      <c r="F135" s="20">
        <v>182.78</v>
      </c>
      <c r="G135" s="21" t="s">
        <v>1</v>
      </c>
      <c r="H135" s="19">
        <v>1</v>
      </c>
      <c r="I135" s="20">
        <v>2376.14</v>
      </c>
      <c r="J135" s="19">
        <v>7.54</v>
      </c>
      <c r="K135" s="20">
        <v>17916.099999999999</v>
      </c>
    </row>
    <row r="136" spans="1:11" ht="14" x14ac:dyDescent="0.25">
      <c r="C136" s="22" t="s">
        <v>267</v>
      </c>
      <c r="H136" s="143">
        <v>2376.14</v>
      </c>
      <c r="I136" s="143"/>
      <c r="J136" s="143">
        <v>17916.099999999999</v>
      </c>
      <c r="K136" s="143"/>
    </row>
    <row r="138" spans="1:11" ht="68" x14ac:dyDescent="0.25">
      <c r="A138" s="17">
        <v>18</v>
      </c>
      <c r="B138" s="17" t="s">
        <v>409</v>
      </c>
      <c r="C138" s="17" t="s">
        <v>1967</v>
      </c>
      <c r="D138" s="18" t="s">
        <v>11</v>
      </c>
      <c r="E138" s="19">
        <v>1</v>
      </c>
      <c r="F138" s="20">
        <v>173.71</v>
      </c>
      <c r="G138" s="21" t="s">
        <v>1</v>
      </c>
      <c r="H138" s="19">
        <v>1</v>
      </c>
      <c r="I138" s="20">
        <v>173.71</v>
      </c>
      <c r="J138" s="19">
        <v>7.54</v>
      </c>
      <c r="K138" s="20">
        <v>1309.77</v>
      </c>
    </row>
    <row r="139" spans="1:11" ht="14" x14ac:dyDescent="0.25">
      <c r="C139" s="22" t="s">
        <v>267</v>
      </c>
      <c r="H139" s="143">
        <v>173.71</v>
      </c>
      <c r="I139" s="143"/>
      <c r="J139" s="143">
        <v>1309.77</v>
      </c>
      <c r="K139" s="143"/>
    </row>
    <row r="141" spans="1:11" ht="79" x14ac:dyDescent="0.25">
      <c r="A141" s="10">
        <v>19</v>
      </c>
      <c r="B141" s="10" t="s">
        <v>912</v>
      </c>
      <c r="C141" s="10" t="s">
        <v>913</v>
      </c>
      <c r="D141" s="12" t="s">
        <v>24</v>
      </c>
      <c r="E141" s="11">
        <v>1</v>
      </c>
      <c r="F141" s="14"/>
      <c r="G141" s="13"/>
      <c r="H141" s="11"/>
      <c r="I141" s="14"/>
      <c r="J141" s="11"/>
      <c r="K141" s="14"/>
    </row>
    <row r="142" spans="1:11" ht="14.5" x14ac:dyDescent="0.25">
      <c r="A142" s="10"/>
      <c r="B142" s="10"/>
      <c r="C142" s="10" t="s">
        <v>256</v>
      </c>
      <c r="D142" s="12"/>
      <c r="E142" s="11"/>
      <c r="F142" s="14">
        <v>40.17</v>
      </c>
      <c r="G142" s="15" t="s">
        <v>13</v>
      </c>
      <c r="H142" s="11">
        <v>1</v>
      </c>
      <c r="I142" s="14">
        <v>48.2</v>
      </c>
      <c r="J142" s="11">
        <v>57.05</v>
      </c>
      <c r="K142" s="14">
        <v>2749.81</v>
      </c>
    </row>
    <row r="143" spans="1:11" ht="14.5" x14ac:dyDescent="0.25">
      <c r="A143" s="10"/>
      <c r="B143" s="10"/>
      <c r="C143" s="10" t="s">
        <v>259</v>
      </c>
      <c r="D143" s="12"/>
      <c r="E143" s="11"/>
      <c r="F143" s="14">
        <v>2.34</v>
      </c>
      <c r="G143" s="15" t="s">
        <v>1</v>
      </c>
      <c r="H143" s="11">
        <v>1</v>
      </c>
      <c r="I143" s="14">
        <v>2.34</v>
      </c>
      <c r="J143" s="11">
        <v>9.91</v>
      </c>
      <c r="K143" s="14">
        <v>23.19</v>
      </c>
    </row>
    <row r="144" spans="1:11" ht="14.5" x14ac:dyDescent="0.25">
      <c r="A144" s="10"/>
      <c r="B144" s="10"/>
      <c r="C144" s="10" t="s">
        <v>260</v>
      </c>
      <c r="D144" s="12" t="s">
        <v>261</v>
      </c>
      <c r="E144" s="11">
        <v>90</v>
      </c>
      <c r="F144" s="14"/>
      <c r="G144" s="13"/>
      <c r="H144" s="11"/>
      <c r="I144" s="14">
        <v>43.38</v>
      </c>
      <c r="J144" s="11">
        <v>90</v>
      </c>
      <c r="K144" s="14">
        <v>2474.83</v>
      </c>
    </row>
    <row r="145" spans="1:11" ht="14.5" x14ac:dyDescent="0.25">
      <c r="A145" s="10"/>
      <c r="B145" s="10"/>
      <c r="C145" s="10" t="s">
        <v>262</v>
      </c>
      <c r="D145" s="12" t="s">
        <v>261</v>
      </c>
      <c r="E145" s="11">
        <v>46</v>
      </c>
      <c r="F145" s="14"/>
      <c r="G145" s="13"/>
      <c r="H145" s="11"/>
      <c r="I145" s="14">
        <v>22.17</v>
      </c>
      <c r="J145" s="11">
        <v>46</v>
      </c>
      <c r="K145" s="14">
        <v>1264.9100000000001</v>
      </c>
    </row>
    <row r="146" spans="1:11" ht="14.5" x14ac:dyDescent="0.25">
      <c r="A146" s="17"/>
      <c r="B146" s="17"/>
      <c r="C146" s="17" t="s">
        <v>263</v>
      </c>
      <c r="D146" s="18" t="s">
        <v>264</v>
      </c>
      <c r="E146" s="19">
        <v>3.18</v>
      </c>
      <c r="F146" s="20"/>
      <c r="G146" s="21" t="s">
        <v>13</v>
      </c>
      <c r="H146" s="19">
        <v>1</v>
      </c>
      <c r="I146" s="20">
        <v>3.82</v>
      </c>
      <c r="J146" s="19"/>
      <c r="K146" s="20"/>
    </row>
    <row r="147" spans="1:11" ht="14" x14ac:dyDescent="0.25">
      <c r="C147" s="22" t="s">
        <v>265</v>
      </c>
      <c r="H147" s="143">
        <v>116.09</v>
      </c>
      <c r="I147" s="143"/>
      <c r="J147" s="143">
        <v>6512.74</v>
      </c>
      <c r="K147" s="143"/>
    </row>
    <row r="148" spans="1:11" ht="14" x14ac:dyDescent="0.25">
      <c r="C148" s="22" t="s">
        <v>267</v>
      </c>
      <c r="H148" s="141">
        <v>116.09</v>
      </c>
      <c r="I148" s="141"/>
      <c r="J148" s="141">
        <v>6512.74</v>
      </c>
      <c r="K148" s="141"/>
    </row>
    <row r="150" spans="1:11" ht="68" x14ac:dyDescent="0.25">
      <c r="A150" s="38">
        <v>20</v>
      </c>
      <c r="B150" s="38" t="s">
        <v>409</v>
      </c>
      <c r="C150" s="38" t="s">
        <v>1968</v>
      </c>
      <c r="D150" s="39" t="s">
        <v>11</v>
      </c>
      <c r="E150" s="40">
        <v>1</v>
      </c>
      <c r="F150" s="41">
        <v>1387.42</v>
      </c>
      <c r="G150" s="42" t="s">
        <v>1</v>
      </c>
      <c r="H150" s="40">
        <v>1</v>
      </c>
      <c r="I150" s="41">
        <v>1387.42</v>
      </c>
      <c r="J150" s="40">
        <v>7.54</v>
      </c>
      <c r="K150" s="41">
        <v>10461.15</v>
      </c>
    </row>
    <row r="151" spans="1:11" ht="14" x14ac:dyDescent="0.25">
      <c r="A151" s="43"/>
      <c r="B151" s="43"/>
      <c r="C151" s="44" t="s">
        <v>267</v>
      </c>
      <c r="D151" s="43"/>
      <c r="E151" s="43"/>
      <c r="F151" s="43"/>
      <c r="G151" s="43"/>
      <c r="H151" s="156">
        <v>1387.42</v>
      </c>
      <c r="I151" s="156"/>
      <c r="J151" s="156">
        <v>10461.15</v>
      </c>
      <c r="K151" s="156"/>
    </row>
    <row r="153" spans="1:11" ht="42" x14ac:dyDescent="0.25">
      <c r="A153" s="17">
        <v>21</v>
      </c>
      <c r="B153" s="17" t="s">
        <v>948</v>
      </c>
      <c r="C153" s="17" t="s">
        <v>914</v>
      </c>
      <c r="D153" s="18" t="s">
        <v>38</v>
      </c>
      <c r="E153" s="19">
        <v>2</v>
      </c>
      <c r="F153" s="20">
        <v>698.81</v>
      </c>
      <c r="G153" s="21" t="s">
        <v>1</v>
      </c>
      <c r="H153" s="19">
        <v>1</v>
      </c>
      <c r="I153" s="20">
        <v>1397.62</v>
      </c>
      <c r="J153" s="19">
        <v>6.51</v>
      </c>
      <c r="K153" s="20">
        <v>9098.51</v>
      </c>
    </row>
    <row r="154" spans="1:11" ht="14" x14ac:dyDescent="0.25">
      <c r="C154" s="22" t="s">
        <v>267</v>
      </c>
      <c r="H154" s="143">
        <v>1397.62</v>
      </c>
      <c r="I154" s="143"/>
      <c r="J154" s="143">
        <v>9098.51</v>
      </c>
      <c r="K154" s="143"/>
    </row>
    <row r="156" spans="1:11" ht="79" x14ac:dyDescent="0.25">
      <c r="A156" s="10">
        <v>22</v>
      </c>
      <c r="B156" s="10" t="s">
        <v>902</v>
      </c>
      <c r="C156" s="10" t="s">
        <v>903</v>
      </c>
      <c r="D156" s="12" t="s">
        <v>24</v>
      </c>
      <c r="E156" s="11">
        <v>9</v>
      </c>
      <c r="F156" s="14"/>
      <c r="G156" s="13"/>
      <c r="H156" s="11"/>
      <c r="I156" s="14"/>
      <c r="J156" s="11"/>
      <c r="K156" s="14"/>
    </row>
    <row r="157" spans="1:11" x14ac:dyDescent="0.25">
      <c r="C157" s="23" t="s">
        <v>949</v>
      </c>
    </row>
    <row r="158" spans="1:11" ht="14.5" x14ac:dyDescent="0.25">
      <c r="A158" s="10"/>
      <c r="B158" s="10"/>
      <c r="C158" s="10" t="s">
        <v>256</v>
      </c>
      <c r="D158" s="12"/>
      <c r="E158" s="11"/>
      <c r="F158" s="14">
        <v>16.07</v>
      </c>
      <c r="G158" s="15" t="s">
        <v>13</v>
      </c>
      <c r="H158" s="11">
        <v>1</v>
      </c>
      <c r="I158" s="14">
        <v>173.56</v>
      </c>
      <c r="J158" s="11">
        <v>57.05</v>
      </c>
      <c r="K158" s="14">
        <v>9901.6</v>
      </c>
    </row>
    <row r="159" spans="1:11" ht="14.5" x14ac:dyDescent="0.25">
      <c r="A159" s="10"/>
      <c r="B159" s="10"/>
      <c r="C159" s="10" t="s">
        <v>257</v>
      </c>
      <c r="D159" s="12"/>
      <c r="E159" s="11"/>
      <c r="F159" s="14">
        <v>0.05</v>
      </c>
      <c r="G159" s="15" t="s">
        <v>13</v>
      </c>
      <c r="H159" s="11">
        <v>1</v>
      </c>
      <c r="I159" s="14">
        <v>0.54</v>
      </c>
      <c r="J159" s="11">
        <v>20.399999999999999</v>
      </c>
      <c r="K159" s="14">
        <v>11.02</v>
      </c>
    </row>
    <row r="160" spans="1:11" ht="14.5" x14ac:dyDescent="0.25">
      <c r="A160" s="10"/>
      <c r="B160" s="10"/>
      <c r="C160" s="10" t="s">
        <v>258</v>
      </c>
      <c r="D160" s="12"/>
      <c r="E160" s="11"/>
      <c r="F160" s="14">
        <v>0.01</v>
      </c>
      <c r="G160" s="15" t="s">
        <v>13</v>
      </c>
      <c r="H160" s="11">
        <v>1</v>
      </c>
      <c r="I160" s="16">
        <v>0.11</v>
      </c>
      <c r="J160" s="11">
        <v>57.05</v>
      </c>
      <c r="K160" s="16">
        <v>6.28</v>
      </c>
    </row>
    <row r="161" spans="1:11" ht="14.5" x14ac:dyDescent="0.25">
      <c r="A161" s="10"/>
      <c r="B161" s="10"/>
      <c r="C161" s="10" t="s">
        <v>259</v>
      </c>
      <c r="D161" s="12"/>
      <c r="E161" s="11"/>
      <c r="F161" s="14">
        <v>1.96</v>
      </c>
      <c r="G161" s="15" t="s">
        <v>1</v>
      </c>
      <c r="H161" s="11">
        <v>1</v>
      </c>
      <c r="I161" s="14">
        <v>17.64</v>
      </c>
      <c r="J161" s="11">
        <v>10.18</v>
      </c>
      <c r="K161" s="14">
        <v>179.58</v>
      </c>
    </row>
    <row r="162" spans="1:11" ht="14.5" x14ac:dyDescent="0.25">
      <c r="A162" s="10"/>
      <c r="B162" s="10"/>
      <c r="C162" s="10" t="s">
        <v>260</v>
      </c>
      <c r="D162" s="12" t="s">
        <v>261</v>
      </c>
      <c r="E162" s="11">
        <v>90</v>
      </c>
      <c r="F162" s="14"/>
      <c r="G162" s="13"/>
      <c r="H162" s="11"/>
      <c r="I162" s="14">
        <v>156.30000000000001</v>
      </c>
      <c r="J162" s="11">
        <v>90</v>
      </c>
      <c r="K162" s="14">
        <v>8917.09</v>
      </c>
    </row>
    <row r="163" spans="1:11" ht="14.5" x14ac:dyDescent="0.25">
      <c r="A163" s="10"/>
      <c r="B163" s="10"/>
      <c r="C163" s="10" t="s">
        <v>262</v>
      </c>
      <c r="D163" s="12" t="s">
        <v>261</v>
      </c>
      <c r="E163" s="11">
        <v>46</v>
      </c>
      <c r="F163" s="14"/>
      <c r="G163" s="13"/>
      <c r="H163" s="11"/>
      <c r="I163" s="14">
        <v>79.89</v>
      </c>
      <c r="J163" s="11">
        <v>46</v>
      </c>
      <c r="K163" s="14">
        <v>4557.62</v>
      </c>
    </row>
    <row r="164" spans="1:11" ht="14.5" x14ac:dyDescent="0.25">
      <c r="A164" s="17"/>
      <c r="B164" s="17"/>
      <c r="C164" s="17" t="s">
        <v>263</v>
      </c>
      <c r="D164" s="18" t="s">
        <v>264</v>
      </c>
      <c r="E164" s="19">
        <v>1.2</v>
      </c>
      <c r="F164" s="20"/>
      <c r="G164" s="21" t="s">
        <v>13</v>
      </c>
      <c r="H164" s="19">
        <v>1</v>
      </c>
      <c r="I164" s="20">
        <v>12.96</v>
      </c>
      <c r="J164" s="19"/>
      <c r="K164" s="20"/>
    </row>
    <row r="165" spans="1:11" ht="14" x14ac:dyDescent="0.25">
      <c r="C165" s="22" t="s">
        <v>265</v>
      </c>
      <c r="H165" s="143">
        <v>427.93</v>
      </c>
      <c r="I165" s="143"/>
      <c r="J165" s="143">
        <v>23566.91</v>
      </c>
      <c r="K165" s="143"/>
    </row>
    <row r="166" spans="1:11" ht="14" x14ac:dyDescent="0.25">
      <c r="C166" s="22" t="s">
        <v>267</v>
      </c>
      <c r="H166" s="141">
        <v>427.93</v>
      </c>
      <c r="I166" s="141"/>
      <c r="J166" s="141">
        <v>23566.91</v>
      </c>
      <c r="K166" s="141"/>
    </row>
    <row r="168" spans="1:11" ht="68" x14ac:dyDescent="0.25">
      <c r="A168" s="38">
        <v>23</v>
      </c>
      <c r="B168" s="38" t="s">
        <v>409</v>
      </c>
      <c r="C168" s="38" t="s">
        <v>2067</v>
      </c>
      <c r="D168" s="39" t="s">
        <v>11</v>
      </c>
      <c r="E168" s="40">
        <v>7</v>
      </c>
      <c r="F168" s="41">
        <v>318.98</v>
      </c>
      <c r="G168" s="42" t="s">
        <v>1</v>
      </c>
      <c r="H168" s="40">
        <v>1</v>
      </c>
      <c r="I168" s="41">
        <v>2232.86</v>
      </c>
      <c r="J168" s="40">
        <v>7.54</v>
      </c>
      <c r="K168" s="41">
        <v>16835.759999999998</v>
      </c>
    </row>
    <row r="169" spans="1:11" ht="14" x14ac:dyDescent="0.25">
      <c r="A169" s="43"/>
      <c r="B169" s="43"/>
      <c r="C169" s="44" t="s">
        <v>267</v>
      </c>
      <c r="D169" s="43"/>
      <c r="E169" s="43"/>
      <c r="F169" s="43"/>
      <c r="G169" s="43"/>
      <c r="H169" s="156">
        <v>2232.86</v>
      </c>
      <c r="I169" s="156"/>
      <c r="J169" s="156">
        <v>16835.759999999998</v>
      </c>
      <c r="K169" s="156"/>
    </row>
    <row r="170" spans="1:11" x14ac:dyDescent="0.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</row>
    <row r="171" spans="1:11" ht="68" x14ac:dyDescent="0.25">
      <c r="A171" s="38">
        <v>24</v>
      </c>
      <c r="B171" s="38" t="s">
        <v>409</v>
      </c>
      <c r="C171" s="38" t="s">
        <v>2068</v>
      </c>
      <c r="D171" s="39" t="s">
        <v>11</v>
      </c>
      <c r="E171" s="40">
        <v>1</v>
      </c>
      <c r="F171" s="41">
        <v>416.44</v>
      </c>
      <c r="G171" s="42" t="s">
        <v>1</v>
      </c>
      <c r="H171" s="40">
        <v>1</v>
      </c>
      <c r="I171" s="41">
        <v>416.44</v>
      </c>
      <c r="J171" s="40">
        <v>7.54</v>
      </c>
      <c r="K171" s="41">
        <v>3139.96</v>
      </c>
    </row>
    <row r="172" spans="1:11" ht="14" x14ac:dyDescent="0.25">
      <c r="A172" s="43"/>
      <c r="B172" s="43"/>
      <c r="C172" s="44" t="s">
        <v>267</v>
      </c>
      <c r="D172" s="43"/>
      <c r="E172" s="43"/>
      <c r="F172" s="43"/>
      <c r="G172" s="43"/>
      <c r="H172" s="156">
        <v>416.44</v>
      </c>
      <c r="I172" s="156"/>
      <c r="J172" s="156">
        <v>3139.96</v>
      </c>
      <c r="K172" s="156"/>
    </row>
    <row r="173" spans="1:11" x14ac:dyDescent="0.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</row>
    <row r="174" spans="1:11" ht="68" x14ac:dyDescent="0.25">
      <c r="A174" s="38">
        <v>25</v>
      </c>
      <c r="B174" s="38" t="s">
        <v>409</v>
      </c>
      <c r="C174" s="38" t="s">
        <v>2069</v>
      </c>
      <c r="D174" s="39" t="s">
        <v>11</v>
      </c>
      <c r="E174" s="40">
        <v>1</v>
      </c>
      <c r="F174" s="41">
        <v>352.19</v>
      </c>
      <c r="G174" s="42" t="s">
        <v>1</v>
      </c>
      <c r="H174" s="40">
        <v>1</v>
      </c>
      <c r="I174" s="41">
        <v>352.19</v>
      </c>
      <c r="J174" s="40">
        <v>7.54</v>
      </c>
      <c r="K174" s="41">
        <v>2655.51</v>
      </c>
    </row>
    <row r="175" spans="1:11" ht="14" x14ac:dyDescent="0.25">
      <c r="A175" s="43"/>
      <c r="B175" s="43"/>
      <c r="C175" s="44" t="s">
        <v>267</v>
      </c>
      <c r="D175" s="43"/>
      <c r="E175" s="43"/>
      <c r="F175" s="43"/>
      <c r="G175" s="43"/>
      <c r="H175" s="156">
        <v>352.19</v>
      </c>
      <c r="I175" s="156"/>
      <c r="J175" s="156">
        <v>2655.51</v>
      </c>
      <c r="K175" s="156"/>
    </row>
    <row r="176" spans="1:11" x14ac:dyDescent="0.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</row>
    <row r="178" spans="1:11" ht="14" x14ac:dyDescent="0.3">
      <c r="A178" s="140" t="s">
        <v>950</v>
      </c>
      <c r="B178" s="140"/>
      <c r="C178" s="140"/>
      <c r="D178" s="140"/>
      <c r="E178" s="140"/>
      <c r="F178" s="140"/>
      <c r="G178" s="140"/>
      <c r="H178" s="141">
        <v>49010.55</v>
      </c>
      <c r="I178" s="142"/>
      <c r="J178" s="141">
        <v>837444.86</v>
      </c>
      <c r="K178" s="142"/>
    </row>
    <row r="180" spans="1:11" ht="16.5" x14ac:dyDescent="0.25">
      <c r="A180" s="144" t="s">
        <v>951</v>
      </c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</row>
    <row r="181" spans="1:11" ht="79" x14ac:dyDescent="0.25">
      <c r="A181" s="10">
        <v>26</v>
      </c>
      <c r="B181" s="10" t="s">
        <v>915</v>
      </c>
      <c r="C181" s="10" t="s">
        <v>916</v>
      </c>
      <c r="D181" s="12" t="s">
        <v>50</v>
      </c>
      <c r="E181" s="11">
        <v>9.6999999999999993</v>
      </c>
      <c r="F181" s="14"/>
      <c r="G181" s="13"/>
      <c r="H181" s="11"/>
      <c r="I181" s="14"/>
      <c r="J181" s="11"/>
      <c r="K181" s="14"/>
    </row>
    <row r="182" spans="1:11" x14ac:dyDescent="0.25">
      <c r="C182" s="23" t="s">
        <v>952</v>
      </c>
    </row>
    <row r="183" spans="1:11" ht="14.5" x14ac:dyDescent="0.25">
      <c r="A183" s="10"/>
      <c r="B183" s="10"/>
      <c r="C183" s="10" t="s">
        <v>256</v>
      </c>
      <c r="D183" s="12"/>
      <c r="E183" s="11"/>
      <c r="F183" s="14">
        <v>294.20999999999998</v>
      </c>
      <c r="G183" s="15" t="s">
        <v>13</v>
      </c>
      <c r="H183" s="11">
        <v>1</v>
      </c>
      <c r="I183" s="14">
        <v>3424.6</v>
      </c>
      <c r="J183" s="11">
        <v>57.05</v>
      </c>
      <c r="K183" s="14">
        <v>195373.43</v>
      </c>
    </row>
    <row r="184" spans="1:11" ht="14.5" x14ac:dyDescent="0.25">
      <c r="A184" s="10"/>
      <c r="B184" s="10"/>
      <c r="C184" s="10" t="s">
        <v>257</v>
      </c>
      <c r="D184" s="12"/>
      <c r="E184" s="11"/>
      <c r="F184" s="14">
        <v>4.05</v>
      </c>
      <c r="G184" s="15" t="s">
        <v>13</v>
      </c>
      <c r="H184" s="11">
        <v>1</v>
      </c>
      <c r="I184" s="14">
        <v>47.14</v>
      </c>
      <c r="J184" s="11">
        <v>11.41</v>
      </c>
      <c r="K184" s="14">
        <v>537.87</v>
      </c>
    </row>
    <row r="185" spans="1:11" ht="14.5" x14ac:dyDescent="0.25">
      <c r="A185" s="10"/>
      <c r="B185" s="10"/>
      <c r="C185" s="10" t="s">
        <v>259</v>
      </c>
      <c r="D185" s="12"/>
      <c r="E185" s="11"/>
      <c r="F185" s="14">
        <v>19.420000000000002</v>
      </c>
      <c r="G185" s="15" t="s">
        <v>1</v>
      </c>
      <c r="H185" s="11">
        <v>1</v>
      </c>
      <c r="I185" s="14">
        <v>188.37</v>
      </c>
      <c r="J185" s="11">
        <v>6.38</v>
      </c>
      <c r="K185" s="14">
        <v>1201.8</v>
      </c>
    </row>
    <row r="186" spans="1:11" ht="42" x14ac:dyDescent="0.25">
      <c r="A186" s="10" t="s">
        <v>917</v>
      </c>
      <c r="B186" s="10" t="s">
        <v>93</v>
      </c>
      <c r="C186" s="10" t="s">
        <v>94</v>
      </c>
      <c r="D186" s="12" t="s">
        <v>52</v>
      </c>
      <c r="E186" s="11">
        <v>989.4</v>
      </c>
      <c r="F186" s="14">
        <v>3.45</v>
      </c>
      <c r="G186" s="15" t="s">
        <v>1</v>
      </c>
      <c r="H186" s="11">
        <v>1</v>
      </c>
      <c r="I186" s="14">
        <v>3413.43</v>
      </c>
      <c r="J186" s="11">
        <v>3.85</v>
      </c>
      <c r="K186" s="14">
        <v>13141.71</v>
      </c>
    </row>
    <row r="187" spans="1:11" ht="42" x14ac:dyDescent="0.25">
      <c r="A187" s="10" t="s">
        <v>918</v>
      </c>
      <c r="B187" s="10" t="s">
        <v>953</v>
      </c>
      <c r="C187" s="10" t="s">
        <v>919</v>
      </c>
      <c r="D187" s="12" t="s">
        <v>88</v>
      </c>
      <c r="E187" s="11">
        <v>2.9</v>
      </c>
      <c r="F187" s="14">
        <v>396.59</v>
      </c>
      <c r="G187" s="15" t="s">
        <v>1</v>
      </c>
      <c r="H187" s="11">
        <v>1</v>
      </c>
      <c r="I187" s="14">
        <v>1150.1099999999999</v>
      </c>
      <c r="J187" s="11">
        <v>4.05</v>
      </c>
      <c r="K187" s="14">
        <v>4657.95</v>
      </c>
    </row>
    <row r="188" spans="1:11" ht="56" x14ac:dyDescent="0.25">
      <c r="A188" s="10" t="s">
        <v>920</v>
      </c>
      <c r="B188" s="10" t="s">
        <v>954</v>
      </c>
      <c r="C188" s="10" t="s">
        <v>921</v>
      </c>
      <c r="D188" s="12" t="s">
        <v>38</v>
      </c>
      <c r="E188" s="11">
        <v>10</v>
      </c>
      <c r="F188" s="14">
        <v>2.4700000000000002</v>
      </c>
      <c r="G188" s="15" t="s">
        <v>1</v>
      </c>
      <c r="H188" s="11">
        <v>1</v>
      </c>
      <c r="I188" s="14">
        <v>24.7</v>
      </c>
      <c r="J188" s="11">
        <v>1.23</v>
      </c>
      <c r="K188" s="14">
        <v>30.38</v>
      </c>
    </row>
    <row r="189" spans="1:11" ht="84" x14ac:dyDescent="0.25">
      <c r="A189" s="10" t="s">
        <v>922</v>
      </c>
      <c r="B189" s="10" t="s">
        <v>955</v>
      </c>
      <c r="C189" s="10" t="s">
        <v>923</v>
      </c>
      <c r="D189" s="12" t="s">
        <v>38</v>
      </c>
      <c r="E189" s="11">
        <v>5</v>
      </c>
      <c r="F189" s="14">
        <v>22.95</v>
      </c>
      <c r="G189" s="15" t="s">
        <v>1</v>
      </c>
      <c r="H189" s="11">
        <v>1</v>
      </c>
      <c r="I189" s="14">
        <v>114.75</v>
      </c>
      <c r="J189" s="11">
        <v>9.8800000000000008</v>
      </c>
      <c r="K189" s="14">
        <v>1133.73</v>
      </c>
    </row>
    <row r="190" spans="1:11" ht="14.5" x14ac:dyDescent="0.25">
      <c r="A190" s="10"/>
      <c r="B190" s="10"/>
      <c r="C190" s="10" t="s">
        <v>260</v>
      </c>
      <c r="D190" s="12" t="s">
        <v>261</v>
      </c>
      <c r="E190" s="11">
        <v>90</v>
      </c>
      <c r="F190" s="14"/>
      <c r="G190" s="13"/>
      <c r="H190" s="11"/>
      <c r="I190" s="14">
        <v>3082.14</v>
      </c>
      <c r="J190" s="11">
        <v>90</v>
      </c>
      <c r="K190" s="14">
        <v>175836.09</v>
      </c>
    </row>
    <row r="191" spans="1:11" ht="14.5" x14ac:dyDescent="0.25">
      <c r="A191" s="10"/>
      <c r="B191" s="10"/>
      <c r="C191" s="10" t="s">
        <v>262</v>
      </c>
      <c r="D191" s="12" t="s">
        <v>261</v>
      </c>
      <c r="E191" s="11">
        <v>46</v>
      </c>
      <c r="F191" s="14"/>
      <c r="G191" s="13"/>
      <c r="H191" s="11"/>
      <c r="I191" s="14">
        <v>1575.32</v>
      </c>
      <c r="J191" s="11">
        <v>46</v>
      </c>
      <c r="K191" s="14">
        <v>89871.78</v>
      </c>
    </row>
    <row r="192" spans="1:11" ht="14.5" x14ac:dyDescent="0.25">
      <c r="A192" s="17"/>
      <c r="B192" s="17"/>
      <c r="C192" s="17" t="s">
        <v>263</v>
      </c>
      <c r="D192" s="18" t="s">
        <v>264</v>
      </c>
      <c r="E192" s="19">
        <v>24.76</v>
      </c>
      <c r="F192" s="20"/>
      <c r="G192" s="21" t="s">
        <v>13</v>
      </c>
      <c r="H192" s="19">
        <v>1</v>
      </c>
      <c r="I192" s="20">
        <v>288.20999999999998</v>
      </c>
      <c r="J192" s="19"/>
      <c r="K192" s="20"/>
    </row>
    <row r="193" spans="1:11" ht="14" x14ac:dyDescent="0.25">
      <c r="C193" s="22" t="s">
        <v>265</v>
      </c>
      <c r="H193" s="143">
        <v>13020.56</v>
      </c>
      <c r="I193" s="143"/>
      <c r="J193" s="143">
        <v>481784.74</v>
      </c>
      <c r="K193" s="143"/>
    </row>
    <row r="194" spans="1:11" ht="14" x14ac:dyDescent="0.25">
      <c r="C194" s="22" t="s">
        <v>267</v>
      </c>
      <c r="H194" s="141">
        <v>13020.56</v>
      </c>
      <c r="I194" s="141"/>
      <c r="J194" s="141">
        <v>481784.74</v>
      </c>
      <c r="K194" s="141"/>
    </row>
    <row r="196" spans="1:11" ht="79" x14ac:dyDescent="0.25">
      <c r="A196" s="10">
        <v>27</v>
      </c>
      <c r="B196" s="10" t="s">
        <v>924</v>
      </c>
      <c r="C196" s="10" t="s">
        <v>925</v>
      </c>
      <c r="D196" s="12" t="s">
        <v>50</v>
      </c>
      <c r="E196" s="11">
        <v>0.1</v>
      </c>
      <c r="F196" s="14"/>
      <c r="G196" s="13"/>
      <c r="H196" s="11"/>
      <c r="I196" s="14"/>
      <c r="J196" s="11"/>
      <c r="K196" s="14"/>
    </row>
    <row r="197" spans="1:11" x14ac:dyDescent="0.25">
      <c r="C197" s="23" t="s">
        <v>817</v>
      </c>
    </row>
    <row r="198" spans="1:11" ht="14.5" x14ac:dyDescent="0.25">
      <c r="A198" s="10"/>
      <c r="B198" s="10"/>
      <c r="C198" s="10" t="s">
        <v>256</v>
      </c>
      <c r="D198" s="12"/>
      <c r="E198" s="11"/>
      <c r="F198" s="14">
        <v>215.6</v>
      </c>
      <c r="G198" s="15" t="s">
        <v>13</v>
      </c>
      <c r="H198" s="11">
        <v>1</v>
      </c>
      <c r="I198" s="14">
        <v>25.87</v>
      </c>
      <c r="J198" s="11">
        <v>57.05</v>
      </c>
      <c r="K198" s="14">
        <v>1475.88</v>
      </c>
    </row>
    <row r="199" spans="1:11" ht="14.5" x14ac:dyDescent="0.25">
      <c r="A199" s="10"/>
      <c r="B199" s="10"/>
      <c r="C199" s="10" t="s">
        <v>257</v>
      </c>
      <c r="D199" s="12"/>
      <c r="E199" s="11"/>
      <c r="F199" s="14">
        <v>10.26</v>
      </c>
      <c r="G199" s="15" t="s">
        <v>13</v>
      </c>
      <c r="H199" s="11">
        <v>1</v>
      </c>
      <c r="I199" s="14">
        <v>1.23</v>
      </c>
      <c r="J199" s="11">
        <v>15.62</v>
      </c>
      <c r="K199" s="14">
        <v>19.21</v>
      </c>
    </row>
    <row r="200" spans="1:11" ht="14.5" x14ac:dyDescent="0.25">
      <c r="A200" s="10"/>
      <c r="B200" s="10"/>
      <c r="C200" s="10" t="s">
        <v>258</v>
      </c>
      <c r="D200" s="12"/>
      <c r="E200" s="11"/>
      <c r="F200" s="14">
        <v>1.26</v>
      </c>
      <c r="G200" s="15" t="s">
        <v>13</v>
      </c>
      <c r="H200" s="11">
        <v>1</v>
      </c>
      <c r="I200" s="16">
        <v>0.15</v>
      </c>
      <c r="J200" s="11">
        <v>57.05</v>
      </c>
      <c r="K200" s="16">
        <v>8.56</v>
      </c>
    </row>
    <row r="201" spans="1:11" ht="14.5" x14ac:dyDescent="0.25">
      <c r="A201" s="10"/>
      <c r="B201" s="10"/>
      <c r="C201" s="10" t="s">
        <v>259</v>
      </c>
      <c r="D201" s="12"/>
      <c r="E201" s="11"/>
      <c r="F201" s="14">
        <v>592.52</v>
      </c>
      <c r="G201" s="15" t="s">
        <v>1</v>
      </c>
      <c r="H201" s="11">
        <v>1</v>
      </c>
      <c r="I201" s="14">
        <v>59.25</v>
      </c>
      <c r="J201" s="11">
        <v>3.03</v>
      </c>
      <c r="K201" s="14">
        <v>179.53</v>
      </c>
    </row>
    <row r="202" spans="1:11" ht="70" x14ac:dyDescent="0.25">
      <c r="A202" s="10" t="s">
        <v>926</v>
      </c>
      <c r="B202" s="10" t="s">
        <v>956</v>
      </c>
      <c r="C202" s="10" t="s">
        <v>927</v>
      </c>
      <c r="D202" s="12" t="s">
        <v>52</v>
      </c>
      <c r="E202" s="11">
        <v>10.199999999999999</v>
      </c>
      <c r="F202" s="14">
        <v>5.78</v>
      </c>
      <c r="G202" s="15" t="s">
        <v>1</v>
      </c>
      <c r="H202" s="11">
        <v>1</v>
      </c>
      <c r="I202" s="14">
        <v>58.96</v>
      </c>
      <c r="J202" s="11">
        <v>6.04</v>
      </c>
      <c r="K202" s="14">
        <v>356.12</v>
      </c>
    </row>
    <row r="203" spans="1:11" ht="79" x14ac:dyDescent="0.25">
      <c r="A203" s="10" t="s">
        <v>928</v>
      </c>
      <c r="B203" s="10" t="s">
        <v>929</v>
      </c>
      <c r="C203" s="10" t="s">
        <v>930</v>
      </c>
      <c r="D203" s="12" t="s">
        <v>88</v>
      </c>
      <c r="E203" s="11">
        <v>0.03</v>
      </c>
      <c r="F203" s="14">
        <v>594.33000000000004</v>
      </c>
      <c r="G203" s="15" t="s">
        <v>1</v>
      </c>
      <c r="H203" s="11">
        <v>1</v>
      </c>
      <c r="I203" s="14">
        <v>17.829999999999998</v>
      </c>
      <c r="J203" s="11">
        <v>2.63</v>
      </c>
      <c r="K203" s="14">
        <v>46.89</v>
      </c>
    </row>
    <row r="204" spans="1:11" ht="14.5" x14ac:dyDescent="0.25">
      <c r="A204" s="10"/>
      <c r="B204" s="10"/>
      <c r="C204" s="10" t="s">
        <v>260</v>
      </c>
      <c r="D204" s="12" t="s">
        <v>261</v>
      </c>
      <c r="E204" s="11">
        <v>97</v>
      </c>
      <c r="F204" s="14"/>
      <c r="G204" s="13"/>
      <c r="H204" s="11"/>
      <c r="I204" s="14">
        <v>25.24</v>
      </c>
      <c r="J204" s="11">
        <v>97</v>
      </c>
      <c r="K204" s="14">
        <v>1439.91</v>
      </c>
    </row>
    <row r="205" spans="1:11" ht="14.5" x14ac:dyDescent="0.25">
      <c r="A205" s="10"/>
      <c r="B205" s="10"/>
      <c r="C205" s="10" t="s">
        <v>262</v>
      </c>
      <c r="D205" s="12" t="s">
        <v>261</v>
      </c>
      <c r="E205" s="11">
        <v>51</v>
      </c>
      <c r="F205" s="14"/>
      <c r="G205" s="13"/>
      <c r="H205" s="11"/>
      <c r="I205" s="14">
        <v>13.27</v>
      </c>
      <c r="J205" s="11">
        <v>51</v>
      </c>
      <c r="K205" s="14">
        <v>757.06</v>
      </c>
    </row>
    <row r="206" spans="1:11" ht="14.5" x14ac:dyDescent="0.25">
      <c r="A206" s="17"/>
      <c r="B206" s="17"/>
      <c r="C206" s="17" t="s">
        <v>263</v>
      </c>
      <c r="D206" s="18" t="s">
        <v>264</v>
      </c>
      <c r="E206" s="19">
        <v>17.5</v>
      </c>
      <c r="F206" s="20"/>
      <c r="G206" s="21" t="s">
        <v>13</v>
      </c>
      <c r="H206" s="19">
        <v>1</v>
      </c>
      <c r="I206" s="20">
        <v>2.1</v>
      </c>
      <c r="J206" s="19"/>
      <c r="K206" s="20"/>
    </row>
    <row r="207" spans="1:11" ht="14" x14ac:dyDescent="0.25">
      <c r="C207" s="22" t="s">
        <v>265</v>
      </c>
      <c r="H207" s="143">
        <v>201.65</v>
      </c>
      <c r="I207" s="143"/>
      <c r="J207" s="143">
        <v>4274.6000000000004</v>
      </c>
      <c r="K207" s="143"/>
    </row>
    <row r="208" spans="1:11" ht="14" x14ac:dyDescent="0.25">
      <c r="C208" s="22" t="s">
        <v>267</v>
      </c>
      <c r="H208" s="141">
        <v>201.65</v>
      </c>
      <c r="I208" s="141"/>
      <c r="J208" s="141">
        <v>4274.6000000000004</v>
      </c>
      <c r="K208" s="141"/>
    </row>
    <row r="210" spans="1:11" ht="41" x14ac:dyDescent="0.25">
      <c r="A210" s="17">
        <v>28</v>
      </c>
      <c r="B210" s="17" t="s">
        <v>409</v>
      </c>
      <c r="C210" s="17" t="s">
        <v>1969</v>
      </c>
      <c r="D210" s="18" t="s">
        <v>52</v>
      </c>
      <c r="E210" s="19">
        <v>40.799999999999997</v>
      </c>
      <c r="F210" s="20">
        <v>4.5599999999999996</v>
      </c>
      <c r="G210" s="21" t="s">
        <v>1</v>
      </c>
      <c r="H210" s="19">
        <v>1</v>
      </c>
      <c r="I210" s="20">
        <v>186.05</v>
      </c>
      <c r="J210" s="19">
        <v>10.18</v>
      </c>
      <c r="K210" s="20">
        <v>1893.99</v>
      </c>
    </row>
    <row r="211" spans="1:11" ht="14" x14ac:dyDescent="0.25">
      <c r="C211" s="22" t="s">
        <v>267</v>
      </c>
      <c r="H211" s="143">
        <v>186.05</v>
      </c>
      <c r="I211" s="143"/>
      <c r="J211" s="143">
        <v>1893.99</v>
      </c>
      <c r="K211" s="143"/>
    </row>
    <row r="213" spans="1:11" ht="55" x14ac:dyDescent="0.25">
      <c r="A213" s="17">
        <v>29</v>
      </c>
      <c r="B213" s="17" t="s">
        <v>409</v>
      </c>
      <c r="C213" s="17" t="s">
        <v>968</v>
      </c>
      <c r="D213" s="18" t="s">
        <v>52</v>
      </c>
      <c r="E213" s="19">
        <v>907.8</v>
      </c>
      <c r="F213" s="20">
        <v>2.85</v>
      </c>
      <c r="G213" s="21" t="s">
        <v>1</v>
      </c>
      <c r="H213" s="19">
        <v>1</v>
      </c>
      <c r="I213" s="20">
        <v>2587.23</v>
      </c>
      <c r="J213" s="19">
        <v>10.18</v>
      </c>
      <c r="K213" s="20">
        <v>26338</v>
      </c>
    </row>
    <row r="214" spans="1:11" ht="14" x14ac:dyDescent="0.25">
      <c r="C214" s="22" t="s">
        <v>267</v>
      </c>
      <c r="H214" s="143">
        <v>2587.23</v>
      </c>
      <c r="I214" s="143"/>
      <c r="J214" s="143">
        <v>26338</v>
      </c>
      <c r="K214" s="143"/>
    </row>
    <row r="216" spans="1:11" ht="55" x14ac:dyDescent="0.25">
      <c r="A216" s="17">
        <v>30</v>
      </c>
      <c r="B216" s="17" t="s">
        <v>409</v>
      </c>
      <c r="C216" s="17" t="s">
        <v>969</v>
      </c>
      <c r="D216" s="18" t="s">
        <v>52</v>
      </c>
      <c r="E216" s="19">
        <v>30.6</v>
      </c>
      <c r="F216" s="20">
        <v>5.0599999999999996</v>
      </c>
      <c r="G216" s="21" t="s">
        <v>1</v>
      </c>
      <c r="H216" s="19">
        <v>1</v>
      </c>
      <c r="I216" s="20">
        <v>154.84</v>
      </c>
      <c r="J216" s="19">
        <v>10.18</v>
      </c>
      <c r="K216" s="20">
        <v>1576.27</v>
      </c>
    </row>
    <row r="217" spans="1:11" ht="14" x14ac:dyDescent="0.25">
      <c r="C217" s="22" t="s">
        <v>267</v>
      </c>
      <c r="H217" s="143">
        <v>154.84</v>
      </c>
      <c r="I217" s="143"/>
      <c r="J217" s="143">
        <v>1576.27</v>
      </c>
      <c r="K217" s="143"/>
    </row>
    <row r="220" spans="1:11" ht="14" x14ac:dyDescent="0.3">
      <c r="A220" s="140" t="s">
        <v>957</v>
      </c>
      <c r="B220" s="140"/>
      <c r="C220" s="140"/>
      <c r="D220" s="140"/>
      <c r="E220" s="140"/>
      <c r="F220" s="140"/>
      <c r="G220" s="140"/>
      <c r="H220" s="141">
        <v>16150.33</v>
      </c>
      <c r="I220" s="142"/>
      <c r="J220" s="141">
        <v>515867.6</v>
      </c>
      <c r="K220" s="142"/>
    </row>
    <row r="222" spans="1:11" ht="16.5" x14ac:dyDescent="0.25">
      <c r="A222" s="144" t="s">
        <v>958</v>
      </c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</row>
    <row r="223" spans="1:11" ht="79" x14ac:dyDescent="0.25">
      <c r="A223" s="10">
        <v>31</v>
      </c>
      <c r="B223" s="10" t="s">
        <v>931</v>
      </c>
      <c r="C223" s="10" t="s">
        <v>932</v>
      </c>
      <c r="D223" s="12" t="s">
        <v>24</v>
      </c>
      <c r="E223" s="11">
        <v>1</v>
      </c>
      <c r="F223" s="14"/>
      <c r="G223" s="13"/>
      <c r="H223" s="11"/>
      <c r="I223" s="14"/>
      <c r="J223" s="11"/>
      <c r="K223" s="14"/>
    </row>
    <row r="224" spans="1:11" ht="14.5" x14ac:dyDescent="0.25">
      <c r="A224" s="10"/>
      <c r="B224" s="10"/>
      <c r="C224" s="10" t="s">
        <v>256</v>
      </c>
      <c r="D224" s="12"/>
      <c r="E224" s="11"/>
      <c r="F224" s="14">
        <v>11.52</v>
      </c>
      <c r="G224" s="15" t="s">
        <v>13</v>
      </c>
      <c r="H224" s="11">
        <v>1</v>
      </c>
      <c r="I224" s="14">
        <v>13.82</v>
      </c>
      <c r="J224" s="11">
        <v>57.05</v>
      </c>
      <c r="K224" s="14">
        <v>788.43</v>
      </c>
    </row>
    <row r="225" spans="1:11" ht="14.5" x14ac:dyDescent="0.25">
      <c r="A225" s="10"/>
      <c r="B225" s="10"/>
      <c r="C225" s="10" t="s">
        <v>257</v>
      </c>
      <c r="D225" s="12"/>
      <c r="E225" s="11"/>
      <c r="F225" s="14">
        <v>13.3</v>
      </c>
      <c r="G225" s="15" t="s">
        <v>13</v>
      </c>
      <c r="H225" s="11">
        <v>1</v>
      </c>
      <c r="I225" s="14">
        <v>15.96</v>
      </c>
      <c r="J225" s="11">
        <v>17.45</v>
      </c>
      <c r="K225" s="14">
        <v>278.5</v>
      </c>
    </row>
    <row r="226" spans="1:11" ht="14.5" x14ac:dyDescent="0.25">
      <c r="A226" s="10"/>
      <c r="B226" s="10"/>
      <c r="C226" s="10" t="s">
        <v>258</v>
      </c>
      <c r="D226" s="12"/>
      <c r="E226" s="11"/>
      <c r="F226" s="14">
        <v>2.02</v>
      </c>
      <c r="G226" s="15" t="s">
        <v>13</v>
      </c>
      <c r="H226" s="11">
        <v>1</v>
      </c>
      <c r="I226" s="16">
        <v>2.42</v>
      </c>
      <c r="J226" s="11">
        <v>57.05</v>
      </c>
      <c r="K226" s="16">
        <v>138.06</v>
      </c>
    </row>
    <row r="227" spans="1:11" ht="84" x14ac:dyDescent="0.25">
      <c r="A227" s="10" t="s">
        <v>754</v>
      </c>
      <c r="B227" s="10" t="s">
        <v>959</v>
      </c>
      <c r="C227" s="10" t="s">
        <v>933</v>
      </c>
      <c r="D227" s="12" t="s">
        <v>38</v>
      </c>
      <c r="E227" s="11">
        <v>1</v>
      </c>
      <c r="F227" s="14">
        <v>148.71</v>
      </c>
      <c r="G227" s="15" t="s">
        <v>1</v>
      </c>
      <c r="H227" s="11">
        <v>1</v>
      </c>
      <c r="I227" s="14">
        <v>148.71</v>
      </c>
      <c r="J227" s="11">
        <v>5.89</v>
      </c>
      <c r="K227" s="14">
        <v>875.9</v>
      </c>
    </row>
    <row r="228" spans="1:11" ht="42" x14ac:dyDescent="0.25">
      <c r="A228" s="10" t="s">
        <v>934</v>
      </c>
      <c r="B228" s="10" t="s">
        <v>960</v>
      </c>
      <c r="C228" s="10" t="s">
        <v>935</v>
      </c>
      <c r="D228" s="12" t="s">
        <v>38</v>
      </c>
      <c r="E228" s="11">
        <v>1</v>
      </c>
      <c r="F228" s="14">
        <v>77.11</v>
      </c>
      <c r="G228" s="15" t="s">
        <v>1</v>
      </c>
      <c r="H228" s="11">
        <v>1</v>
      </c>
      <c r="I228" s="14">
        <v>77.11</v>
      </c>
      <c r="J228" s="11">
        <v>4.0999999999999996</v>
      </c>
      <c r="K228" s="14">
        <v>316.14999999999998</v>
      </c>
    </row>
    <row r="229" spans="1:11" ht="14.5" x14ac:dyDescent="0.25">
      <c r="A229" s="10"/>
      <c r="B229" s="10"/>
      <c r="C229" s="10" t="s">
        <v>260</v>
      </c>
      <c r="D229" s="12" t="s">
        <v>261</v>
      </c>
      <c r="E229" s="11">
        <v>90</v>
      </c>
      <c r="F229" s="14"/>
      <c r="G229" s="13"/>
      <c r="H229" s="11"/>
      <c r="I229" s="14">
        <v>14.62</v>
      </c>
      <c r="J229" s="11">
        <v>90</v>
      </c>
      <c r="K229" s="14">
        <v>833.84</v>
      </c>
    </row>
    <row r="230" spans="1:11" ht="14.5" x14ac:dyDescent="0.25">
      <c r="A230" s="10"/>
      <c r="B230" s="10"/>
      <c r="C230" s="10" t="s">
        <v>262</v>
      </c>
      <c r="D230" s="12" t="s">
        <v>261</v>
      </c>
      <c r="E230" s="11">
        <v>46</v>
      </c>
      <c r="F230" s="14"/>
      <c r="G230" s="13"/>
      <c r="H230" s="11"/>
      <c r="I230" s="14">
        <v>7.47</v>
      </c>
      <c r="J230" s="11">
        <v>46</v>
      </c>
      <c r="K230" s="14">
        <v>426.19</v>
      </c>
    </row>
    <row r="231" spans="1:11" ht="14.5" x14ac:dyDescent="0.25">
      <c r="A231" s="17"/>
      <c r="B231" s="17"/>
      <c r="C231" s="17" t="s">
        <v>263</v>
      </c>
      <c r="D231" s="18" t="s">
        <v>264</v>
      </c>
      <c r="E231" s="19">
        <v>1.03</v>
      </c>
      <c r="F231" s="20"/>
      <c r="G231" s="21" t="s">
        <v>13</v>
      </c>
      <c r="H231" s="19">
        <v>1</v>
      </c>
      <c r="I231" s="20">
        <v>1.24</v>
      </c>
      <c r="J231" s="19"/>
      <c r="K231" s="20"/>
    </row>
    <row r="232" spans="1:11" ht="14" x14ac:dyDescent="0.25">
      <c r="C232" s="22" t="s">
        <v>265</v>
      </c>
      <c r="H232" s="143">
        <v>51.87</v>
      </c>
      <c r="I232" s="143"/>
      <c r="J232" s="143">
        <v>2326.96</v>
      </c>
      <c r="K232" s="143"/>
    </row>
    <row r="233" spans="1:11" ht="14" x14ac:dyDescent="0.25">
      <c r="C233" s="22" t="s">
        <v>266</v>
      </c>
      <c r="H233" s="141">
        <v>225.82</v>
      </c>
      <c r="I233" s="141"/>
      <c r="J233" s="141">
        <v>1192.05</v>
      </c>
      <c r="K233" s="141"/>
    </row>
    <row r="234" spans="1:11" ht="14" x14ac:dyDescent="0.25">
      <c r="C234" s="22" t="s">
        <v>267</v>
      </c>
      <c r="H234" s="141">
        <v>277.69</v>
      </c>
      <c r="I234" s="141"/>
      <c r="J234" s="141">
        <v>3519.01</v>
      </c>
      <c r="K234" s="141"/>
    </row>
    <row r="236" spans="1:11" ht="54" x14ac:dyDescent="0.25">
      <c r="A236" s="38">
        <v>32</v>
      </c>
      <c r="B236" s="38" t="s">
        <v>409</v>
      </c>
      <c r="C236" s="38" t="s">
        <v>1970</v>
      </c>
      <c r="D236" s="39" t="s">
        <v>11</v>
      </c>
      <c r="E236" s="40">
        <v>1</v>
      </c>
      <c r="F236" s="41">
        <v>9781.67</v>
      </c>
      <c r="G236" s="42" t="s">
        <v>1</v>
      </c>
      <c r="H236" s="40">
        <v>1</v>
      </c>
      <c r="I236" s="41">
        <v>9781.67</v>
      </c>
      <c r="J236" s="40">
        <v>7.54</v>
      </c>
      <c r="K236" s="41">
        <v>73753.789999999994</v>
      </c>
    </row>
    <row r="237" spans="1:11" ht="14" x14ac:dyDescent="0.25">
      <c r="A237" s="43"/>
      <c r="B237" s="43"/>
      <c r="C237" s="44" t="s">
        <v>267</v>
      </c>
      <c r="D237" s="43"/>
      <c r="E237" s="43"/>
      <c r="F237" s="43"/>
      <c r="G237" s="43"/>
      <c r="H237" s="156">
        <v>9781.67</v>
      </c>
      <c r="I237" s="156"/>
      <c r="J237" s="156">
        <v>73753.789999999994</v>
      </c>
      <c r="K237" s="156"/>
    </row>
    <row r="239" spans="1:11" ht="79" x14ac:dyDescent="0.25">
      <c r="A239" s="10">
        <v>33</v>
      </c>
      <c r="B239" s="10" t="s">
        <v>912</v>
      </c>
      <c r="C239" s="10" t="s">
        <v>913</v>
      </c>
      <c r="D239" s="12" t="s">
        <v>24</v>
      </c>
      <c r="E239" s="11">
        <v>1</v>
      </c>
      <c r="F239" s="14"/>
      <c r="G239" s="13"/>
      <c r="H239" s="11"/>
      <c r="I239" s="14"/>
      <c r="J239" s="11"/>
      <c r="K239" s="14"/>
    </row>
    <row r="240" spans="1:11" ht="14.5" x14ac:dyDescent="0.25">
      <c r="A240" s="10"/>
      <c r="B240" s="10"/>
      <c r="C240" s="10" t="s">
        <v>256</v>
      </c>
      <c r="D240" s="12"/>
      <c r="E240" s="11"/>
      <c r="F240" s="14">
        <v>40.17</v>
      </c>
      <c r="G240" s="15" t="s">
        <v>13</v>
      </c>
      <c r="H240" s="11">
        <v>1</v>
      </c>
      <c r="I240" s="14">
        <v>48.2</v>
      </c>
      <c r="J240" s="11">
        <v>57.05</v>
      </c>
      <c r="K240" s="14">
        <v>2749.81</v>
      </c>
    </row>
    <row r="241" spans="1:11" ht="14.5" x14ac:dyDescent="0.25">
      <c r="A241" s="10"/>
      <c r="B241" s="10"/>
      <c r="C241" s="10" t="s">
        <v>259</v>
      </c>
      <c r="D241" s="12"/>
      <c r="E241" s="11"/>
      <c r="F241" s="14">
        <v>2.34</v>
      </c>
      <c r="G241" s="15" t="s">
        <v>1</v>
      </c>
      <c r="H241" s="11">
        <v>1</v>
      </c>
      <c r="I241" s="14">
        <v>2.34</v>
      </c>
      <c r="J241" s="11">
        <v>9.91</v>
      </c>
      <c r="K241" s="14">
        <v>23.19</v>
      </c>
    </row>
    <row r="242" spans="1:11" ht="14.5" x14ac:dyDescent="0.25">
      <c r="A242" s="10"/>
      <c r="B242" s="10"/>
      <c r="C242" s="10" t="s">
        <v>260</v>
      </c>
      <c r="D242" s="12" t="s">
        <v>261</v>
      </c>
      <c r="E242" s="11">
        <v>90</v>
      </c>
      <c r="F242" s="14"/>
      <c r="G242" s="13"/>
      <c r="H242" s="11"/>
      <c r="I242" s="14">
        <v>43.38</v>
      </c>
      <c r="J242" s="11">
        <v>90</v>
      </c>
      <c r="K242" s="14">
        <v>2474.83</v>
      </c>
    </row>
    <row r="243" spans="1:11" ht="14.5" x14ac:dyDescent="0.25">
      <c r="A243" s="10"/>
      <c r="B243" s="10"/>
      <c r="C243" s="10" t="s">
        <v>262</v>
      </c>
      <c r="D243" s="12" t="s">
        <v>261</v>
      </c>
      <c r="E243" s="11">
        <v>46</v>
      </c>
      <c r="F243" s="14"/>
      <c r="G243" s="13"/>
      <c r="H243" s="11"/>
      <c r="I243" s="14">
        <v>22.17</v>
      </c>
      <c r="J243" s="11">
        <v>46</v>
      </c>
      <c r="K243" s="14">
        <v>1264.9100000000001</v>
      </c>
    </row>
    <row r="244" spans="1:11" ht="14.5" x14ac:dyDescent="0.25">
      <c r="A244" s="17"/>
      <c r="B244" s="17"/>
      <c r="C244" s="17" t="s">
        <v>263</v>
      </c>
      <c r="D244" s="18" t="s">
        <v>264</v>
      </c>
      <c r="E244" s="19">
        <v>3.18</v>
      </c>
      <c r="F244" s="20"/>
      <c r="G244" s="21" t="s">
        <v>13</v>
      </c>
      <c r="H244" s="19">
        <v>1</v>
      </c>
      <c r="I244" s="20">
        <v>3.82</v>
      </c>
      <c r="J244" s="19"/>
      <c r="K244" s="20"/>
    </row>
    <row r="245" spans="1:11" ht="14" x14ac:dyDescent="0.25">
      <c r="C245" s="22" t="s">
        <v>265</v>
      </c>
      <c r="H245" s="143">
        <v>116.09</v>
      </c>
      <c r="I245" s="143"/>
      <c r="J245" s="143">
        <v>6512.74</v>
      </c>
      <c r="K245" s="143"/>
    </row>
    <row r="246" spans="1:11" ht="14" x14ac:dyDescent="0.25">
      <c r="C246" s="22" t="s">
        <v>267</v>
      </c>
      <c r="H246" s="141">
        <v>116.09</v>
      </c>
      <c r="I246" s="141"/>
      <c r="J246" s="141">
        <v>6512.74</v>
      </c>
      <c r="K246" s="141"/>
    </row>
    <row r="248" spans="1:11" ht="68" x14ac:dyDescent="0.25">
      <c r="A248" s="38">
        <v>34</v>
      </c>
      <c r="B248" s="38" t="s">
        <v>409</v>
      </c>
      <c r="C248" s="38" t="s">
        <v>1971</v>
      </c>
      <c r="D248" s="39" t="s">
        <v>11</v>
      </c>
      <c r="E248" s="40">
        <v>1</v>
      </c>
      <c r="F248" s="41">
        <v>6498.38</v>
      </c>
      <c r="G248" s="42" t="s">
        <v>1</v>
      </c>
      <c r="H248" s="40">
        <v>1</v>
      </c>
      <c r="I248" s="41">
        <v>6498.38</v>
      </c>
      <c r="J248" s="40">
        <v>7.54</v>
      </c>
      <c r="K248" s="41">
        <v>48997.79</v>
      </c>
    </row>
    <row r="249" spans="1:11" ht="14" x14ac:dyDescent="0.25">
      <c r="A249" s="43"/>
      <c r="B249" s="43"/>
      <c r="C249" s="44" t="s">
        <v>267</v>
      </c>
      <c r="D249" s="43"/>
      <c r="E249" s="43"/>
      <c r="F249" s="43"/>
      <c r="G249" s="43"/>
      <c r="H249" s="156">
        <v>6498.38</v>
      </c>
      <c r="I249" s="156"/>
      <c r="J249" s="156">
        <v>48997.79</v>
      </c>
      <c r="K249" s="156"/>
    </row>
    <row r="252" spans="1:11" ht="14" x14ac:dyDescent="0.3">
      <c r="A252" s="140" t="s">
        <v>961</v>
      </c>
      <c r="B252" s="140"/>
      <c r="C252" s="140"/>
      <c r="D252" s="140"/>
      <c r="E252" s="140"/>
      <c r="F252" s="140"/>
      <c r="G252" s="140"/>
      <c r="H252" s="141">
        <v>16673.830000000002</v>
      </c>
      <c r="I252" s="142"/>
      <c r="J252" s="141">
        <v>132783.32999999999</v>
      </c>
      <c r="K252" s="142"/>
    </row>
    <row r="254" spans="1:11" ht="16.5" x14ac:dyDescent="0.25">
      <c r="A254" s="144" t="s">
        <v>962</v>
      </c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</row>
    <row r="255" spans="1:11" ht="79" x14ac:dyDescent="0.25">
      <c r="A255" s="10">
        <v>35</v>
      </c>
      <c r="B255" s="10" t="s">
        <v>936</v>
      </c>
      <c r="C255" s="10" t="s">
        <v>937</v>
      </c>
      <c r="D255" s="12" t="s">
        <v>50</v>
      </c>
      <c r="E255" s="11">
        <v>0.1</v>
      </c>
      <c r="F255" s="14"/>
      <c r="G255" s="13"/>
      <c r="H255" s="11"/>
      <c r="I255" s="14"/>
      <c r="J255" s="11"/>
      <c r="K255" s="14"/>
    </row>
    <row r="256" spans="1:11" x14ac:dyDescent="0.25">
      <c r="C256" s="23" t="s">
        <v>817</v>
      </c>
    </row>
    <row r="257" spans="1:11" ht="14.5" x14ac:dyDescent="0.25">
      <c r="A257" s="10"/>
      <c r="B257" s="10"/>
      <c r="C257" s="10" t="s">
        <v>256</v>
      </c>
      <c r="D257" s="12"/>
      <c r="E257" s="11"/>
      <c r="F257" s="14">
        <v>253.79</v>
      </c>
      <c r="G257" s="15" t="s">
        <v>13</v>
      </c>
      <c r="H257" s="11">
        <v>1</v>
      </c>
      <c r="I257" s="14">
        <v>30.45</v>
      </c>
      <c r="J257" s="11">
        <v>57.05</v>
      </c>
      <c r="K257" s="14">
        <v>1737.17</v>
      </c>
    </row>
    <row r="258" spans="1:11" ht="14.5" x14ac:dyDescent="0.25">
      <c r="A258" s="10"/>
      <c r="B258" s="10"/>
      <c r="C258" s="10" t="s">
        <v>257</v>
      </c>
      <c r="D258" s="12"/>
      <c r="E258" s="11"/>
      <c r="F258" s="14">
        <v>81.7</v>
      </c>
      <c r="G258" s="15" t="s">
        <v>13</v>
      </c>
      <c r="H258" s="11">
        <v>1</v>
      </c>
      <c r="I258" s="14">
        <v>9.8000000000000007</v>
      </c>
      <c r="J258" s="11">
        <v>16.010000000000002</v>
      </c>
      <c r="K258" s="14">
        <v>156.9</v>
      </c>
    </row>
    <row r="259" spans="1:11" ht="14.5" x14ac:dyDescent="0.25">
      <c r="A259" s="10"/>
      <c r="B259" s="10"/>
      <c r="C259" s="10" t="s">
        <v>258</v>
      </c>
      <c r="D259" s="12"/>
      <c r="E259" s="11"/>
      <c r="F259" s="14">
        <v>8.4600000000000009</v>
      </c>
      <c r="G259" s="15" t="s">
        <v>13</v>
      </c>
      <c r="H259" s="11">
        <v>1</v>
      </c>
      <c r="I259" s="16">
        <v>1.02</v>
      </c>
      <c r="J259" s="11">
        <v>57.05</v>
      </c>
      <c r="K259" s="16">
        <v>58.19</v>
      </c>
    </row>
    <row r="260" spans="1:11" ht="14.5" x14ac:dyDescent="0.25">
      <c r="A260" s="10"/>
      <c r="B260" s="10"/>
      <c r="C260" s="10" t="s">
        <v>259</v>
      </c>
      <c r="D260" s="12"/>
      <c r="E260" s="11"/>
      <c r="F260" s="14">
        <v>1690.29</v>
      </c>
      <c r="G260" s="15" t="s">
        <v>1</v>
      </c>
      <c r="H260" s="11">
        <v>1</v>
      </c>
      <c r="I260" s="14">
        <v>169.03</v>
      </c>
      <c r="J260" s="11">
        <v>4.84</v>
      </c>
      <c r="K260" s="14">
        <v>818.11</v>
      </c>
    </row>
    <row r="261" spans="1:11" ht="42" x14ac:dyDescent="0.25">
      <c r="A261" s="10" t="s">
        <v>769</v>
      </c>
      <c r="B261" s="10" t="s">
        <v>963</v>
      </c>
      <c r="C261" s="10" t="s">
        <v>938</v>
      </c>
      <c r="D261" s="12" t="s">
        <v>52</v>
      </c>
      <c r="E261" s="11">
        <v>10.3</v>
      </c>
      <c r="F261" s="14">
        <v>37.97</v>
      </c>
      <c r="G261" s="15" t="s">
        <v>1</v>
      </c>
      <c r="H261" s="11">
        <v>1</v>
      </c>
      <c r="I261" s="14">
        <v>391.09</v>
      </c>
      <c r="J261" s="11">
        <v>4.03</v>
      </c>
      <c r="K261" s="14">
        <v>1576.09</v>
      </c>
    </row>
    <row r="262" spans="1:11" ht="28" x14ac:dyDescent="0.25">
      <c r="A262" s="10" t="s">
        <v>939</v>
      </c>
      <c r="B262" s="10" t="s">
        <v>964</v>
      </c>
      <c r="C262" s="10" t="s">
        <v>940</v>
      </c>
      <c r="D262" s="12" t="s">
        <v>9</v>
      </c>
      <c r="E262" s="11">
        <v>3</v>
      </c>
      <c r="F262" s="14">
        <v>42.53</v>
      </c>
      <c r="G262" s="15" t="s">
        <v>1</v>
      </c>
      <c r="H262" s="11">
        <v>1</v>
      </c>
      <c r="I262" s="14">
        <v>127.59</v>
      </c>
      <c r="J262" s="11">
        <v>4.22</v>
      </c>
      <c r="K262" s="14">
        <v>538.42999999999995</v>
      </c>
    </row>
    <row r="263" spans="1:11" ht="14.5" x14ac:dyDescent="0.25">
      <c r="A263" s="10"/>
      <c r="B263" s="10"/>
      <c r="C263" s="10" t="s">
        <v>260</v>
      </c>
      <c r="D263" s="12" t="s">
        <v>261</v>
      </c>
      <c r="E263" s="11">
        <v>97</v>
      </c>
      <c r="F263" s="14"/>
      <c r="G263" s="13"/>
      <c r="H263" s="11"/>
      <c r="I263" s="14">
        <v>30.53</v>
      </c>
      <c r="J263" s="11">
        <v>97</v>
      </c>
      <c r="K263" s="14">
        <v>1741.5</v>
      </c>
    </row>
    <row r="264" spans="1:11" ht="14.5" x14ac:dyDescent="0.25">
      <c r="A264" s="10"/>
      <c r="B264" s="10"/>
      <c r="C264" s="10" t="s">
        <v>262</v>
      </c>
      <c r="D264" s="12" t="s">
        <v>261</v>
      </c>
      <c r="E264" s="11">
        <v>51</v>
      </c>
      <c r="F264" s="14"/>
      <c r="G264" s="13"/>
      <c r="H264" s="11"/>
      <c r="I264" s="14">
        <v>16.05</v>
      </c>
      <c r="J264" s="11">
        <v>51</v>
      </c>
      <c r="K264" s="14">
        <v>915.63</v>
      </c>
    </row>
    <row r="265" spans="1:11" ht="14.5" x14ac:dyDescent="0.25">
      <c r="A265" s="17"/>
      <c r="B265" s="17"/>
      <c r="C265" s="17" t="s">
        <v>263</v>
      </c>
      <c r="D265" s="18" t="s">
        <v>264</v>
      </c>
      <c r="E265" s="19">
        <v>20.6</v>
      </c>
      <c r="F265" s="20"/>
      <c r="G265" s="21" t="s">
        <v>13</v>
      </c>
      <c r="H265" s="19">
        <v>1</v>
      </c>
      <c r="I265" s="20">
        <v>2.4700000000000002</v>
      </c>
      <c r="J265" s="19"/>
      <c r="K265" s="20"/>
    </row>
    <row r="266" spans="1:11" ht="14" x14ac:dyDescent="0.25">
      <c r="C266" s="22" t="s">
        <v>265</v>
      </c>
      <c r="H266" s="143">
        <v>774.54</v>
      </c>
      <c r="I266" s="143"/>
      <c r="J266" s="143">
        <v>7483.83</v>
      </c>
      <c r="K266" s="143"/>
    </row>
    <row r="267" spans="1:11" ht="14" x14ac:dyDescent="0.25">
      <c r="C267" s="22" t="s">
        <v>267</v>
      </c>
      <c r="H267" s="141">
        <v>774.54</v>
      </c>
      <c r="I267" s="141"/>
      <c r="J267" s="141">
        <v>7483.83</v>
      </c>
      <c r="K267" s="141"/>
    </row>
    <row r="269" spans="1:11" ht="79" x14ac:dyDescent="0.25">
      <c r="A269" s="10">
        <v>36</v>
      </c>
      <c r="B269" s="10" t="s">
        <v>941</v>
      </c>
      <c r="C269" s="10" t="s">
        <v>942</v>
      </c>
      <c r="D269" s="12" t="s">
        <v>695</v>
      </c>
      <c r="E269" s="11">
        <v>0.01</v>
      </c>
      <c r="F269" s="14"/>
      <c r="G269" s="13"/>
      <c r="H269" s="11"/>
      <c r="I269" s="14"/>
      <c r="J269" s="11"/>
      <c r="K269" s="14"/>
    </row>
    <row r="270" spans="1:11" ht="14.5" x14ac:dyDescent="0.25">
      <c r="A270" s="10"/>
      <c r="B270" s="10"/>
      <c r="C270" s="10" t="s">
        <v>256</v>
      </c>
      <c r="D270" s="12"/>
      <c r="E270" s="11"/>
      <c r="F270" s="14">
        <v>363.88</v>
      </c>
      <c r="G270" s="15" t="s">
        <v>13</v>
      </c>
      <c r="H270" s="11">
        <v>1</v>
      </c>
      <c r="I270" s="14">
        <v>4.37</v>
      </c>
      <c r="J270" s="11">
        <v>57.05</v>
      </c>
      <c r="K270" s="14">
        <v>249.31</v>
      </c>
    </row>
    <row r="271" spans="1:11" ht="14.5" x14ac:dyDescent="0.25">
      <c r="A271" s="10"/>
      <c r="B271" s="10"/>
      <c r="C271" s="10" t="s">
        <v>257</v>
      </c>
      <c r="D271" s="12"/>
      <c r="E271" s="11"/>
      <c r="F271" s="14">
        <v>238.18</v>
      </c>
      <c r="G271" s="15" t="s">
        <v>13</v>
      </c>
      <c r="H271" s="11">
        <v>1</v>
      </c>
      <c r="I271" s="14">
        <v>2.86</v>
      </c>
      <c r="J271" s="11">
        <v>15.96</v>
      </c>
      <c r="K271" s="14">
        <v>45.65</v>
      </c>
    </row>
    <row r="272" spans="1:11" ht="14.5" x14ac:dyDescent="0.25">
      <c r="A272" s="10"/>
      <c r="B272" s="10"/>
      <c r="C272" s="10" t="s">
        <v>258</v>
      </c>
      <c r="D272" s="12"/>
      <c r="E272" s="11"/>
      <c r="F272" s="14">
        <v>27.09</v>
      </c>
      <c r="G272" s="15" t="s">
        <v>13</v>
      </c>
      <c r="H272" s="11">
        <v>1</v>
      </c>
      <c r="I272" s="16">
        <v>0.33</v>
      </c>
      <c r="J272" s="11">
        <v>57.05</v>
      </c>
      <c r="K272" s="16">
        <v>18.829999999999998</v>
      </c>
    </row>
    <row r="273" spans="1:11" ht="42" x14ac:dyDescent="0.25">
      <c r="A273" s="10" t="s">
        <v>773</v>
      </c>
      <c r="B273" s="10" t="s">
        <v>965</v>
      </c>
      <c r="C273" s="10" t="s">
        <v>943</v>
      </c>
      <c r="D273" s="12" t="s">
        <v>50</v>
      </c>
      <c r="E273" s="11">
        <v>0.10199999999999999</v>
      </c>
      <c r="F273" s="14">
        <v>49.36</v>
      </c>
      <c r="G273" s="15" t="s">
        <v>1</v>
      </c>
      <c r="H273" s="11">
        <v>1</v>
      </c>
      <c r="I273" s="14">
        <v>5.03</v>
      </c>
      <c r="J273" s="11">
        <v>11.57</v>
      </c>
      <c r="K273" s="14">
        <v>58.2</v>
      </c>
    </row>
    <row r="274" spans="1:11" ht="14.5" x14ac:dyDescent="0.25">
      <c r="A274" s="10" t="s">
        <v>944</v>
      </c>
      <c r="B274" s="10" t="s">
        <v>228</v>
      </c>
      <c r="C274" s="10" t="s">
        <v>229</v>
      </c>
      <c r="D274" s="12" t="s">
        <v>38</v>
      </c>
      <c r="E274" s="11">
        <v>48</v>
      </c>
      <c r="F274" s="14">
        <v>19.89</v>
      </c>
      <c r="G274" s="15" t="s">
        <v>1</v>
      </c>
      <c r="H274" s="11">
        <v>1</v>
      </c>
      <c r="I274" s="14">
        <v>954.72</v>
      </c>
      <c r="J274" s="11">
        <v>0.84</v>
      </c>
      <c r="K274" s="14">
        <v>801.96</v>
      </c>
    </row>
    <row r="275" spans="1:11" ht="14.5" x14ac:dyDescent="0.25">
      <c r="A275" s="10"/>
      <c r="B275" s="10"/>
      <c r="C275" s="10" t="s">
        <v>260</v>
      </c>
      <c r="D275" s="12" t="s">
        <v>261</v>
      </c>
      <c r="E275" s="11">
        <v>97</v>
      </c>
      <c r="F275" s="14"/>
      <c r="G275" s="13"/>
      <c r="H275" s="11"/>
      <c r="I275" s="14">
        <v>4.5599999999999996</v>
      </c>
      <c r="J275" s="11">
        <v>97</v>
      </c>
      <c r="K275" s="14">
        <v>260.10000000000002</v>
      </c>
    </row>
    <row r="276" spans="1:11" ht="14.5" x14ac:dyDescent="0.25">
      <c r="A276" s="10"/>
      <c r="B276" s="10"/>
      <c r="C276" s="10" t="s">
        <v>262</v>
      </c>
      <c r="D276" s="12" t="s">
        <v>261</v>
      </c>
      <c r="E276" s="11">
        <v>51</v>
      </c>
      <c r="F276" s="14"/>
      <c r="G276" s="13"/>
      <c r="H276" s="11"/>
      <c r="I276" s="14">
        <v>2.4</v>
      </c>
      <c r="J276" s="11">
        <v>51</v>
      </c>
      <c r="K276" s="14">
        <v>136.75</v>
      </c>
    </row>
    <row r="277" spans="1:11" ht="14.5" x14ac:dyDescent="0.25">
      <c r="A277" s="17"/>
      <c r="B277" s="17"/>
      <c r="C277" s="17" t="s">
        <v>263</v>
      </c>
      <c r="D277" s="18" t="s">
        <v>264</v>
      </c>
      <c r="E277" s="19">
        <v>29.9</v>
      </c>
      <c r="F277" s="20"/>
      <c r="G277" s="21" t="s">
        <v>13</v>
      </c>
      <c r="H277" s="19">
        <v>1</v>
      </c>
      <c r="I277" s="20">
        <v>0.36</v>
      </c>
      <c r="J277" s="19"/>
      <c r="K277" s="20"/>
    </row>
    <row r="278" spans="1:11" ht="14" x14ac:dyDescent="0.25">
      <c r="C278" s="22" t="s">
        <v>265</v>
      </c>
      <c r="H278" s="143">
        <v>973.94</v>
      </c>
      <c r="I278" s="143"/>
      <c r="J278" s="143">
        <v>1551.97</v>
      </c>
      <c r="K278" s="143"/>
    </row>
    <row r="279" spans="1:11" ht="14" x14ac:dyDescent="0.25">
      <c r="C279" s="22" t="s">
        <v>267</v>
      </c>
      <c r="H279" s="141">
        <v>973.94</v>
      </c>
      <c r="I279" s="141"/>
      <c r="J279" s="141">
        <v>1551.97</v>
      </c>
      <c r="K279" s="141"/>
    </row>
    <row r="282" spans="1:11" ht="14" x14ac:dyDescent="0.3">
      <c r="A282" s="140" t="s">
        <v>966</v>
      </c>
      <c r="B282" s="140"/>
      <c r="C282" s="140"/>
      <c r="D282" s="140"/>
      <c r="E282" s="140"/>
      <c r="F282" s="140"/>
      <c r="G282" s="140"/>
      <c r="H282" s="141">
        <v>1748.48</v>
      </c>
      <c r="I282" s="142"/>
      <c r="J282" s="141">
        <v>9035.7999999999993</v>
      </c>
      <c r="K282" s="142"/>
    </row>
    <row r="284" spans="1:11" ht="14" x14ac:dyDescent="0.3">
      <c r="A284" s="140" t="s">
        <v>970</v>
      </c>
      <c r="B284" s="140"/>
      <c r="C284" s="140"/>
      <c r="D284" s="140"/>
      <c r="E284" s="140"/>
      <c r="F284" s="140"/>
      <c r="G284" s="140"/>
      <c r="H284" s="141">
        <v>83583.19</v>
      </c>
      <c r="I284" s="142"/>
      <c r="J284" s="141">
        <v>1495131.59</v>
      </c>
      <c r="K284" s="142"/>
    </row>
  </sheetData>
  <mergeCells count="138">
    <mergeCell ref="J2:K2"/>
    <mergeCell ref="A3:K3"/>
    <mergeCell ref="A4:K4"/>
    <mergeCell ref="A6:K6"/>
    <mergeCell ref="A8:K8"/>
    <mergeCell ref="A9:K9"/>
    <mergeCell ref="A24:K24"/>
    <mergeCell ref="H33:I33"/>
    <mergeCell ref="J33:K33"/>
    <mergeCell ref="H34:I34"/>
    <mergeCell ref="J34:K34"/>
    <mergeCell ref="E17:H17"/>
    <mergeCell ref="E18:H18"/>
    <mergeCell ref="A21:K21"/>
    <mergeCell ref="E13:H13"/>
    <mergeCell ref="E14:H14"/>
    <mergeCell ref="E15:H15"/>
    <mergeCell ref="E16:H16"/>
    <mergeCell ref="H46:I46"/>
    <mergeCell ref="J46:K46"/>
    <mergeCell ref="H49:I49"/>
    <mergeCell ref="J49:K49"/>
    <mergeCell ref="H59:I59"/>
    <mergeCell ref="J59:K59"/>
    <mergeCell ref="H37:I37"/>
    <mergeCell ref="J37:K37"/>
    <mergeCell ref="H45:I45"/>
    <mergeCell ref="J45:K45"/>
    <mergeCell ref="H77:I77"/>
    <mergeCell ref="J77:K77"/>
    <mergeCell ref="H88:I88"/>
    <mergeCell ref="J88:K88"/>
    <mergeCell ref="H73:I73"/>
    <mergeCell ref="J73:K73"/>
    <mergeCell ref="H74:I74"/>
    <mergeCell ref="J74:K74"/>
    <mergeCell ref="H60:I60"/>
    <mergeCell ref="J60:K60"/>
    <mergeCell ref="H63:I63"/>
    <mergeCell ref="J63:K63"/>
    <mergeCell ref="H107:I107"/>
    <mergeCell ref="J107:K107"/>
    <mergeCell ref="H117:I117"/>
    <mergeCell ref="J117:K117"/>
    <mergeCell ref="H103:I103"/>
    <mergeCell ref="J103:K103"/>
    <mergeCell ref="H104:I104"/>
    <mergeCell ref="J104:K104"/>
    <mergeCell ref="H89:I89"/>
    <mergeCell ref="J89:K89"/>
    <mergeCell ref="H92:I92"/>
    <mergeCell ref="J92:K92"/>
    <mergeCell ref="H95:I95"/>
    <mergeCell ref="J95:K95"/>
    <mergeCell ref="H133:I133"/>
    <mergeCell ref="J133:K133"/>
    <mergeCell ref="H136:I136"/>
    <mergeCell ref="J136:K136"/>
    <mergeCell ref="H118:I118"/>
    <mergeCell ref="J118:K118"/>
    <mergeCell ref="H121:I121"/>
    <mergeCell ref="J121:K121"/>
    <mergeCell ref="H132:I132"/>
    <mergeCell ref="J132:K132"/>
    <mergeCell ref="H148:I148"/>
    <mergeCell ref="J148:K148"/>
    <mergeCell ref="H151:I151"/>
    <mergeCell ref="J151:K151"/>
    <mergeCell ref="H154:I154"/>
    <mergeCell ref="J154:K154"/>
    <mergeCell ref="H139:I139"/>
    <mergeCell ref="J139:K139"/>
    <mergeCell ref="H147:I147"/>
    <mergeCell ref="J147:K147"/>
    <mergeCell ref="H169:I169"/>
    <mergeCell ref="J169:K169"/>
    <mergeCell ref="H172:I172"/>
    <mergeCell ref="J172:K172"/>
    <mergeCell ref="H175:I175"/>
    <mergeCell ref="J175:K175"/>
    <mergeCell ref="H165:I165"/>
    <mergeCell ref="J165:K165"/>
    <mergeCell ref="H166:I166"/>
    <mergeCell ref="J166:K166"/>
    <mergeCell ref="H194:I194"/>
    <mergeCell ref="J194:K194"/>
    <mergeCell ref="H207:I207"/>
    <mergeCell ref="J207:K207"/>
    <mergeCell ref="A178:G178"/>
    <mergeCell ref="H178:I178"/>
    <mergeCell ref="J178:K178"/>
    <mergeCell ref="A180:K180"/>
    <mergeCell ref="H193:I193"/>
    <mergeCell ref="J193:K193"/>
    <mergeCell ref="H214:I214"/>
    <mergeCell ref="J214:K214"/>
    <mergeCell ref="H217:I217"/>
    <mergeCell ref="J217:K217"/>
    <mergeCell ref="A220:G220"/>
    <mergeCell ref="H220:I220"/>
    <mergeCell ref="J220:K220"/>
    <mergeCell ref="H208:I208"/>
    <mergeCell ref="J208:K208"/>
    <mergeCell ref="H211:I211"/>
    <mergeCell ref="J211:K211"/>
    <mergeCell ref="H237:I237"/>
    <mergeCell ref="J237:K237"/>
    <mergeCell ref="H245:I245"/>
    <mergeCell ref="J245:K245"/>
    <mergeCell ref="A222:K222"/>
    <mergeCell ref="H232:I232"/>
    <mergeCell ref="J232:K232"/>
    <mergeCell ref="H233:I233"/>
    <mergeCell ref="J233:K233"/>
    <mergeCell ref="H234:I234"/>
    <mergeCell ref="J234:K234"/>
    <mergeCell ref="A254:K254"/>
    <mergeCell ref="H266:I266"/>
    <mergeCell ref="J266:K266"/>
    <mergeCell ref="H267:I267"/>
    <mergeCell ref="J267:K267"/>
    <mergeCell ref="H246:I246"/>
    <mergeCell ref="J246:K246"/>
    <mergeCell ref="H249:I249"/>
    <mergeCell ref="J249:K249"/>
    <mergeCell ref="A252:G252"/>
    <mergeCell ref="H252:I252"/>
    <mergeCell ref="J252:K252"/>
    <mergeCell ref="A284:G284"/>
    <mergeCell ref="H284:I284"/>
    <mergeCell ref="J284:K284"/>
    <mergeCell ref="A282:G282"/>
    <mergeCell ref="H282:I282"/>
    <mergeCell ref="J282:K282"/>
    <mergeCell ref="H278:I278"/>
    <mergeCell ref="J278:K278"/>
    <mergeCell ref="H279:I279"/>
    <mergeCell ref="J279:K27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827C-3919-4234-8A25-F893C6B8510E}">
  <dimension ref="A1:K151"/>
  <sheetViews>
    <sheetView topLeftCell="A136" zoomScale="59" workbookViewId="0">
      <selection activeCell="B119" sqref="B119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0.1796875" style="27" bestFit="1" customWidth="1"/>
    <col min="7" max="7" width="8.54296875" style="27" bestFit="1" customWidth="1"/>
    <col min="8" max="8" width="9.26953125" style="27" bestFit="1" customWidth="1"/>
    <col min="9" max="9" width="11.26953125" style="27" bestFit="1" customWidth="1"/>
    <col min="10" max="10" width="9.26953125" style="27" bestFit="1" customWidth="1"/>
    <col min="11" max="11" width="11.2695312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985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989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275.45999999999998</v>
      </c>
      <c r="J13" s="5">
        <v>1473.81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1.03</v>
      </c>
      <c r="J14" s="7">
        <v>9.7100000000000009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244.95</v>
      </c>
      <c r="J15" s="7">
        <v>1243.28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29.48</v>
      </c>
      <c r="J16" s="7">
        <v>220.82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1.9</v>
      </c>
      <c r="J17" s="7">
        <v>108.15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159.63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1.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946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971</v>
      </c>
      <c r="C25" s="10" t="s">
        <v>972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89.44</v>
      </c>
      <c r="G26" s="15" t="s">
        <v>13</v>
      </c>
      <c r="H26" s="11">
        <v>1</v>
      </c>
      <c r="I26" s="14">
        <v>107.33</v>
      </c>
      <c r="J26" s="11">
        <v>57.05</v>
      </c>
      <c r="K26" s="14">
        <v>6123.18</v>
      </c>
    </row>
    <row r="27" spans="1:11" ht="14.5" x14ac:dyDescent="0.25">
      <c r="A27" s="10"/>
      <c r="B27" s="10"/>
      <c r="C27" s="10" t="s">
        <v>259</v>
      </c>
      <c r="D27" s="12"/>
      <c r="E27" s="11"/>
      <c r="F27" s="14">
        <v>24.1</v>
      </c>
      <c r="G27" s="15" t="s">
        <v>1</v>
      </c>
      <c r="H27" s="11">
        <v>1</v>
      </c>
      <c r="I27" s="14">
        <v>24.1</v>
      </c>
      <c r="J27" s="11">
        <v>7.35</v>
      </c>
      <c r="K27" s="14">
        <v>177.14</v>
      </c>
    </row>
    <row r="28" spans="1:11" ht="14.5" x14ac:dyDescent="0.25">
      <c r="A28" s="10"/>
      <c r="B28" s="10"/>
      <c r="C28" s="10" t="s">
        <v>260</v>
      </c>
      <c r="D28" s="12" t="s">
        <v>261</v>
      </c>
      <c r="E28" s="11">
        <v>95</v>
      </c>
      <c r="F28" s="14"/>
      <c r="G28" s="13"/>
      <c r="H28" s="11"/>
      <c r="I28" s="14">
        <v>101.96</v>
      </c>
      <c r="J28" s="11">
        <v>95</v>
      </c>
      <c r="K28" s="14">
        <v>5817.02</v>
      </c>
    </row>
    <row r="29" spans="1:11" ht="14.5" x14ac:dyDescent="0.25">
      <c r="A29" s="10"/>
      <c r="B29" s="10"/>
      <c r="C29" s="10" t="s">
        <v>262</v>
      </c>
      <c r="D29" s="12" t="s">
        <v>261</v>
      </c>
      <c r="E29" s="11">
        <v>53</v>
      </c>
      <c r="F29" s="14"/>
      <c r="G29" s="13"/>
      <c r="H29" s="11"/>
      <c r="I29" s="14">
        <v>56.88</v>
      </c>
      <c r="J29" s="11">
        <v>53</v>
      </c>
      <c r="K29" s="14">
        <v>3245.29</v>
      </c>
    </row>
    <row r="30" spans="1:11" ht="14.5" x14ac:dyDescent="0.25">
      <c r="A30" s="17"/>
      <c r="B30" s="17"/>
      <c r="C30" s="17" t="s">
        <v>263</v>
      </c>
      <c r="D30" s="18" t="s">
        <v>264</v>
      </c>
      <c r="E30" s="19">
        <v>8</v>
      </c>
      <c r="F30" s="20"/>
      <c r="G30" s="21" t="s">
        <v>13</v>
      </c>
      <c r="H30" s="19">
        <v>1</v>
      </c>
      <c r="I30" s="20">
        <v>9.6</v>
      </c>
      <c r="J30" s="19"/>
      <c r="K30" s="20"/>
    </row>
    <row r="31" spans="1:11" ht="14" x14ac:dyDescent="0.25">
      <c r="C31" s="22" t="s">
        <v>265</v>
      </c>
      <c r="H31" s="143">
        <v>290.27</v>
      </c>
      <c r="I31" s="143"/>
      <c r="J31" s="143">
        <v>15362.63</v>
      </c>
      <c r="K31" s="143"/>
    </row>
    <row r="32" spans="1:11" ht="14" x14ac:dyDescent="0.25">
      <c r="C32" s="22" t="s">
        <v>267</v>
      </c>
      <c r="H32" s="141">
        <v>290.27</v>
      </c>
      <c r="I32" s="141"/>
      <c r="J32" s="141">
        <v>15362.63</v>
      </c>
      <c r="K32" s="141"/>
    </row>
    <row r="34" spans="1:11" ht="54" x14ac:dyDescent="0.25">
      <c r="A34" s="38">
        <v>2</v>
      </c>
      <c r="B34" s="38" t="s">
        <v>409</v>
      </c>
      <c r="C34" s="38" t="s">
        <v>1972</v>
      </c>
      <c r="D34" s="39" t="s">
        <v>11</v>
      </c>
      <c r="E34" s="40">
        <v>1</v>
      </c>
      <c r="F34" s="41">
        <v>13635.74</v>
      </c>
      <c r="G34" s="42" t="s">
        <v>1</v>
      </c>
      <c r="H34" s="40">
        <v>1</v>
      </c>
      <c r="I34" s="41">
        <v>13635.74</v>
      </c>
      <c r="J34" s="40">
        <v>7.54</v>
      </c>
      <c r="K34" s="41">
        <v>102813.48</v>
      </c>
    </row>
    <row r="35" spans="1:11" ht="14" x14ac:dyDescent="0.25">
      <c r="A35" s="43"/>
      <c r="B35" s="43"/>
      <c r="C35" s="44" t="s">
        <v>267</v>
      </c>
      <c r="D35" s="43"/>
      <c r="E35" s="43"/>
      <c r="F35" s="43"/>
      <c r="G35" s="43"/>
      <c r="H35" s="156">
        <v>13635.74</v>
      </c>
      <c r="I35" s="156"/>
      <c r="J35" s="156">
        <v>102813.48</v>
      </c>
      <c r="K35" s="156"/>
    </row>
    <row r="37" spans="1:11" ht="79" x14ac:dyDescent="0.25">
      <c r="A37" s="10">
        <v>3</v>
      </c>
      <c r="B37" s="10" t="s">
        <v>931</v>
      </c>
      <c r="C37" s="10" t="s">
        <v>932</v>
      </c>
      <c r="D37" s="12" t="s">
        <v>24</v>
      </c>
      <c r="E37" s="11">
        <v>1</v>
      </c>
      <c r="F37" s="14"/>
      <c r="G37" s="13"/>
      <c r="H37" s="11"/>
      <c r="I37" s="14"/>
      <c r="J37" s="11"/>
      <c r="K37" s="14"/>
    </row>
    <row r="38" spans="1:11" ht="14.5" x14ac:dyDescent="0.25">
      <c r="A38" s="10"/>
      <c r="B38" s="10"/>
      <c r="C38" s="10" t="s">
        <v>256</v>
      </c>
      <c r="D38" s="12"/>
      <c r="E38" s="11"/>
      <c r="F38" s="14">
        <v>11.52</v>
      </c>
      <c r="G38" s="15" t="s">
        <v>13</v>
      </c>
      <c r="H38" s="11">
        <v>1</v>
      </c>
      <c r="I38" s="14">
        <v>13.82</v>
      </c>
      <c r="J38" s="11">
        <v>57.05</v>
      </c>
      <c r="K38" s="14">
        <v>788.43</v>
      </c>
    </row>
    <row r="39" spans="1:11" ht="14.5" x14ac:dyDescent="0.25">
      <c r="A39" s="10"/>
      <c r="B39" s="10"/>
      <c r="C39" s="10" t="s">
        <v>257</v>
      </c>
      <c r="D39" s="12"/>
      <c r="E39" s="11"/>
      <c r="F39" s="14">
        <v>13.3</v>
      </c>
      <c r="G39" s="15" t="s">
        <v>13</v>
      </c>
      <c r="H39" s="11">
        <v>1</v>
      </c>
      <c r="I39" s="14">
        <v>15.96</v>
      </c>
      <c r="J39" s="11">
        <v>17.45</v>
      </c>
      <c r="K39" s="14">
        <v>278.5</v>
      </c>
    </row>
    <row r="40" spans="1:11" ht="14.5" x14ac:dyDescent="0.25">
      <c r="A40" s="10"/>
      <c r="B40" s="10"/>
      <c r="C40" s="10" t="s">
        <v>258</v>
      </c>
      <c r="D40" s="12"/>
      <c r="E40" s="11"/>
      <c r="F40" s="14">
        <v>2.02</v>
      </c>
      <c r="G40" s="15" t="s">
        <v>13</v>
      </c>
      <c r="H40" s="11">
        <v>1</v>
      </c>
      <c r="I40" s="16">
        <v>2.42</v>
      </c>
      <c r="J40" s="11">
        <v>57.05</v>
      </c>
      <c r="K40" s="16">
        <v>138.06</v>
      </c>
    </row>
    <row r="41" spans="1:11" ht="14.5" x14ac:dyDescent="0.25">
      <c r="A41" s="10"/>
      <c r="B41" s="10"/>
      <c r="C41" s="10" t="s">
        <v>260</v>
      </c>
      <c r="D41" s="12" t="s">
        <v>261</v>
      </c>
      <c r="E41" s="11">
        <v>90</v>
      </c>
      <c r="F41" s="14"/>
      <c r="G41" s="13"/>
      <c r="H41" s="11"/>
      <c r="I41" s="14">
        <v>14.62</v>
      </c>
      <c r="J41" s="11">
        <v>90</v>
      </c>
      <c r="K41" s="14">
        <v>833.84</v>
      </c>
    </row>
    <row r="42" spans="1:11" ht="14.5" x14ac:dyDescent="0.25">
      <c r="A42" s="10"/>
      <c r="B42" s="10"/>
      <c r="C42" s="10" t="s">
        <v>262</v>
      </c>
      <c r="D42" s="12" t="s">
        <v>261</v>
      </c>
      <c r="E42" s="11">
        <v>46</v>
      </c>
      <c r="F42" s="14"/>
      <c r="G42" s="13"/>
      <c r="H42" s="11"/>
      <c r="I42" s="14">
        <v>7.47</v>
      </c>
      <c r="J42" s="11">
        <v>46</v>
      </c>
      <c r="K42" s="14">
        <v>426.19</v>
      </c>
    </row>
    <row r="43" spans="1:11" ht="14.5" x14ac:dyDescent="0.25">
      <c r="A43" s="17"/>
      <c r="B43" s="17"/>
      <c r="C43" s="17" t="s">
        <v>263</v>
      </c>
      <c r="D43" s="18" t="s">
        <v>264</v>
      </c>
      <c r="E43" s="19">
        <v>1.03</v>
      </c>
      <c r="F43" s="20"/>
      <c r="G43" s="21" t="s">
        <v>13</v>
      </c>
      <c r="H43" s="19">
        <v>1</v>
      </c>
      <c r="I43" s="20">
        <v>1.24</v>
      </c>
      <c r="J43" s="19"/>
      <c r="K43" s="20"/>
    </row>
    <row r="44" spans="1:11" ht="14" x14ac:dyDescent="0.25">
      <c r="C44" s="22" t="s">
        <v>265</v>
      </c>
      <c r="H44" s="143">
        <v>51.87</v>
      </c>
      <c r="I44" s="143"/>
      <c r="J44" s="143">
        <v>2326.96</v>
      </c>
      <c r="K44" s="143"/>
    </row>
    <row r="45" spans="1:11" ht="14" x14ac:dyDescent="0.25">
      <c r="C45" s="22" t="s">
        <v>267</v>
      </c>
      <c r="H45" s="141">
        <v>51.87</v>
      </c>
      <c r="I45" s="141"/>
      <c r="J45" s="141">
        <v>2326.96</v>
      </c>
      <c r="K45" s="141"/>
    </row>
    <row r="47" spans="1:11" ht="54" x14ac:dyDescent="0.25">
      <c r="A47" s="38">
        <v>4</v>
      </c>
      <c r="B47" s="38" t="s">
        <v>409</v>
      </c>
      <c r="C47" s="38" t="s">
        <v>1973</v>
      </c>
      <c r="D47" s="39" t="s">
        <v>11</v>
      </c>
      <c r="E47" s="40">
        <v>1</v>
      </c>
      <c r="F47" s="41">
        <v>1781.64</v>
      </c>
      <c r="G47" s="42" t="s">
        <v>1</v>
      </c>
      <c r="H47" s="40">
        <v>1</v>
      </c>
      <c r="I47" s="41">
        <v>1781.64</v>
      </c>
      <c r="J47" s="40">
        <v>7.54</v>
      </c>
      <c r="K47" s="41">
        <v>13433.57</v>
      </c>
    </row>
    <row r="48" spans="1:11" ht="14" x14ac:dyDescent="0.25">
      <c r="A48" s="43"/>
      <c r="B48" s="43"/>
      <c r="C48" s="44" t="s">
        <v>267</v>
      </c>
      <c r="D48" s="43"/>
      <c r="E48" s="43"/>
      <c r="F48" s="43"/>
      <c r="G48" s="43"/>
      <c r="H48" s="156">
        <v>1781.64</v>
      </c>
      <c r="I48" s="156"/>
      <c r="J48" s="156">
        <v>13433.57</v>
      </c>
      <c r="K48" s="156"/>
    </row>
    <row r="50" spans="1:11" ht="79" x14ac:dyDescent="0.25">
      <c r="A50" s="10">
        <v>5</v>
      </c>
      <c r="B50" s="10" t="s">
        <v>973</v>
      </c>
      <c r="C50" s="10" t="s">
        <v>974</v>
      </c>
      <c r="D50" s="12" t="s">
        <v>24</v>
      </c>
      <c r="E50" s="11">
        <v>35</v>
      </c>
      <c r="F50" s="14"/>
      <c r="G50" s="13"/>
      <c r="H50" s="11"/>
      <c r="I50" s="14"/>
      <c r="J50" s="11"/>
      <c r="K50" s="14"/>
    </row>
    <row r="51" spans="1:11" ht="14.5" x14ac:dyDescent="0.25">
      <c r="A51" s="10"/>
      <c r="B51" s="10"/>
      <c r="C51" s="10" t="s">
        <v>256</v>
      </c>
      <c r="D51" s="12"/>
      <c r="E51" s="11"/>
      <c r="F51" s="14">
        <v>23.78</v>
      </c>
      <c r="G51" s="15" t="s">
        <v>13</v>
      </c>
      <c r="H51" s="11">
        <v>1</v>
      </c>
      <c r="I51" s="14">
        <v>998.76</v>
      </c>
      <c r="J51" s="11">
        <v>57.05</v>
      </c>
      <c r="K51" s="14">
        <v>56979.26</v>
      </c>
    </row>
    <row r="52" spans="1:11" ht="14.5" x14ac:dyDescent="0.25">
      <c r="A52" s="10"/>
      <c r="B52" s="10"/>
      <c r="C52" s="10" t="s">
        <v>259</v>
      </c>
      <c r="D52" s="12"/>
      <c r="E52" s="11"/>
      <c r="F52" s="14">
        <v>24.46</v>
      </c>
      <c r="G52" s="15" t="s">
        <v>1</v>
      </c>
      <c r="H52" s="11">
        <v>1</v>
      </c>
      <c r="I52" s="14">
        <v>856.1</v>
      </c>
      <c r="J52" s="11">
        <v>11.28</v>
      </c>
      <c r="K52" s="14">
        <v>9656.81</v>
      </c>
    </row>
    <row r="53" spans="1:11" ht="14.5" x14ac:dyDescent="0.25">
      <c r="A53" s="10"/>
      <c r="B53" s="10"/>
      <c r="C53" s="10" t="s">
        <v>260</v>
      </c>
      <c r="D53" s="12" t="s">
        <v>261</v>
      </c>
      <c r="E53" s="11">
        <v>95</v>
      </c>
      <c r="F53" s="14"/>
      <c r="G53" s="13"/>
      <c r="H53" s="11"/>
      <c r="I53" s="14">
        <v>948.82</v>
      </c>
      <c r="J53" s="11">
        <v>95</v>
      </c>
      <c r="K53" s="14">
        <v>54130.3</v>
      </c>
    </row>
    <row r="54" spans="1:11" ht="14.5" x14ac:dyDescent="0.25">
      <c r="A54" s="10"/>
      <c r="B54" s="10"/>
      <c r="C54" s="10" t="s">
        <v>262</v>
      </c>
      <c r="D54" s="12" t="s">
        <v>261</v>
      </c>
      <c r="E54" s="11">
        <v>53</v>
      </c>
      <c r="F54" s="14"/>
      <c r="G54" s="13"/>
      <c r="H54" s="11"/>
      <c r="I54" s="14">
        <v>529.34</v>
      </c>
      <c r="J54" s="11">
        <v>53</v>
      </c>
      <c r="K54" s="14">
        <v>30199.01</v>
      </c>
    </row>
    <row r="55" spans="1:11" ht="14.5" x14ac:dyDescent="0.25">
      <c r="A55" s="17"/>
      <c r="B55" s="17"/>
      <c r="C55" s="17" t="s">
        <v>263</v>
      </c>
      <c r="D55" s="18" t="s">
        <v>264</v>
      </c>
      <c r="E55" s="19">
        <v>2</v>
      </c>
      <c r="F55" s="20"/>
      <c r="G55" s="21" t="s">
        <v>13</v>
      </c>
      <c r="H55" s="19">
        <v>1</v>
      </c>
      <c r="I55" s="20">
        <v>84</v>
      </c>
      <c r="J55" s="19"/>
      <c r="K55" s="20"/>
    </row>
    <row r="56" spans="1:11" ht="14" x14ac:dyDescent="0.25">
      <c r="C56" s="22" t="s">
        <v>265</v>
      </c>
      <c r="H56" s="143">
        <v>3333.02</v>
      </c>
      <c r="I56" s="143"/>
      <c r="J56" s="143">
        <v>150965.38</v>
      </c>
      <c r="K56" s="143"/>
    </row>
    <row r="57" spans="1:11" ht="14" x14ac:dyDescent="0.25">
      <c r="C57" s="22" t="s">
        <v>267</v>
      </c>
      <c r="H57" s="141">
        <v>3333.02</v>
      </c>
      <c r="I57" s="141"/>
      <c r="J57" s="141">
        <v>150965.38</v>
      </c>
      <c r="K57" s="141"/>
    </row>
    <row r="59" spans="1:11" ht="54" x14ac:dyDescent="0.25">
      <c r="A59" s="38">
        <v>6</v>
      </c>
      <c r="B59" s="38" t="s">
        <v>409</v>
      </c>
      <c r="C59" s="38" t="s">
        <v>1974</v>
      </c>
      <c r="D59" s="39" t="s">
        <v>11</v>
      </c>
      <c r="E59" s="40">
        <v>14</v>
      </c>
      <c r="F59" s="41">
        <v>305.38</v>
      </c>
      <c r="G59" s="42" t="s">
        <v>1</v>
      </c>
      <c r="H59" s="40">
        <v>1</v>
      </c>
      <c r="I59" s="41">
        <v>4275.32</v>
      </c>
      <c r="J59" s="40">
        <v>7.54</v>
      </c>
      <c r="K59" s="41">
        <v>32235.91</v>
      </c>
    </row>
    <row r="60" spans="1:11" ht="14" x14ac:dyDescent="0.25">
      <c r="A60" s="43"/>
      <c r="B60" s="43"/>
      <c r="C60" s="44" t="s">
        <v>267</v>
      </c>
      <c r="D60" s="43"/>
      <c r="E60" s="43"/>
      <c r="F60" s="43"/>
      <c r="G60" s="43"/>
      <c r="H60" s="156">
        <v>4275.32</v>
      </c>
      <c r="I60" s="156"/>
      <c r="J60" s="156">
        <v>32235.91</v>
      </c>
      <c r="K60" s="156"/>
    </row>
    <row r="61" spans="1:11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spans="1:11" ht="54" x14ac:dyDescent="0.25">
      <c r="A62" s="38">
        <v>7</v>
      </c>
      <c r="B62" s="38" t="s">
        <v>409</v>
      </c>
      <c r="C62" s="38" t="s">
        <v>1975</v>
      </c>
      <c r="D62" s="39" t="s">
        <v>11</v>
      </c>
      <c r="E62" s="40">
        <v>21</v>
      </c>
      <c r="F62" s="41">
        <v>289.95999999999998</v>
      </c>
      <c r="G62" s="42" t="s">
        <v>1</v>
      </c>
      <c r="H62" s="40">
        <v>1</v>
      </c>
      <c r="I62" s="41">
        <v>6089.16</v>
      </c>
      <c r="J62" s="40">
        <v>7.54</v>
      </c>
      <c r="K62" s="41">
        <v>45912.27</v>
      </c>
    </row>
    <row r="63" spans="1:11" ht="14" x14ac:dyDescent="0.25">
      <c r="A63" s="43"/>
      <c r="B63" s="43"/>
      <c r="C63" s="44" t="s">
        <v>267</v>
      </c>
      <c r="D63" s="43"/>
      <c r="E63" s="43"/>
      <c r="F63" s="43"/>
      <c r="G63" s="43"/>
      <c r="H63" s="156">
        <v>6089.16</v>
      </c>
      <c r="I63" s="156"/>
      <c r="J63" s="156">
        <v>45912.27</v>
      </c>
      <c r="K63" s="156"/>
    </row>
    <row r="65" spans="1:11" ht="79" x14ac:dyDescent="0.25">
      <c r="A65" s="10">
        <v>8</v>
      </c>
      <c r="B65" s="10" t="s">
        <v>975</v>
      </c>
      <c r="C65" s="10" t="s">
        <v>976</v>
      </c>
      <c r="D65" s="12" t="s">
        <v>34</v>
      </c>
      <c r="E65" s="11">
        <v>0.02</v>
      </c>
      <c r="F65" s="14"/>
      <c r="G65" s="13"/>
      <c r="H65" s="11"/>
      <c r="I65" s="14"/>
      <c r="J65" s="11"/>
      <c r="K65" s="14"/>
    </row>
    <row r="66" spans="1:11" x14ac:dyDescent="0.25">
      <c r="C66" s="23" t="s">
        <v>371</v>
      </c>
    </row>
    <row r="67" spans="1:11" ht="14.5" x14ac:dyDescent="0.25">
      <c r="A67" s="10"/>
      <c r="B67" s="10"/>
      <c r="C67" s="10" t="s">
        <v>256</v>
      </c>
      <c r="D67" s="12"/>
      <c r="E67" s="11"/>
      <c r="F67" s="14">
        <v>278.64</v>
      </c>
      <c r="G67" s="15" t="s">
        <v>13</v>
      </c>
      <c r="H67" s="11">
        <v>1</v>
      </c>
      <c r="I67" s="14">
        <v>6.69</v>
      </c>
      <c r="J67" s="11">
        <v>57.05</v>
      </c>
      <c r="K67" s="14">
        <v>381.66</v>
      </c>
    </row>
    <row r="68" spans="1:11" ht="14.5" x14ac:dyDescent="0.25">
      <c r="A68" s="10"/>
      <c r="B68" s="10"/>
      <c r="C68" s="10" t="s">
        <v>259</v>
      </c>
      <c r="D68" s="12"/>
      <c r="E68" s="11"/>
      <c r="F68" s="14">
        <v>85.6</v>
      </c>
      <c r="G68" s="15" t="s">
        <v>1</v>
      </c>
      <c r="H68" s="11">
        <v>1</v>
      </c>
      <c r="I68" s="14">
        <v>1.71</v>
      </c>
      <c r="J68" s="11">
        <v>4.6399999999999997</v>
      </c>
      <c r="K68" s="14">
        <v>7.93</v>
      </c>
    </row>
    <row r="69" spans="1:11" ht="14.5" x14ac:dyDescent="0.25">
      <c r="A69" s="10"/>
      <c r="B69" s="10"/>
      <c r="C69" s="10" t="s">
        <v>260</v>
      </c>
      <c r="D69" s="12" t="s">
        <v>261</v>
      </c>
      <c r="E69" s="11">
        <v>90</v>
      </c>
      <c r="F69" s="14"/>
      <c r="G69" s="13"/>
      <c r="H69" s="11"/>
      <c r="I69" s="14">
        <v>6.02</v>
      </c>
      <c r="J69" s="11">
        <v>90</v>
      </c>
      <c r="K69" s="14">
        <v>343.49</v>
      </c>
    </row>
    <row r="70" spans="1:11" ht="14.5" x14ac:dyDescent="0.25">
      <c r="A70" s="10"/>
      <c r="B70" s="10"/>
      <c r="C70" s="10" t="s">
        <v>262</v>
      </c>
      <c r="D70" s="12" t="s">
        <v>261</v>
      </c>
      <c r="E70" s="11">
        <v>46</v>
      </c>
      <c r="F70" s="14"/>
      <c r="G70" s="13"/>
      <c r="H70" s="11"/>
      <c r="I70" s="14">
        <v>3.08</v>
      </c>
      <c r="J70" s="11">
        <v>46</v>
      </c>
      <c r="K70" s="14">
        <v>175.56</v>
      </c>
    </row>
    <row r="71" spans="1:11" ht="14.5" x14ac:dyDescent="0.25">
      <c r="A71" s="17"/>
      <c r="B71" s="17"/>
      <c r="C71" s="17" t="s">
        <v>263</v>
      </c>
      <c r="D71" s="18" t="s">
        <v>264</v>
      </c>
      <c r="E71" s="19">
        <v>24</v>
      </c>
      <c r="F71" s="20"/>
      <c r="G71" s="21" t="s">
        <v>13</v>
      </c>
      <c r="H71" s="19">
        <v>1</v>
      </c>
      <c r="I71" s="20">
        <v>0.57999999999999996</v>
      </c>
      <c r="J71" s="19"/>
      <c r="K71" s="20"/>
    </row>
    <row r="72" spans="1:11" ht="14" x14ac:dyDescent="0.25">
      <c r="C72" s="22" t="s">
        <v>265</v>
      </c>
      <c r="H72" s="143">
        <v>17.5</v>
      </c>
      <c r="I72" s="143"/>
      <c r="J72" s="143">
        <v>908.64</v>
      </c>
      <c r="K72" s="143"/>
    </row>
    <row r="73" spans="1:11" ht="14" x14ac:dyDescent="0.25">
      <c r="C73" s="22" t="s">
        <v>267</v>
      </c>
      <c r="H73" s="141">
        <v>17.5</v>
      </c>
      <c r="I73" s="141"/>
      <c r="J73" s="141">
        <v>908.64</v>
      </c>
      <c r="K73" s="141"/>
    </row>
    <row r="75" spans="1:11" ht="54" x14ac:dyDescent="0.25">
      <c r="A75" s="17">
        <v>9</v>
      </c>
      <c r="B75" s="17" t="s">
        <v>409</v>
      </c>
      <c r="C75" s="17" t="s">
        <v>1976</v>
      </c>
      <c r="D75" s="18" t="s">
        <v>11</v>
      </c>
      <c r="E75" s="19">
        <v>2</v>
      </c>
      <c r="F75" s="20">
        <v>534.16</v>
      </c>
      <c r="G75" s="21" t="s">
        <v>1</v>
      </c>
      <c r="H75" s="19">
        <v>1</v>
      </c>
      <c r="I75" s="20">
        <v>1068.32</v>
      </c>
      <c r="J75" s="19">
        <v>7.54</v>
      </c>
      <c r="K75" s="20">
        <v>8055.13</v>
      </c>
    </row>
    <row r="76" spans="1:11" ht="14" x14ac:dyDescent="0.25">
      <c r="C76" s="22" t="s">
        <v>267</v>
      </c>
      <c r="H76" s="143">
        <v>1068.32</v>
      </c>
      <c r="I76" s="143"/>
      <c r="J76" s="143">
        <v>8055.13</v>
      </c>
      <c r="K76" s="143"/>
    </row>
    <row r="78" spans="1:11" ht="79" x14ac:dyDescent="0.25">
      <c r="A78" s="10">
        <v>10</v>
      </c>
      <c r="B78" s="10" t="s">
        <v>912</v>
      </c>
      <c r="C78" s="10" t="s">
        <v>913</v>
      </c>
      <c r="D78" s="12" t="s">
        <v>24</v>
      </c>
      <c r="E78" s="11">
        <v>1</v>
      </c>
      <c r="F78" s="14"/>
      <c r="G78" s="13"/>
      <c r="H78" s="11"/>
      <c r="I78" s="14"/>
      <c r="J78" s="11"/>
      <c r="K78" s="14"/>
    </row>
    <row r="79" spans="1:11" ht="14.5" x14ac:dyDescent="0.25">
      <c r="A79" s="10"/>
      <c r="B79" s="10"/>
      <c r="C79" s="10" t="s">
        <v>256</v>
      </c>
      <c r="D79" s="12"/>
      <c r="E79" s="11"/>
      <c r="F79" s="14">
        <v>40.17</v>
      </c>
      <c r="G79" s="15" t="s">
        <v>13</v>
      </c>
      <c r="H79" s="11">
        <v>1</v>
      </c>
      <c r="I79" s="14">
        <v>48.2</v>
      </c>
      <c r="J79" s="11">
        <v>57.05</v>
      </c>
      <c r="K79" s="14">
        <v>2749.81</v>
      </c>
    </row>
    <row r="80" spans="1:11" ht="14.5" x14ac:dyDescent="0.25">
      <c r="A80" s="10"/>
      <c r="B80" s="10"/>
      <c r="C80" s="10" t="s">
        <v>259</v>
      </c>
      <c r="D80" s="12"/>
      <c r="E80" s="11"/>
      <c r="F80" s="14">
        <v>2.34</v>
      </c>
      <c r="G80" s="15" t="s">
        <v>1</v>
      </c>
      <c r="H80" s="11">
        <v>1</v>
      </c>
      <c r="I80" s="14">
        <v>2.34</v>
      </c>
      <c r="J80" s="11">
        <v>9.91</v>
      </c>
      <c r="K80" s="14">
        <v>23.19</v>
      </c>
    </row>
    <row r="81" spans="1:11" ht="14.5" x14ac:dyDescent="0.25">
      <c r="A81" s="10"/>
      <c r="B81" s="10"/>
      <c r="C81" s="10" t="s">
        <v>260</v>
      </c>
      <c r="D81" s="12" t="s">
        <v>261</v>
      </c>
      <c r="E81" s="11">
        <v>90</v>
      </c>
      <c r="F81" s="14"/>
      <c r="G81" s="13"/>
      <c r="H81" s="11"/>
      <c r="I81" s="14">
        <v>43.38</v>
      </c>
      <c r="J81" s="11">
        <v>90</v>
      </c>
      <c r="K81" s="14">
        <v>2474.83</v>
      </c>
    </row>
    <row r="82" spans="1:11" ht="14.5" x14ac:dyDescent="0.25">
      <c r="A82" s="10"/>
      <c r="B82" s="10"/>
      <c r="C82" s="10" t="s">
        <v>262</v>
      </c>
      <c r="D82" s="12" t="s">
        <v>261</v>
      </c>
      <c r="E82" s="11">
        <v>46</v>
      </c>
      <c r="F82" s="14"/>
      <c r="G82" s="13"/>
      <c r="H82" s="11"/>
      <c r="I82" s="14">
        <v>22.17</v>
      </c>
      <c r="J82" s="11">
        <v>46</v>
      </c>
      <c r="K82" s="14">
        <v>1264.9100000000001</v>
      </c>
    </row>
    <row r="83" spans="1:11" ht="14.5" x14ac:dyDescent="0.25">
      <c r="A83" s="17"/>
      <c r="B83" s="17"/>
      <c r="C83" s="17" t="s">
        <v>263</v>
      </c>
      <c r="D83" s="18" t="s">
        <v>264</v>
      </c>
      <c r="E83" s="19">
        <v>3.18</v>
      </c>
      <c r="F83" s="20"/>
      <c r="G83" s="21" t="s">
        <v>13</v>
      </c>
      <c r="H83" s="19">
        <v>1</v>
      </c>
      <c r="I83" s="20">
        <v>3.82</v>
      </c>
      <c r="J83" s="19"/>
      <c r="K83" s="20"/>
    </row>
    <row r="84" spans="1:11" ht="14" x14ac:dyDescent="0.25">
      <c r="C84" s="22" t="s">
        <v>265</v>
      </c>
      <c r="H84" s="143">
        <v>116.09</v>
      </c>
      <c r="I84" s="143"/>
      <c r="J84" s="143">
        <v>6512.74</v>
      </c>
      <c r="K84" s="143"/>
    </row>
    <row r="85" spans="1:11" ht="14" x14ac:dyDescent="0.25">
      <c r="C85" s="22" t="s">
        <v>267</v>
      </c>
      <c r="H85" s="141">
        <v>116.09</v>
      </c>
      <c r="I85" s="141"/>
      <c r="J85" s="141">
        <v>6512.74</v>
      </c>
      <c r="K85" s="141"/>
    </row>
    <row r="87" spans="1:11" ht="54" x14ac:dyDescent="0.25">
      <c r="A87" s="38">
        <v>11</v>
      </c>
      <c r="B87" s="38" t="s">
        <v>409</v>
      </c>
      <c r="C87" s="38" t="s">
        <v>1977</v>
      </c>
      <c r="D87" s="39" t="s">
        <v>11</v>
      </c>
      <c r="E87" s="40">
        <v>1</v>
      </c>
      <c r="F87" s="41">
        <v>641.70000000000005</v>
      </c>
      <c r="G87" s="42" t="s">
        <v>1</v>
      </c>
      <c r="H87" s="40">
        <v>1</v>
      </c>
      <c r="I87" s="41">
        <v>641.70000000000005</v>
      </c>
      <c r="J87" s="40">
        <v>7.54</v>
      </c>
      <c r="K87" s="41">
        <v>4838.42</v>
      </c>
    </row>
    <row r="88" spans="1:11" ht="14" x14ac:dyDescent="0.25">
      <c r="A88" s="43"/>
      <c r="B88" s="43"/>
      <c r="C88" s="44" t="s">
        <v>267</v>
      </c>
      <c r="D88" s="43"/>
      <c r="E88" s="43"/>
      <c r="F88" s="43"/>
      <c r="G88" s="43"/>
      <c r="H88" s="156">
        <v>641.70000000000005</v>
      </c>
      <c r="I88" s="156"/>
      <c r="J88" s="156">
        <v>4838.42</v>
      </c>
      <c r="K88" s="156"/>
    </row>
    <row r="90" spans="1:11" ht="42" x14ac:dyDescent="0.25">
      <c r="A90" s="17">
        <v>12</v>
      </c>
      <c r="B90" s="17" t="s">
        <v>948</v>
      </c>
      <c r="C90" s="17" t="s">
        <v>914</v>
      </c>
      <c r="D90" s="18" t="s">
        <v>38</v>
      </c>
      <c r="E90" s="19">
        <v>2</v>
      </c>
      <c r="F90" s="20">
        <v>698.81</v>
      </c>
      <c r="G90" s="21" t="s">
        <v>1</v>
      </c>
      <c r="H90" s="19">
        <v>1</v>
      </c>
      <c r="I90" s="20">
        <v>1397.62</v>
      </c>
      <c r="J90" s="19">
        <v>6.51</v>
      </c>
      <c r="K90" s="20">
        <v>9098.51</v>
      </c>
    </row>
    <row r="91" spans="1:11" ht="14" x14ac:dyDescent="0.25">
      <c r="C91" s="22" t="s">
        <v>267</v>
      </c>
      <c r="H91" s="143">
        <v>1397.62</v>
      </c>
      <c r="I91" s="143"/>
      <c r="J91" s="143">
        <v>9098.51</v>
      </c>
      <c r="K91" s="143"/>
    </row>
    <row r="93" spans="1:11" ht="79" x14ac:dyDescent="0.25">
      <c r="A93" s="10">
        <v>13</v>
      </c>
      <c r="B93" s="10" t="s">
        <v>977</v>
      </c>
      <c r="C93" s="10" t="s">
        <v>978</v>
      </c>
      <c r="D93" s="12" t="s">
        <v>986</v>
      </c>
      <c r="E93" s="11">
        <v>1.5</v>
      </c>
      <c r="F93" s="14"/>
      <c r="G93" s="13"/>
      <c r="H93" s="11"/>
      <c r="I93" s="14"/>
      <c r="J93" s="11"/>
      <c r="K93" s="14"/>
    </row>
    <row r="94" spans="1:11" ht="14.5" x14ac:dyDescent="0.25">
      <c r="A94" s="10"/>
      <c r="B94" s="10"/>
      <c r="C94" s="10" t="s">
        <v>256</v>
      </c>
      <c r="D94" s="12"/>
      <c r="E94" s="11"/>
      <c r="F94" s="14">
        <v>1.56</v>
      </c>
      <c r="G94" s="15" t="s">
        <v>13</v>
      </c>
      <c r="H94" s="11">
        <v>1</v>
      </c>
      <c r="I94" s="14">
        <v>2.81</v>
      </c>
      <c r="J94" s="11">
        <v>57.05</v>
      </c>
      <c r="K94" s="14">
        <v>160.31</v>
      </c>
    </row>
    <row r="95" spans="1:11" ht="14.5" x14ac:dyDescent="0.25">
      <c r="A95" s="10"/>
      <c r="B95" s="10"/>
      <c r="C95" s="10" t="s">
        <v>257</v>
      </c>
      <c r="D95" s="12"/>
      <c r="E95" s="11"/>
      <c r="F95" s="14">
        <v>0.37</v>
      </c>
      <c r="G95" s="15" t="s">
        <v>13</v>
      </c>
      <c r="H95" s="11">
        <v>1</v>
      </c>
      <c r="I95" s="14">
        <v>0.67</v>
      </c>
      <c r="J95" s="11">
        <v>16.239999999999998</v>
      </c>
      <c r="K95" s="14">
        <v>10.88</v>
      </c>
    </row>
    <row r="96" spans="1:11" ht="14.5" x14ac:dyDescent="0.25">
      <c r="A96" s="10"/>
      <c r="B96" s="10"/>
      <c r="C96" s="10" t="s">
        <v>258</v>
      </c>
      <c r="D96" s="12"/>
      <c r="E96" s="11"/>
      <c r="F96" s="14">
        <v>0.04</v>
      </c>
      <c r="G96" s="15" t="s">
        <v>13</v>
      </c>
      <c r="H96" s="11">
        <v>1</v>
      </c>
      <c r="I96" s="16">
        <v>7.0000000000000007E-2</v>
      </c>
      <c r="J96" s="11">
        <v>57.05</v>
      </c>
      <c r="K96" s="16">
        <v>3.99</v>
      </c>
    </row>
    <row r="97" spans="1:11" ht="14.5" x14ac:dyDescent="0.25">
      <c r="A97" s="10"/>
      <c r="B97" s="10"/>
      <c r="C97" s="10" t="s">
        <v>259</v>
      </c>
      <c r="D97" s="12"/>
      <c r="E97" s="11"/>
      <c r="F97" s="14">
        <v>7</v>
      </c>
      <c r="G97" s="15" t="s">
        <v>1</v>
      </c>
      <c r="H97" s="11">
        <v>1</v>
      </c>
      <c r="I97" s="14">
        <v>10.5</v>
      </c>
      <c r="J97" s="11">
        <v>10.18</v>
      </c>
      <c r="K97" s="14">
        <v>106.89</v>
      </c>
    </row>
    <row r="98" spans="1:11" ht="14.5" x14ac:dyDescent="0.25">
      <c r="A98" s="10"/>
      <c r="B98" s="10"/>
      <c r="C98" s="10" t="s">
        <v>260</v>
      </c>
      <c r="D98" s="12" t="s">
        <v>261</v>
      </c>
      <c r="E98" s="11">
        <v>97</v>
      </c>
      <c r="F98" s="14"/>
      <c r="G98" s="13"/>
      <c r="H98" s="11"/>
      <c r="I98" s="14">
        <v>2.79</v>
      </c>
      <c r="J98" s="11">
        <v>97</v>
      </c>
      <c r="K98" s="14">
        <v>159.37</v>
      </c>
    </row>
    <row r="99" spans="1:11" ht="14.5" x14ac:dyDescent="0.25">
      <c r="A99" s="10"/>
      <c r="B99" s="10"/>
      <c r="C99" s="10" t="s">
        <v>262</v>
      </c>
      <c r="D99" s="12" t="s">
        <v>261</v>
      </c>
      <c r="E99" s="11">
        <v>51</v>
      </c>
      <c r="F99" s="14"/>
      <c r="G99" s="13"/>
      <c r="H99" s="11"/>
      <c r="I99" s="14">
        <v>1.47</v>
      </c>
      <c r="J99" s="11">
        <v>51</v>
      </c>
      <c r="K99" s="14">
        <v>83.79</v>
      </c>
    </row>
    <row r="100" spans="1:11" ht="14.5" x14ac:dyDescent="0.25">
      <c r="A100" s="17"/>
      <c r="B100" s="17"/>
      <c r="C100" s="17" t="s">
        <v>263</v>
      </c>
      <c r="D100" s="18" t="s">
        <v>264</v>
      </c>
      <c r="E100" s="19">
        <v>0.13</v>
      </c>
      <c r="F100" s="20"/>
      <c r="G100" s="21" t="s">
        <v>13</v>
      </c>
      <c r="H100" s="19">
        <v>1</v>
      </c>
      <c r="I100" s="20">
        <v>0.23</v>
      </c>
      <c r="J100" s="19"/>
      <c r="K100" s="20"/>
    </row>
    <row r="101" spans="1:11" ht="14" x14ac:dyDescent="0.25">
      <c r="C101" s="22" t="s">
        <v>265</v>
      </c>
      <c r="H101" s="143">
        <v>18.239999999999998</v>
      </c>
      <c r="I101" s="143"/>
      <c r="J101" s="143">
        <v>521.24</v>
      </c>
      <c r="K101" s="143"/>
    </row>
    <row r="102" spans="1:11" ht="14" x14ac:dyDescent="0.25">
      <c r="C102" s="22" t="s">
        <v>267</v>
      </c>
      <c r="H102" s="141">
        <v>18.239999999999998</v>
      </c>
      <c r="I102" s="141"/>
      <c r="J102" s="141">
        <v>521.24</v>
      </c>
      <c r="K102" s="141"/>
    </row>
    <row r="104" spans="1:11" ht="68" x14ac:dyDescent="0.25">
      <c r="A104" s="38">
        <v>14</v>
      </c>
      <c r="B104" s="38" t="s">
        <v>409</v>
      </c>
      <c r="C104" s="38" t="s">
        <v>1978</v>
      </c>
      <c r="D104" s="39" t="s">
        <v>11</v>
      </c>
      <c r="E104" s="40">
        <v>1</v>
      </c>
      <c r="F104" s="41">
        <v>587.95000000000005</v>
      </c>
      <c r="G104" s="42" t="s">
        <v>1</v>
      </c>
      <c r="H104" s="40">
        <v>1</v>
      </c>
      <c r="I104" s="41">
        <v>587.95000000000005</v>
      </c>
      <c r="J104" s="40">
        <v>7.54</v>
      </c>
      <c r="K104" s="41">
        <v>4433.1400000000003</v>
      </c>
    </row>
    <row r="105" spans="1:11" ht="14" x14ac:dyDescent="0.25">
      <c r="A105" s="43"/>
      <c r="B105" s="43"/>
      <c r="C105" s="44" t="s">
        <v>267</v>
      </c>
      <c r="D105" s="43"/>
      <c r="E105" s="43"/>
      <c r="F105" s="43"/>
      <c r="G105" s="43"/>
      <c r="H105" s="156">
        <v>587.95000000000005</v>
      </c>
      <c r="I105" s="156"/>
      <c r="J105" s="156">
        <v>4433.1400000000003</v>
      </c>
      <c r="K105" s="156"/>
    </row>
    <row r="108" spans="1:11" ht="14" x14ac:dyDescent="0.3">
      <c r="A108" s="140" t="s">
        <v>950</v>
      </c>
      <c r="B108" s="140"/>
      <c r="C108" s="140"/>
      <c r="D108" s="140"/>
      <c r="E108" s="140"/>
      <c r="F108" s="140"/>
      <c r="G108" s="140"/>
      <c r="H108" s="141">
        <v>33304.44</v>
      </c>
      <c r="I108" s="142"/>
      <c r="J108" s="141">
        <v>397418.02</v>
      </c>
      <c r="K108" s="142"/>
    </row>
    <row r="110" spans="1:11" ht="16.5" x14ac:dyDescent="0.25">
      <c r="A110" s="144" t="s">
        <v>951</v>
      </c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</row>
    <row r="111" spans="1:11" ht="79" x14ac:dyDescent="0.25">
      <c r="A111" s="10">
        <v>15</v>
      </c>
      <c r="B111" s="10" t="s">
        <v>915</v>
      </c>
      <c r="C111" s="10" t="s">
        <v>916</v>
      </c>
      <c r="D111" s="12" t="s">
        <v>50</v>
      </c>
      <c r="E111" s="11">
        <v>2</v>
      </c>
      <c r="F111" s="14"/>
      <c r="G111" s="13"/>
      <c r="H111" s="11"/>
      <c r="I111" s="14"/>
      <c r="J111" s="11"/>
      <c r="K111" s="14"/>
    </row>
    <row r="112" spans="1:11" x14ac:dyDescent="0.25">
      <c r="C112" s="23" t="s">
        <v>400</v>
      </c>
    </row>
    <row r="113" spans="1:11" ht="14.5" x14ac:dyDescent="0.25">
      <c r="A113" s="10"/>
      <c r="B113" s="10"/>
      <c r="C113" s="10" t="s">
        <v>256</v>
      </c>
      <c r="D113" s="12"/>
      <c r="E113" s="11"/>
      <c r="F113" s="14">
        <v>294.20999999999998</v>
      </c>
      <c r="G113" s="15" t="s">
        <v>13</v>
      </c>
      <c r="H113" s="11">
        <v>1</v>
      </c>
      <c r="I113" s="14">
        <v>706.1</v>
      </c>
      <c r="J113" s="11">
        <v>57.05</v>
      </c>
      <c r="K113" s="14">
        <v>40283.01</v>
      </c>
    </row>
    <row r="114" spans="1:11" ht="14.5" x14ac:dyDescent="0.25">
      <c r="A114" s="10"/>
      <c r="B114" s="10"/>
      <c r="C114" s="10" t="s">
        <v>257</v>
      </c>
      <c r="D114" s="12"/>
      <c r="E114" s="11"/>
      <c r="F114" s="14">
        <v>4.05</v>
      </c>
      <c r="G114" s="15" t="s">
        <v>13</v>
      </c>
      <c r="H114" s="11">
        <v>1</v>
      </c>
      <c r="I114" s="14">
        <v>9.7200000000000006</v>
      </c>
      <c r="J114" s="11">
        <v>11.41</v>
      </c>
      <c r="K114" s="14">
        <v>110.91</v>
      </c>
    </row>
    <row r="115" spans="1:11" ht="14.5" x14ac:dyDescent="0.25">
      <c r="A115" s="10"/>
      <c r="B115" s="10"/>
      <c r="C115" s="10" t="s">
        <v>259</v>
      </c>
      <c r="D115" s="12"/>
      <c r="E115" s="11"/>
      <c r="F115" s="14">
        <v>19.420000000000002</v>
      </c>
      <c r="G115" s="15" t="s">
        <v>1</v>
      </c>
      <c r="H115" s="11">
        <v>1</v>
      </c>
      <c r="I115" s="14">
        <v>38.840000000000003</v>
      </c>
      <c r="J115" s="11">
        <v>6.38</v>
      </c>
      <c r="K115" s="14">
        <v>247.8</v>
      </c>
    </row>
    <row r="116" spans="1:11" ht="42" x14ac:dyDescent="0.25">
      <c r="A116" s="10" t="s">
        <v>979</v>
      </c>
      <c r="B116" s="10" t="s">
        <v>93</v>
      </c>
      <c r="C116" s="10" t="s">
        <v>94</v>
      </c>
      <c r="D116" s="12" t="s">
        <v>52</v>
      </c>
      <c r="E116" s="11">
        <v>204</v>
      </c>
      <c r="F116" s="14">
        <v>3.45</v>
      </c>
      <c r="G116" s="15" t="s">
        <v>1</v>
      </c>
      <c r="H116" s="11">
        <v>1</v>
      </c>
      <c r="I116" s="14">
        <v>703.8</v>
      </c>
      <c r="J116" s="11">
        <v>3.85</v>
      </c>
      <c r="K116" s="14">
        <v>2709.63</v>
      </c>
    </row>
    <row r="117" spans="1:11" ht="42" x14ac:dyDescent="0.25">
      <c r="A117" s="10" t="s">
        <v>980</v>
      </c>
      <c r="B117" s="10" t="s">
        <v>2070</v>
      </c>
      <c r="C117" s="10" t="s">
        <v>919</v>
      </c>
      <c r="D117" s="12" t="s">
        <v>88</v>
      </c>
      <c r="E117" s="11">
        <v>600</v>
      </c>
      <c r="F117" s="14">
        <v>396.59</v>
      </c>
      <c r="G117" s="15" t="s">
        <v>1</v>
      </c>
      <c r="H117" s="11">
        <v>1</v>
      </c>
      <c r="I117" s="14">
        <v>237954</v>
      </c>
      <c r="J117" s="11">
        <v>4.05</v>
      </c>
      <c r="K117" s="14">
        <v>963713.7</v>
      </c>
    </row>
    <row r="118" spans="1:11" ht="56" x14ac:dyDescent="0.25">
      <c r="A118" s="10" t="s">
        <v>981</v>
      </c>
      <c r="B118" s="10" t="s">
        <v>2071</v>
      </c>
      <c r="C118" s="10" t="s">
        <v>921</v>
      </c>
      <c r="D118" s="12" t="s">
        <v>38</v>
      </c>
      <c r="E118" s="11">
        <v>10</v>
      </c>
      <c r="F118" s="14">
        <v>2.4700000000000002</v>
      </c>
      <c r="G118" s="15" t="s">
        <v>1</v>
      </c>
      <c r="H118" s="11">
        <v>1</v>
      </c>
      <c r="I118" s="14">
        <v>24.7</v>
      </c>
      <c r="J118" s="11">
        <v>1.23</v>
      </c>
      <c r="K118" s="14">
        <v>30.38</v>
      </c>
    </row>
    <row r="119" spans="1:11" ht="112" x14ac:dyDescent="0.25">
      <c r="A119" s="10" t="s">
        <v>982</v>
      </c>
      <c r="B119" s="10" t="s">
        <v>987</v>
      </c>
      <c r="C119" s="10" t="s">
        <v>983</v>
      </c>
      <c r="D119" s="12" t="s">
        <v>38</v>
      </c>
      <c r="E119" s="11">
        <v>4</v>
      </c>
      <c r="F119" s="14">
        <v>131.71</v>
      </c>
      <c r="G119" s="15" t="s">
        <v>1</v>
      </c>
      <c r="H119" s="11">
        <v>1</v>
      </c>
      <c r="I119" s="14">
        <v>526.84</v>
      </c>
      <c r="J119" s="11">
        <v>5.15</v>
      </c>
      <c r="K119" s="14">
        <v>2713.23</v>
      </c>
    </row>
    <row r="120" spans="1:11" ht="14.5" x14ac:dyDescent="0.25">
      <c r="A120" s="10"/>
      <c r="B120" s="10"/>
      <c r="C120" s="10" t="s">
        <v>260</v>
      </c>
      <c r="D120" s="12" t="s">
        <v>261</v>
      </c>
      <c r="E120" s="11">
        <v>90</v>
      </c>
      <c r="F120" s="14"/>
      <c r="G120" s="13"/>
      <c r="H120" s="11"/>
      <c r="I120" s="14">
        <v>635.49</v>
      </c>
      <c r="J120" s="11">
        <v>90</v>
      </c>
      <c r="K120" s="14">
        <v>36254.71</v>
      </c>
    </row>
    <row r="121" spans="1:11" ht="14.5" x14ac:dyDescent="0.25">
      <c r="A121" s="10"/>
      <c r="B121" s="10"/>
      <c r="C121" s="10" t="s">
        <v>262</v>
      </c>
      <c r="D121" s="12" t="s">
        <v>261</v>
      </c>
      <c r="E121" s="11">
        <v>46</v>
      </c>
      <c r="F121" s="14"/>
      <c r="G121" s="13"/>
      <c r="H121" s="11"/>
      <c r="I121" s="14">
        <v>324.81</v>
      </c>
      <c r="J121" s="11">
        <v>46</v>
      </c>
      <c r="K121" s="14">
        <v>18530.18</v>
      </c>
    </row>
    <row r="122" spans="1:11" ht="14.5" x14ac:dyDescent="0.25">
      <c r="A122" s="17"/>
      <c r="B122" s="17"/>
      <c r="C122" s="17" t="s">
        <v>263</v>
      </c>
      <c r="D122" s="18" t="s">
        <v>264</v>
      </c>
      <c r="E122" s="19">
        <v>24.76</v>
      </c>
      <c r="F122" s="20"/>
      <c r="G122" s="21" t="s">
        <v>13</v>
      </c>
      <c r="H122" s="19">
        <v>1</v>
      </c>
      <c r="I122" s="20">
        <v>59.42</v>
      </c>
      <c r="J122" s="19"/>
      <c r="K122" s="20"/>
    </row>
    <row r="123" spans="1:11" ht="14" x14ac:dyDescent="0.25">
      <c r="C123" s="22" t="s">
        <v>265</v>
      </c>
      <c r="H123" s="143">
        <v>240924.3</v>
      </c>
      <c r="I123" s="143"/>
      <c r="J123" s="143">
        <v>1064593.55</v>
      </c>
      <c r="K123" s="143"/>
    </row>
    <row r="124" spans="1:11" ht="14" x14ac:dyDescent="0.25">
      <c r="C124" s="22" t="s">
        <v>267</v>
      </c>
      <c r="H124" s="141">
        <v>240924.3</v>
      </c>
      <c r="I124" s="141"/>
      <c r="J124" s="141">
        <v>1064593.55</v>
      </c>
      <c r="K124" s="141"/>
    </row>
    <row r="126" spans="1:11" ht="79" x14ac:dyDescent="0.25">
      <c r="A126" s="10">
        <v>16</v>
      </c>
      <c r="B126" s="10" t="s">
        <v>936</v>
      </c>
      <c r="C126" s="10" t="s">
        <v>984</v>
      </c>
      <c r="D126" s="12" t="s">
        <v>50</v>
      </c>
      <c r="E126" s="11">
        <v>0.03</v>
      </c>
      <c r="F126" s="14"/>
      <c r="G126" s="13"/>
      <c r="H126" s="11"/>
      <c r="I126" s="14"/>
      <c r="J126" s="11"/>
      <c r="K126" s="14"/>
    </row>
    <row r="127" spans="1:11" x14ac:dyDescent="0.25">
      <c r="C127" s="23" t="s">
        <v>988</v>
      </c>
    </row>
    <row r="128" spans="1:11" ht="14.5" x14ac:dyDescent="0.25">
      <c r="A128" s="10"/>
      <c r="B128" s="10"/>
      <c r="C128" s="10" t="s">
        <v>256</v>
      </c>
      <c r="D128" s="12"/>
      <c r="E128" s="11"/>
      <c r="F128" s="14">
        <v>253.79</v>
      </c>
      <c r="G128" s="15" t="s">
        <v>13</v>
      </c>
      <c r="H128" s="11">
        <v>1</v>
      </c>
      <c r="I128" s="14">
        <v>9.14</v>
      </c>
      <c r="J128" s="11">
        <v>57.05</v>
      </c>
      <c r="K128" s="14">
        <v>521.44000000000005</v>
      </c>
    </row>
    <row r="129" spans="1:11" ht="14.5" x14ac:dyDescent="0.25">
      <c r="A129" s="10"/>
      <c r="B129" s="10"/>
      <c r="C129" s="10" t="s">
        <v>257</v>
      </c>
      <c r="D129" s="12"/>
      <c r="E129" s="11"/>
      <c r="F129" s="14">
        <v>81.7</v>
      </c>
      <c r="G129" s="15" t="s">
        <v>13</v>
      </c>
      <c r="H129" s="11">
        <v>1</v>
      </c>
      <c r="I129" s="14">
        <v>2.94</v>
      </c>
      <c r="J129" s="11">
        <v>16.010000000000002</v>
      </c>
      <c r="K129" s="14">
        <v>47.07</v>
      </c>
    </row>
    <row r="130" spans="1:11" ht="14.5" x14ac:dyDescent="0.25">
      <c r="A130" s="10"/>
      <c r="B130" s="10"/>
      <c r="C130" s="10" t="s">
        <v>258</v>
      </c>
      <c r="D130" s="12"/>
      <c r="E130" s="11"/>
      <c r="F130" s="14">
        <v>8.4600000000000009</v>
      </c>
      <c r="G130" s="15" t="s">
        <v>13</v>
      </c>
      <c r="H130" s="11">
        <v>1</v>
      </c>
      <c r="I130" s="16">
        <v>0.3</v>
      </c>
      <c r="J130" s="11">
        <v>57.05</v>
      </c>
      <c r="K130" s="16">
        <v>17.12</v>
      </c>
    </row>
    <row r="131" spans="1:11" ht="14.5" x14ac:dyDescent="0.25">
      <c r="A131" s="10"/>
      <c r="B131" s="10"/>
      <c r="C131" s="10" t="s">
        <v>259</v>
      </c>
      <c r="D131" s="12"/>
      <c r="E131" s="11"/>
      <c r="F131" s="14">
        <v>1690.29</v>
      </c>
      <c r="G131" s="15" t="s">
        <v>1</v>
      </c>
      <c r="H131" s="11">
        <v>1</v>
      </c>
      <c r="I131" s="14">
        <v>50.71</v>
      </c>
      <c r="J131" s="11">
        <v>4.84</v>
      </c>
      <c r="K131" s="14">
        <v>245.44</v>
      </c>
    </row>
    <row r="132" spans="1:11" ht="42" x14ac:dyDescent="0.25">
      <c r="A132" s="10" t="s">
        <v>655</v>
      </c>
      <c r="B132" s="10" t="s">
        <v>963</v>
      </c>
      <c r="C132" s="10" t="s">
        <v>938</v>
      </c>
      <c r="D132" s="12" t="s">
        <v>52</v>
      </c>
      <c r="E132" s="11">
        <v>3.09</v>
      </c>
      <c r="F132" s="14">
        <v>37.97</v>
      </c>
      <c r="G132" s="15" t="s">
        <v>1</v>
      </c>
      <c r="H132" s="11">
        <v>1</v>
      </c>
      <c r="I132" s="14">
        <v>117.33</v>
      </c>
      <c r="J132" s="11">
        <v>4.03</v>
      </c>
      <c r="K132" s="14">
        <v>472.84</v>
      </c>
    </row>
    <row r="133" spans="1:11" ht="14.5" x14ac:dyDescent="0.25">
      <c r="A133" s="10"/>
      <c r="B133" s="10"/>
      <c r="C133" s="10" t="s">
        <v>260</v>
      </c>
      <c r="D133" s="12" t="s">
        <v>261</v>
      </c>
      <c r="E133" s="11">
        <v>97</v>
      </c>
      <c r="F133" s="14"/>
      <c r="G133" s="13"/>
      <c r="H133" s="11"/>
      <c r="I133" s="14">
        <v>9.16</v>
      </c>
      <c r="J133" s="11">
        <v>97</v>
      </c>
      <c r="K133" s="14">
        <v>522.4</v>
      </c>
    </row>
    <row r="134" spans="1:11" ht="14.5" x14ac:dyDescent="0.25">
      <c r="A134" s="10"/>
      <c r="B134" s="10"/>
      <c r="C134" s="10" t="s">
        <v>262</v>
      </c>
      <c r="D134" s="12" t="s">
        <v>261</v>
      </c>
      <c r="E134" s="11">
        <v>51</v>
      </c>
      <c r="F134" s="14"/>
      <c r="G134" s="13"/>
      <c r="H134" s="11"/>
      <c r="I134" s="14">
        <v>4.8099999999999996</v>
      </c>
      <c r="J134" s="11">
        <v>51</v>
      </c>
      <c r="K134" s="14">
        <v>274.67</v>
      </c>
    </row>
    <row r="135" spans="1:11" ht="14.5" x14ac:dyDescent="0.25">
      <c r="A135" s="17"/>
      <c r="B135" s="17"/>
      <c r="C135" s="17" t="s">
        <v>263</v>
      </c>
      <c r="D135" s="18" t="s">
        <v>264</v>
      </c>
      <c r="E135" s="19">
        <v>20.6</v>
      </c>
      <c r="F135" s="20"/>
      <c r="G135" s="21" t="s">
        <v>13</v>
      </c>
      <c r="H135" s="19">
        <v>1</v>
      </c>
      <c r="I135" s="20">
        <v>0.74</v>
      </c>
      <c r="J135" s="19"/>
      <c r="K135" s="20"/>
    </row>
    <row r="136" spans="1:11" ht="14" x14ac:dyDescent="0.25">
      <c r="C136" s="22" t="s">
        <v>265</v>
      </c>
      <c r="H136" s="143">
        <v>194.09</v>
      </c>
      <c r="I136" s="143"/>
      <c r="J136" s="143">
        <v>2083.86</v>
      </c>
      <c r="K136" s="143"/>
    </row>
    <row r="137" spans="1:11" ht="14" x14ac:dyDescent="0.25">
      <c r="C137" s="22" t="s">
        <v>267</v>
      </c>
      <c r="H137" s="141">
        <v>194.09</v>
      </c>
      <c r="I137" s="141"/>
      <c r="J137" s="141">
        <v>2083.86</v>
      </c>
      <c r="K137" s="141"/>
    </row>
    <row r="139" spans="1:11" ht="28" x14ac:dyDescent="0.25">
      <c r="A139" s="17">
        <v>17</v>
      </c>
      <c r="B139" s="17" t="s">
        <v>964</v>
      </c>
      <c r="C139" s="17" t="s">
        <v>940</v>
      </c>
      <c r="D139" s="18" t="s">
        <v>9</v>
      </c>
      <c r="E139" s="19">
        <v>3</v>
      </c>
      <c r="F139" s="20">
        <v>42.53</v>
      </c>
      <c r="G139" s="21" t="s">
        <v>1</v>
      </c>
      <c r="H139" s="19">
        <v>1</v>
      </c>
      <c r="I139" s="20">
        <v>127.59</v>
      </c>
      <c r="J139" s="19">
        <v>4.22</v>
      </c>
      <c r="K139" s="20">
        <v>538.42999999999995</v>
      </c>
    </row>
    <row r="140" spans="1:11" ht="14" x14ac:dyDescent="0.25">
      <c r="C140" s="22" t="s">
        <v>267</v>
      </c>
      <c r="H140" s="143">
        <v>127.59</v>
      </c>
      <c r="I140" s="143"/>
      <c r="J140" s="143">
        <v>538.42999999999995</v>
      </c>
      <c r="K140" s="143"/>
    </row>
    <row r="142" spans="1:11" ht="27" x14ac:dyDescent="0.25">
      <c r="A142" s="17">
        <v>18</v>
      </c>
      <c r="B142" s="17" t="s">
        <v>409</v>
      </c>
      <c r="C142" s="17" t="s">
        <v>1980</v>
      </c>
      <c r="D142" s="18" t="s">
        <v>52</v>
      </c>
      <c r="E142" s="19">
        <v>183.6</v>
      </c>
      <c r="F142" s="20">
        <v>4.49</v>
      </c>
      <c r="G142" s="21" t="s">
        <v>1</v>
      </c>
      <c r="H142" s="19">
        <v>1</v>
      </c>
      <c r="I142" s="20">
        <v>824.36</v>
      </c>
      <c r="J142" s="19">
        <v>10.18</v>
      </c>
      <c r="K142" s="20">
        <v>8391.98</v>
      </c>
    </row>
    <row r="143" spans="1:11" ht="14" x14ac:dyDescent="0.25">
      <c r="C143" s="22" t="s">
        <v>267</v>
      </c>
      <c r="H143" s="143">
        <v>824.36</v>
      </c>
      <c r="I143" s="143"/>
      <c r="J143" s="143">
        <v>8391.98</v>
      </c>
      <c r="K143" s="143"/>
    </row>
    <row r="145" spans="1:11" ht="27" x14ac:dyDescent="0.25">
      <c r="A145" s="17">
        <v>19</v>
      </c>
      <c r="B145" s="17" t="s">
        <v>409</v>
      </c>
      <c r="C145" s="17" t="s">
        <v>1979</v>
      </c>
      <c r="D145" s="18" t="s">
        <v>52</v>
      </c>
      <c r="E145" s="19">
        <v>20.399999999999999</v>
      </c>
      <c r="F145" s="20">
        <v>3.74</v>
      </c>
      <c r="G145" s="21" t="s">
        <v>1</v>
      </c>
      <c r="H145" s="19">
        <v>1</v>
      </c>
      <c r="I145" s="20">
        <v>76.3</v>
      </c>
      <c r="J145" s="19">
        <v>10.18</v>
      </c>
      <c r="K145" s="20">
        <v>776.73</v>
      </c>
    </row>
    <row r="146" spans="1:11" ht="14" x14ac:dyDescent="0.25">
      <c r="C146" s="22" t="s">
        <v>267</v>
      </c>
      <c r="H146" s="143">
        <v>76.3</v>
      </c>
      <c r="I146" s="143"/>
      <c r="J146" s="143">
        <v>776.73</v>
      </c>
      <c r="K146" s="143"/>
    </row>
    <row r="149" spans="1:11" ht="14" x14ac:dyDescent="0.3">
      <c r="A149" s="140" t="s">
        <v>957</v>
      </c>
      <c r="B149" s="140"/>
      <c r="C149" s="140"/>
      <c r="D149" s="140"/>
      <c r="E149" s="140"/>
      <c r="F149" s="140"/>
      <c r="G149" s="140"/>
      <c r="H149" s="141">
        <v>242146.64</v>
      </c>
      <c r="I149" s="142"/>
      <c r="J149" s="141">
        <v>1076384.55</v>
      </c>
      <c r="K149" s="142"/>
    </row>
    <row r="151" spans="1:11" ht="14" x14ac:dyDescent="0.3">
      <c r="A151" s="140" t="s">
        <v>435</v>
      </c>
      <c r="B151" s="140"/>
      <c r="C151" s="140"/>
      <c r="D151" s="140"/>
      <c r="E151" s="140"/>
      <c r="F151" s="140"/>
      <c r="G151" s="140"/>
      <c r="H151" s="141">
        <v>275451.08</v>
      </c>
      <c r="I151" s="142"/>
      <c r="J151" s="141">
        <v>1473802.57</v>
      </c>
      <c r="K151" s="142"/>
    </row>
  </sheetData>
  <mergeCells count="78">
    <mergeCell ref="A9:K9"/>
    <mergeCell ref="J2:K2"/>
    <mergeCell ref="A3:K3"/>
    <mergeCell ref="A4:K4"/>
    <mergeCell ref="A6:K6"/>
    <mergeCell ref="A8:K8"/>
    <mergeCell ref="E17:H17"/>
    <mergeCell ref="E18:H18"/>
    <mergeCell ref="A21:K21"/>
    <mergeCell ref="E13:H13"/>
    <mergeCell ref="E14:H14"/>
    <mergeCell ref="E15:H15"/>
    <mergeCell ref="E16:H16"/>
    <mergeCell ref="H35:I35"/>
    <mergeCell ref="J35:K35"/>
    <mergeCell ref="H44:I44"/>
    <mergeCell ref="J44:K44"/>
    <mergeCell ref="A24:K24"/>
    <mergeCell ref="H31:I31"/>
    <mergeCell ref="J31:K31"/>
    <mergeCell ref="H32:I32"/>
    <mergeCell ref="J32:K32"/>
    <mergeCell ref="H45:I45"/>
    <mergeCell ref="J45:K45"/>
    <mergeCell ref="H48:I48"/>
    <mergeCell ref="J48:K48"/>
    <mergeCell ref="H56:I56"/>
    <mergeCell ref="J56:K56"/>
    <mergeCell ref="H63:I63"/>
    <mergeCell ref="J63:K63"/>
    <mergeCell ref="H72:I72"/>
    <mergeCell ref="J72:K72"/>
    <mergeCell ref="H57:I57"/>
    <mergeCell ref="J57:K57"/>
    <mergeCell ref="H60:I60"/>
    <mergeCell ref="J60:K60"/>
    <mergeCell ref="H73:I73"/>
    <mergeCell ref="J73:K73"/>
    <mergeCell ref="H76:I76"/>
    <mergeCell ref="J76:K76"/>
    <mergeCell ref="H84:I84"/>
    <mergeCell ref="J84:K84"/>
    <mergeCell ref="H91:I91"/>
    <mergeCell ref="J91:K91"/>
    <mergeCell ref="H101:I101"/>
    <mergeCell ref="J101:K101"/>
    <mergeCell ref="H85:I85"/>
    <mergeCell ref="J85:K85"/>
    <mergeCell ref="H88:I88"/>
    <mergeCell ref="J88:K88"/>
    <mergeCell ref="H102:I102"/>
    <mergeCell ref="J102:K102"/>
    <mergeCell ref="H105:I105"/>
    <mergeCell ref="J105:K105"/>
    <mergeCell ref="A108:G108"/>
    <mergeCell ref="H108:I108"/>
    <mergeCell ref="J108:K108"/>
    <mergeCell ref="H136:I136"/>
    <mergeCell ref="J136:K136"/>
    <mergeCell ref="H137:I137"/>
    <mergeCell ref="J137:K137"/>
    <mergeCell ref="A110:K110"/>
    <mergeCell ref="H123:I123"/>
    <mergeCell ref="J123:K123"/>
    <mergeCell ref="H124:I124"/>
    <mergeCell ref="J124:K124"/>
    <mergeCell ref="H140:I140"/>
    <mergeCell ref="J140:K140"/>
    <mergeCell ref="H143:I143"/>
    <mergeCell ref="J143:K143"/>
    <mergeCell ref="H146:I146"/>
    <mergeCell ref="J146:K146"/>
    <mergeCell ref="A151:G151"/>
    <mergeCell ref="H151:I151"/>
    <mergeCell ref="J151:K151"/>
    <mergeCell ref="A149:G149"/>
    <mergeCell ref="H149:I149"/>
    <mergeCell ref="J149:K149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8578-942B-4190-AF45-A1915B40E286}">
  <dimension ref="A1:K344"/>
  <sheetViews>
    <sheetView topLeftCell="A330" zoomScaleNormal="100" workbookViewId="0">
      <selection activeCell="C72" sqref="C72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2" style="27" customWidth="1"/>
    <col min="7" max="7" width="8.54296875" style="27" bestFit="1" customWidth="1"/>
    <col min="8" max="8" width="9.26953125" style="27" bestFit="1" customWidth="1"/>
    <col min="9" max="9" width="10.1796875" style="27" bestFit="1" customWidth="1"/>
    <col min="10" max="10" width="9.26953125" style="27" bestFit="1" customWidth="1"/>
    <col min="11" max="11" width="13.453125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30.75" customHeight="1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1016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1031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84.65</v>
      </c>
      <c r="J13" s="5">
        <v>1286.6300000000001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8.52</v>
      </c>
      <c r="J14" s="7">
        <v>86.71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22.12</v>
      </c>
      <c r="J15" s="7">
        <v>792.76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54.01</v>
      </c>
      <c r="J16" s="7">
        <v>407.16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5.34</v>
      </c>
      <c r="J17" s="7">
        <v>304.39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419.05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5.2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1017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990</v>
      </c>
      <c r="C25" s="10" t="s">
        <v>991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34.549999999999997</v>
      </c>
      <c r="G26" s="15" t="s">
        <v>13</v>
      </c>
      <c r="H26" s="11">
        <v>1</v>
      </c>
      <c r="I26" s="14">
        <v>41.46</v>
      </c>
      <c r="J26" s="11">
        <v>57.05</v>
      </c>
      <c r="K26" s="14">
        <v>2365.29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26.59</v>
      </c>
      <c r="G27" s="15" t="s">
        <v>13</v>
      </c>
      <c r="H27" s="11">
        <v>1</v>
      </c>
      <c r="I27" s="14">
        <v>31.91</v>
      </c>
      <c r="J27" s="11">
        <v>17.45</v>
      </c>
      <c r="K27" s="14">
        <v>556.83000000000004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4.04</v>
      </c>
      <c r="G28" s="15" t="s">
        <v>13</v>
      </c>
      <c r="H28" s="11">
        <v>1</v>
      </c>
      <c r="I28" s="16">
        <v>4.8499999999999996</v>
      </c>
      <c r="J28" s="11">
        <v>57.05</v>
      </c>
      <c r="K28" s="16">
        <v>276.69</v>
      </c>
    </row>
    <row r="29" spans="1:11" ht="14.5" x14ac:dyDescent="0.25">
      <c r="A29" s="10"/>
      <c r="B29" s="10"/>
      <c r="C29" s="10" t="s">
        <v>260</v>
      </c>
      <c r="D29" s="12" t="s">
        <v>261</v>
      </c>
      <c r="E29" s="11">
        <v>90</v>
      </c>
      <c r="F29" s="14"/>
      <c r="G29" s="13"/>
      <c r="H29" s="11"/>
      <c r="I29" s="14">
        <v>41.68</v>
      </c>
      <c r="J29" s="11">
        <v>90</v>
      </c>
      <c r="K29" s="14">
        <v>2377.7800000000002</v>
      </c>
    </row>
    <row r="30" spans="1:11" ht="14.5" x14ac:dyDescent="0.25">
      <c r="A30" s="10"/>
      <c r="B30" s="10"/>
      <c r="C30" s="10" t="s">
        <v>262</v>
      </c>
      <c r="D30" s="12" t="s">
        <v>261</v>
      </c>
      <c r="E30" s="11">
        <v>46</v>
      </c>
      <c r="F30" s="14"/>
      <c r="G30" s="13"/>
      <c r="H30" s="11"/>
      <c r="I30" s="14">
        <v>21.3</v>
      </c>
      <c r="J30" s="11">
        <v>46</v>
      </c>
      <c r="K30" s="14">
        <v>1215.31</v>
      </c>
    </row>
    <row r="31" spans="1:11" ht="14.5" x14ac:dyDescent="0.25">
      <c r="A31" s="17"/>
      <c r="B31" s="17"/>
      <c r="C31" s="17" t="s">
        <v>263</v>
      </c>
      <c r="D31" s="18" t="s">
        <v>264</v>
      </c>
      <c r="E31" s="19">
        <v>3.09</v>
      </c>
      <c r="F31" s="20"/>
      <c r="G31" s="21" t="s">
        <v>13</v>
      </c>
      <c r="H31" s="19">
        <v>1</v>
      </c>
      <c r="I31" s="20">
        <v>3.71</v>
      </c>
      <c r="J31" s="19"/>
      <c r="K31" s="20"/>
    </row>
    <row r="32" spans="1:11" ht="14" x14ac:dyDescent="0.25">
      <c r="C32" s="22" t="s">
        <v>265</v>
      </c>
      <c r="H32" s="143">
        <v>136.35</v>
      </c>
      <c r="I32" s="143"/>
      <c r="J32" s="143">
        <v>6515.21</v>
      </c>
      <c r="K32" s="143"/>
    </row>
    <row r="33" spans="1:11" ht="14" x14ac:dyDescent="0.25">
      <c r="C33" s="22" t="s">
        <v>267</v>
      </c>
      <c r="H33" s="141">
        <v>136.35</v>
      </c>
      <c r="I33" s="141"/>
      <c r="J33" s="141">
        <v>6515.21</v>
      </c>
      <c r="K33" s="141"/>
    </row>
    <row r="35" spans="1:11" ht="82" x14ac:dyDescent="0.25">
      <c r="A35" s="38">
        <v>2</v>
      </c>
      <c r="B35" s="38" t="s">
        <v>409</v>
      </c>
      <c r="C35" s="38" t="s">
        <v>1982</v>
      </c>
      <c r="D35" s="39" t="s">
        <v>11</v>
      </c>
      <c r="E35" s="40">
        <v>1</v>
      </c>
      <c r="F35" s="41">
        <v>9679.34</v>
      </c>
      <c r="G35" s="42" t="s">
        <v>1</v>
      </c>
      <c r="H35" s="40">
        <v>1</v>
      </c>
      <c r="I35" s="41">
        <v>9679.34</v>
      </c>
      <c r="J35" s="40">
        <v>7.54</v>
      </c>
      <c r="K35" s="41">
        <v>72982.22</v>
      </c>
    </row>
    <row r="36" spans="1:11" ht="14" x14ac:dyDescent="0.25">
      <c r="A36" s="43"/>
      <c r="B36" s="43"/>
      <c r="C36" s="44" t="s">
        <v>267</v>
      </c>
      <c r="D36" s="43"/>
      <c r="E36" s="43"/>
      <c r="F36" s="43"/>
      <c r="G36" s="43"/>
      <c r="H36" s="156">
        <v>9679.34</v>
      </c>
      <c r="I36" s="156"/>
      <c r="J36" s="156">
        <v>72982.22</v>
      </c>
      <c r="K36" s="156"/>
    </row>
    <row r="37" spans="1:1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</row>
    <row r="38" spans="1:11" ht="54" x14ac:dyDescent="0.25">
      <c r="A38" s="38">
        <v>3</v>
      </c>
      <c r="B38" s="38" t="s">
        <v>409</v>
      </c>
      <c r="C38" s="38" t="s">
        <v>1981</v>
      </c>
      <c r="D38" s="39" t="s">
        <v>11</v>
      </c>
      <c r="E38" s="40">
        <v>1</v>
      </c>
      <c r="F38" s="41">
        <v>1654.39</v>
      </c>
      <c r="G38" s="42" t="s">
        <v>1</v>
      </c>
      <c r="H38" s="40">
        <v>1</v>
      </c>
      <c r="I38" s="41">
        <v>1654.39</v>
      </c>
      <c r="J38" s="40">
        <v>7.54</v>
      </c>
      <c r="K38" s="41">
        <v>12474.1</v>
      </c>
    </row>
    <row r="39" spans="1:11" ht="14" x14ac:dyDescent="0.25">
      <c r="A39" s="43"/>
      <c r="B39" s="43"/>
      <c r="C39" s="44" t="s">
        <v>267</v>
      </c>
      <c r="D39" s="43"/>
      <c r="E39" s="43"/>
      <c r="F39" s="43"/>
      <c r="G39" s="43"/>
      <c r="H39" s="156">
        <v>1654.39</v>
      </c>
      <c r="I39" s="156"/>
      <c r="J39" s="156">
        <v>12474.1</v>
      </c>
      <c r="K39" s="156"/>
    </row>
    <row r="41" spans="1:11" ht="79" x14ac:dyDescent="0.25">
      <c r="A41" s="10">
        <v>4</v>
      </c>
      <c r="B41" s="10" t="s">
        <v>912</v>
      </c>
      <c r="C41" s="10" t="s">
        <v>913</v>
      </c>
      <c r="D41" s="12" t="s">
        <v>24</v>
      </c>
      <c r="E41" s="11">
        <v>1</v>
      </c>
      <c r="F41" s="14"/>
      <c r="G41" s="13"/>
      <c r="H41" s="11"/>
      <c r="I41" s="14"/>
      <c r="J41" s="11"/>
      <c r="K41" s="14"/>
    </row>
    <row r="42" spans="1:11" ht="14.5" x14ac:dyDescent="0.25">
      <c r="A42" s="10"/>
      <c r="B42" s="10"/>
      <c r="C42" s="10" t="s">
        <v>256</v>
      </c>
      <c r="D42" s="12"/>
      <c r="E42" s="11"/>
      <c r="F42" s="14">
        <v>40.17</v>
      </c>
      <c r="G42" s="15" t="s">
        <v>13</v>
      </c>
      <c r="H42" s="11">
        <v>1</v>
      </c>
      <c r="I42" s="14">
        <v>48.2</v>
      </c>
      <c r="J42" s="11">
        <v>57.05</v>
      </c>
      <c r="K42" s="14">
        <v>2749.81</v>
      </c>
    </row>
    <row r="43" spans="1:11" ht="14.5" x14ac:dyDescent="0.25">
      <c r="A43" s="10"/>
      <c r="B43" s="10"/>
      <c r="C43" s="10" t="s">
        <v>259</v>
      </c>
      <c r="D43" s="12"/>
      <c r="E43" s="11"/>
      <c r="F43" s="14">
        <v>2.34</v>
      </c>
      <c r="G43" s="15" t="s">
        <v>1</v>
      </c>
      <c r="H43" s="11">
        <v>1</v>
      </c>
      <c r="I43" s="14">
        <v>2.34</v>
      </c>
      <c r="J43" s="11">
        <v>9.91</v>
      </c>
      <c r="K43" s="14">
        <v>23.19</v>
      </c>
    </row>
    <row r="44" spans="1:11" ht="14.5" x14ac:dyDescent="0.25">
      <c r="A44" s="10"/>
      <c r="B44" s="10"/>
      <c r="C44" s="10" t="s">
        <v>260</v>
      </c>
      <c r="D44" s="12" t="s">
        <v>261</v>
      </c>
      <c r="E44" s="11">
        <v>90</v>
      </c>
      <c r="F44" s="14"/>
      <c r="G44" s="13"/>
      <c r="H44" s="11"/>
      <c r="I44" s="14">
        <v>43.38</v>
      </c>
      <c r="J44" s="11">
        <v>90</v>
      </c>
      <c r="K44" s="14">
        <v>2474.83</v>
      </c>
    </row>
    <row r="45" spans="1:11" ht="14.5" x14ac:dyDescent="0.25">
      <c r="A45" s="10"/>
      <c r="B45" s="10"/>
      <c r="C45" s="10" t="s">
        <v>262</v>
      </c>
      <c r="D45" s="12" t="s">
        <v>261</v>
      </c>
      <c r="E45" s="11">
        <v>46</v>
      </c>
      <c r="F45" s="14"/>
      <c r="G45" s="13"/>
      <c r="H45" s="11"/>
      <c r="I45" s="14">
        <v>22.17</v>
      </c>
      <c r="J45" s="11">
        <v>46</v>
      </c>
      <c r="K45" s="14">
        <v>1264.9100000000001</v>
      </c>
    </row>
    <row r="46" spans="1:11" ht="14.5" x14ac:dyDescent="0.25">
      <c r="A46" s="17"/>
      <c r="B46" s="17"/>
      <c r="C46" s="17" t="s">
        <v>263</v>
      </c>
      <c r="D46" s="18" t="s">
        <v>264</v>
      </c>
      <c r="E46" s="19">
        <v>3.18</v>
      </c>
      <c r="F46" s="20"/>
      <c r="G46" s="21" t="s">
        <v>13</v>
      </c>
      <c r="H46" s="19">
        <v>1</v>
      </c>
      <c r="I46" s="20">
        <v>3.82</v>
      </c>
      <c r="J46" s="19"/>
      <c r="K46" s="20"/>
    </row>
    <row r="47" spans="1:11" ht="14" x14ac:dyDescent="0.25">
      <c r="C47" s="22" t="s">
        <v>265</v>
      </c>
      <c r="H47" s="143">
        <v>116.09</v>
      </c>
      <c r="I47" s="143"/>
      <c r="J47" s="143">
        <v>6512.74</v>
      </c>
      <c r="K47" s="143"/>
    </row>
    <row r="48" spans="1:11" ht="14" x14ac:dyDescent="0.25">
      <c r="C48" s="22" t="s">
        <v>267</v>
      </c>
      <c r="H48" s="141">
        <v>116.09</v>
      </c>
      <c r="I48" s="141"/>
      <c r="J48" s="141">
        <v>6512.74</v>
      </c>
      <c r="K48" s="141"/>
    </row>
    <row r="50" spans="1:11" ht="54" x14ac:dyDescent="0.25">
      <c r="A50" s="38">
        <v>5</v>
      </c>
      <c r="B50" s="38" t="s">
        <v>409</v>
      </c>
      <c r="C50" s="38" t="s">
        <v>1983</v>
      </c>
      <c r="D50" s="39" t="s">
        <v>11</v>
      </c>
      <c r="E50" s="40">
        <v>1</v>
      </c>
      <c r="F50" s="41">
        <v>1083.57</v>
      </c>
      <c r="G50" s="42" t="s">
        <v>1</v>
      </c>
      <c r="H50" s="40">
        <v>1</v>
      </c>
      <c r="I50" s="41">
        <v>1083.57</v>
      </c>
      <c r="J50" s="40">
        <v>7.54</v>
      </c>
      <c r="K50" s="41">
        <v>8170.12</v>
      </c>
    </row>
    <row r="51" spans="1:11" ht="14" x14ac:dyDescent="0.25">
      <c r="A51" s="43"/>
      <c r="B51" s="43"/>
      <c r="C51" s="44" t="s">
        <v>267</v>
      </c>
      <c r="D51" s="43"/>
      <c r="E51" s="43"/>
      <c r="F51" s="43"/>
      <c r="G51" s="43"/>
      <c r="H51" s="156">
        <v>1083.57</v>
      </c>
      <c r="I51" s="156"/>
      <c r="J51" s="156">
        <v>8170.12</v>
      </c>
      <c r="K51" s="156"/>
    </row>
    <row r="52" spans="1:11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</row>
    <row r="53" spans="1:11" ht="27" x14ac:dyDescent="0.25">
      <c r="A53" s="38">
        <v>6</v>
      </c>
      <c r="B53" s="38" t="s">
        <v>409</v>
      </c>
      <c r="C53" s="38" t="s">
        <v>1984</v>
      </c>
      <c r="D53" s="39" t="s">
        <v>11</v>
      </c>
      <c r="E53" s="40">
        <v>2</v>
      </c>
      <c r="F53" s="41">
        <v>11.6</v>
      </c>
      <c r="G53" s="42" t="s">
        <v>1</v>
      </c>
      <c r="H53" s="40">
        <v>1</v>
      </c>
      <c r="I53" s="41">
        <v>23.2</v>
      </c>
      <c r="J53" s="40">
        <v>10.18</v>
      </c>
      <c r="K53" s="41">
        <v>236.18</v>
      </c>
    </row>
    <row r="54" spans="1:11" ht="14" x14ac:dyDescent="0.25">
      <c r="A54" s="43"/>
      <c r="B54" s="43"/>
      <c r="C54" s="44" t="s">
        <v>267</v>
      </c>
      <c r="D54" s="43"/>
      <c r="E54" s="43"/>
      <c r="F54" s="43"/>
      <c r="G54" s="43"/>
      <c r="H54" s="156">
        <v>23.2</v>
      </c>
      <c r="I54" s="156"/>
      <c r="J54" s="156">
        <v>236.18</v>
      </c>
      <c r="K54" s="156"/>
    </row>
    <row r="57" spans="1:11" ht="14" x14ac:dyDescent="0.3">
      <c r="A57" s="140" t="s">
        <v>1018</v>
      </c>
      <c r="B57" s="140"/>
      <c r="C57" s="140"/>
      <c r="D57" s="140"/>
      <c r="E57" s="140"/>
      <c r="F57" s="140"/>
      <c r="G57" s="140"/>
      <c r="H57" s="141">
        <v>12692.94</v>
      </c>
      <c r="I57" s="142"/>
      <c r="J57" s="141">
        <v>106890.57</v>
      </c>
      <c r="K57" s="142"/>
    </row>
    <row r="59" spans="1:11" ht="16.5" x14ac:dyDescent="0.25">
      <c r="A59" s="144" t="s">
        <v>1019</v>
      </c>
      <c r="B59" s="144"/>
      <c r="C59" s="144"/>
      <c r="D59" s="144"/>
      <c r="E59" s="144"/>
      <c r="F59" s="144"/>
      <c r="G59" s="144"/>
      <c r="H59" s="144"/>
      <c r="I59" s="144"/>
      <c r="J59" s="144"/>
      <c r="K59" s="144"/>
    </row>
    <row r="60" spans="1:11" ht="79" x14ac:dyDescent="0.25">
      <c r="A60" s="10">
        <v>7</v>
      </c>
      <c r="B60" s="10" t="s">
        <v>898</v>
      </c>
      <c r="C60" s="10" t="s">
        <v>899</v>
      </c>
      <c r="D60" s="12" t="s">
        <v>24</v>
      </c>
      <c r="E60" s="11">
        <v>1</v>
      </c>
      <c r="F60" s="14"/>
      <c r="G60" s="13"/>
      <c r="H60" s="11"/>
      <c r="I60" s="14"/>
      <c r="J60" s="11"/>
      <c r="K60" s="14"/>
    </row>
    <row r="61" spans="1:11" ht="14.5" x14ac:dyDescent="0.25">
      <c r="A61" s="10"/>
      <c r="B61" s="10"/>
      <c r="C61" s="10" t="s">
        <v>256</v>
      </c>
      <c r="D61" s="12"/>
      <c r="E61" s="11"/>
      <c r="F61" s="14">
        <v>95.04</v>
      </c>
      <c r="G61" s="15" t="s">
        <v>13</v>
      </c>
      <c r="H61" s="11">
        <v>1</v>
      </c>
      <c r="I61" s="14">
        <v>114.05</v>
      </c>
      <c r="J61" s="11">
        <v>57.05</v>
      </c>
      <c r="K61" s="14">
        <v>6506.55</v>
      </c>
    </row>
    <row r="62" spans="1:11" ht="14.5" x14ac:dyDescent="0.25">
      <c r="A62" s="10"/>
      <c r="B62" s="10"/>
      <c r="C62" s="10" t="s">
        <v>257</v>
      </c>
      <c r="D62" s="12"/>
      <c r="E62" s="11"/>
      <c r="F62" s="14">
        <v>0.06</v>
      </c>
      <c r="G62" s="15" t="s">
        <v>13</v>
      </c>
      <c r="H62" s="11">
        <v>1</v>
      </c>
      <c r="I62" s="14">
        <v>7.0000000000000007E-2</v>
      </c>
      <c r="J62" s="11">
        <v>18.829999999999998</v>
      </c>
      <c r="K62" s="14">
        <v>1.32</v>
      </c>
    </row>
    <row r="63" spans="1:11" ht="14.5" x14ac:dyDescent="0.25">
      <c r="A63" s="10"/>
      <c r="B63" s="10"/>
      <c r="C63" s="10" t="s">
        <v>258</v>
      </c>
      <c r="D63" s="12"/>
      <c r="E63" s="11"/>
      <c r="F63" s="14">
        <v>0.01</v>
      </c>
      <c r="G63" s="15" t="s">
        <v>13</v>
      </c>
      <c r="H63" s="11">
        <v>1</v>
      </c>
      <c r="I63" s="16">
        <v>0.01</v>
      </c>
      <c r="J63" s="11">
        <v>57.05</v>
      </c>
      <c r="K63" s="16">
        <v>0.56999999999999995</v>
      </c>
    </row>
    <row r="64" spans="1:11" ht="14.5" x14ac:dyDescent="0.25">
      <c r="A64" s="10"/>
      <c r="B64" s="10"/>
      <c r="C64" s="10" t="s">
        <v>259</v>
      </c>
      <c r="D64" s="12"/>
      <c r="E64" s="11"/>
      <c r="F64" s="14">
        <v>12.53</v>
      </c>
      <c r="G64" s="15" t="s">
        <v>1</v>
      </c>
      <c r="H64" s="11">
        <v>1</v>
      </c>
      <c r="I64" s="14">
        <v>12.53</v>
      </c>
      <c r="J64" s="11">
        <v>10.18</v>
      </c>
      <c r="K64" s="14">
        <v>127.56</v>
      </c>
    </row>
    <row r="65" spans="1:11" ht="14.5" x14ac:dyDescent="0.25">
      <c r="A65" s="10"/>
      <c r="B65" s="10"/>
      <c r="C65" s="10" t="s">
        <v>260</v>
      </c>
      <c r="D65" s="12" t="s">
        <v>261</v>
      </c>
      <c r="E65" s="11">
        <v>90</v>
      </c>
      <c r="F65" s="14"/>
      <c r="G65" s="13"/>
      <c r="H65" s="11"/>
      <c r="I65" s="14">
        <v>102.65</v>
      </c>
      <c r="J65" s="11">
        <v>90</v>
      </c>
      <c r="K65" s="14">
        <v>5856.41</v>
      </c>
    </row>
    <row r="66" spans="1:11" ht="14.5" x14ac:dyDescent="0.25">
      <c r="A66" s="10"/>
      <c r="B66" s="10"/>
      <c r="C66" s="10" t="s">
        <v>262</v>
      </c>
      <c r="D66" s="12" t="s">
        <v>261</v>
      </c>
      <c r="E66" s="11">
        <v>46</v>
      </c>
      <c r="F66" s="14"/>
      <c r="G66" s="13"/>
      <c r="H66" s="11"/>
      <c r="I66" s="14">
        <v>52.47</v>
      </c>
      <c r="J66" s="11">
        <v>46</v>
      </c>
      <c r="K66" s="14">
        <v>2993.28</v>
      </c>
    </row>
    <row r="67" spans="1:11" ht="14.5" x14ac:dyDescent="0.25">
      <c r="A67" s="17"/>
      <c r="B67" s="17"/>
      <c r="C67" s="17" t="s">
        <v>263</v>
      </c>
      <c r="D67" s="18" t="s">
        <v>264</v>
      </c>
      <c r="E67" s="19">
        <v>7.2</v>
      </c>
      <c r="F67" s="20"/>
      <c r="G67" s="21" t="s">
        <v>13</v>
      </c>
      <c r="H67" s="19">
        <v>1</v>
      </c>
      <c r="I67" s="20">
        <v>8.64</v>
      </c>
      <c r="J67" s="19"/>
      <c r="K67" s="20"/>
    </row>
    <row r="68" spans="1:11" ht="14" x14ac:dyDescent="0.25">
      <c r="C68" s="22" t="s">
        <v>265</v>
      </c>
      <c r="H68" s="143">
        <v>281.77</v>
      </c>
      <c r="I68" s="143"/>
      <c r="J68" s="143">
        <v>15485.12</v>
      </c>
      <c r="K68" s="143"/>
    </row>
    <row r="69" spans="1:11" ht="14" x14ac:dyDescent="0.25">
      <c r="C69" s="22" t="s">
        <v>267</v>
      </c>
      <c r="H69" s="141">
        <v>281.77</v>
      </c>
      <c r="I69" s="141"/>
      <c r="J69" s="141">
        <v>15485.12</v>
      </c>
      <c r="K69" s="141"/>
    </row>
    <row r="71" spans="1:11" ht="68" x14ac:dyDescent="0.25">
      <c r="A71" s="38">
        <v>8</v>
      </c>
      <c r="B71" s="38" t="s">
        <v>409</v>
      </c>
      <c r="C71" s="38" t="s">
        <v>2106</v>
      </c>
      <c r="D71" s="39" t="s">
        <v>11</v>
      </c>
      <c r="E71" s="40">
        <v>1</v>
      </c>
      <c r="F71" s="41">
        <v>4870.38</v>
      </c>
      <c r="G71" s="42" t="s">
        <v>1</v>
      </c>
      <c r="H71" s="40">
        <v>1</v>
      </c>
      <c r="I71" s="41">
        <v>4870.38</v>
      </c>
      <c r="J71" s="40">
        <v>7.54</v>
      </c>
      <c r="K71" s="41">
        <v>36722.67</v>
      </c>
    </row>
    <row r="72" spans="1:11" ht="14" x14ac:dyDescent="0.25">
      <c r="A72" s="43"/>
      <c r="B72" s="43"/>
      <c r="C72" s="44" t="s">
        <v>267</v>
      </c>
      <c r="D72" s="43"/>
      <c r="E72" s="43"/>
      <c r="F72" s="43"/>
      <c r="G72" s="43"/>
      <c r="H72" s="156">
        <v>4870.38</v>
      </c>
      <c r="I72" s="156"/>
      <c r="J72" s="156">
        <v>36722.67</v>
      </c>
      <c r="K72" s="156"/>
    </row>
    <row r="74" spans="1:11" ht="79" x14ac:dyDescent="0.25">
      <c r="A74" s="10">
        <v>9</v>
      </c>
      <c r="B74" s="10" t="s">
        <v>904</v>
      </c>
      <c r="C74" s="10" t="s">
        <v>905</v>
      </c>
      <c r="D74" s="12" t="s">
        <v>24</v>
      </c>
      <c r="E74" s="11">
        <v>1</v>
      </c>
      <c r="F74" s="14"/>
      <c r="G74" s="13"/>
      <c r="H74" s="11"/>
      <c r="I74" s="14"/>
      <c r="J74" s="11"/>
      <c r="K74" s="14"/>
    </row>
    <row r="75" spans="1:11" ht="14.5" x14ac:dyDescent="0.25">
      <c r="A75" s="10"/>
      <c r="B75" s="10"/>
      <c r="C75" s="10" t="s">
        <v>256</v>
      </c>
      <c r="D75" s="12"/>
      <c r="E75" s="11"/>
      <c r="F75" s="14">
        <v>21.2</v>
      </c>
      <c r="G75" s="15" t="s">
        <v>13</v>
      </c>
      <c r="H75" s="11">
        <v>1</v>
      </c>
      <c r="I75" s="14">
        <v>25.44</v>
      </c>
      <c r="J75" s="11">
        <v>57.05</v>
      </c>
      <c r="K75" s="14">
        <v>1451.35</v>
      </c>
    </row>
    <row r="76" spans="1:11" ht="14.5" x14ac:dyDescent="0.25">
      <c r="A76" s="10"/>
      <c r="B76" s="10"/>
      <c r="C76" s="10" t="s">
        <v>257</v>
      </c>
      <c r="D76" s="12"/>
      <c r="E76" s="11"/>
      <c r="F76" s="14">
        <v>0.06</v>
      </c>
      <c r="G76" s="15" t="s">
        <v>13</v>
      </c>
      <c r="H76" s="11">
        <v>1</v>
      </c>
      <c r="I76" s="14">
        <v>7.0000000000000007E-2</v>
      </c>
      <c r="J76" s="11">
        <v>18.829999999999998</v>
      </c>
      <c r="K76" s="14">
        <v>1.32</v>
      </c>
    </row>
    <row r="77" spans="1:11" ht="14.5" x14ac:dyDescent="0.25">
      <c r="A77" s="10"/>
      <c r="B77" s="10"/>
      <c r="C77" s="10" t="s">
        <v>258</v>
      </c>
      <c r="D77" s="12"/>
      <c r="E77" s="11"/>
      <c r="F77" s="14">
        <v>0.01</v>
      </c>
      <c r="G77" s="15" t="s">
        <v>13</v>
      </c>
      <c r="H77" s="11">
        <v>1</v>
      </c>
      <c r="I77" s="16">
        <v>0.01</v>
      </c>
      <c r="J77" s="11">
        <v>57.05</v>
      </c>
      <c r="K77" s="16">
        <v>0.56999999999999995</v>
      </c>
    </row>
    <row r="78" spans="1:11" ht="14.5" x14ac:dyDescent="0.25">
      <c r="A78" s="10"/>
      <c r="B78" s="10"/>
      <c r="C78" s="10" t="s">
        <v>259</v>
      </c>
      <c r="D78" s="12"/>
      <c r="E78" s="11"/>
      <c r="F78" s="14">
        <v>1.26</v>
      </c>
      <c r="G78" s="15" t="s">
        <v>1</v>
      </c>
      <c r="H78" s="11">
        <v>1</v>
      </c>
      <c r="I78" s="14">
        <v>1.26</v>
      </c>
      <c r="J78" s="11">
        <v>10.18</v>
      </c>
      <c r="K78" s="14">
        <v>12.83</v>
      </c>
    </row>
    <row r="79" spans="1:11" ht="70" x14ac:dyDescent="0.25">
      <c r="A79" s="10" t="s">
        <v>22</v>
      </c>
      <c r="B79" s="10" t="s">
        <v>1020</v>
      </c>
      <c r="C79" s="10" t="s">
        <v>2072</v>
      </c>
      <c r="D79" s="12" t="s">
        <v>38</v>
      </c>
      <c r="E79" s="11">
        <v>1</v>
      </c>
      <c r="F79" s="14">
        <v>53.88</v>
      </c>
      <c r="G79" s="15" t="s">
        <v>1</v>
      </c>
      <c r="H79" s="11">
        <v>1</v>
      </c>
      <c r="I79" s="14">
        <v>53.88</v>
      </c>
      <c r="J79" s="11">
        <v>3.66</v>
      </c>
      <c r="K79" s="14">
        <v>197.2</v>
      </c>
    </row>
    <row r="80" spans="1:11" ht="14.5" x14ac:dyDescent="0.25">
      <c r="A80" s="10"/>
      <c r="B80" s="10"/>
      <c r="C80" s="10" t="s">
        <v>260</v>
      </c>
      <c r="D80" s="12" t="s">
        <v>261</v>
      </c>
      <c r="E80" s="11">
        <v>90</v>
      </c>
      <c r="F80" s="14"/>
      <c r="G80" s="13"/>
      <c r="H80" s="11"/>
      <c r="I80" s="14">
        <v>22.91</v>
      </c>
      <c r="J80" s="11">
        <v>90</v>
      </c>
      <c r="K80" s="14">
        <v>1306.73</v>
      </c>
    </row>
    <row r="81" spans="1:11" ht="14.5" x14ac:dyDescent="0.25">
      <c r="A81" s="10"/>
      <c r="B81" s="10"/>
      <c r="C81" s="10" t="s">
        <v>262</v>
      </c>
      <c r="D81" s="12" t="s">
        <v>261</v>
      </c>
      <c r="E81" s="11">
        <v>46</v>
      </c>
      <c r="F81" s="14"/>
      <c r="G81" s="13"/>
      <c r="H81" s="11"/>
      <c r="I81" s="14">
        <v>11.71</v>
      </c>
      <c r="J81" s="11">
        <v>46</v>
      </c>
      <c r="K81" s="14">
        <v>667.88</v>
      </c>
    </row>
    <row r="82" spans="1:11" ht="14.5" x14ac:dyDescent="0.25">
      <c r="A82" s="17"/>
      <c r="B82" s="17"/>
      <c r="C82" s="17" t="s">
        <v>263</v>
      </c>
      <c r="D82" s="18" t="s">
        <v>264</v>
      </c>
      <c r="E82" s="19">
        <v>1.68</v>
      </c>
      <c r="F82" s="20"/>
      <c r="G82" s="21" t="s">
        <v>13</v>
      </c>
      <c r="H82" s="19">
        <v>1</v>
      </c>
      <c r="I82" s="20">
        <v>2.02</v>
      </c>
      <c r="J82" s="19"/>
      <c r="K82" s="20"/>
    </row>
    <row r="83" spans="1:11" ht="14" x14ac:dyDescent="0.25">
      <c r="C83" s="22" t="s">
        <v>265</v>
      </c>
      <c r="H83" s="143">
        <v>61.39</v>
      </c>
      <c r="I83" s="143"/>
      <c r="J83" s="143">
        <v>3440.11</v>
      </c>
      <c r="K83" s="143"/>
    </row>
    <row r="84" spans="1:11" ht="14" x14ac:dyDescent="0.25">
      <c r="C84" s="22" t="s">
        <v>266</v>
      </c>
      <c r="H84" s="141">
        <v>53.88</v>
      </c>
      <c r="I84" s="141"/>
      <c r="J84" s="141">
        <v>197.2</v>
      </c>
      <c r="K84" s="141"/>
    </row>
    <row r="85" spans="1:11" ht="14" x14ac:dyDescent="0.25">
      <c r="C85" s="22" t="s">
        <v>267</v>
      </c>
      <c r="H85" s="141">
        <v>115.27</v>
      </c>
      <c r="I85" s="141"/>
      <c r="J85" s="141">
        <v>3637.31</v>
      </c>
      <c r="K85" s="141"/>
    </row>
    <row r="87" spans="1:11" ht="79" x14ac:dyDescent="0.25">
      <c r="A87" s="10">
        <v>10</v>
      </c>
      <c r="B87" s="10" t="s">
        <v>902</v>
      </c>
      <c r="C87" s="10" t="s">
        <v>903</v>
      </c>
      <c r="D87" s="12" t="s">
        <v>24</v>
      </c>
      <c r="E87" s="11">
        <v>1</v>
      </c>
      <c r="F87" s="14"/>
      <c r="G87" s="13"/>
      <c r="H87" s="11"/>
      <c r="I87" s="14"/>
      <c r="J87" s="11"/>
      <c r="K87" s="14"/>
    </row>
    <row r="88" spans="1:11" ht="14.5" x14ac:dyDescent="0.25">
      <c r="A88" s="10"/>
      <c r="B88" s="10"/>
      <c r="C88" s="10" t="s">
        <v>256</v>
      </c>
      <c r="D88" s="12"/>
      <c r="E88" s="11"/>
      <c r="F88" s="14">
        <v>16.07</v>
      </c>
      <c r="G88" s="15" t="s">
        <v>13</v>
      </c>
      <c r="H88" s="11">
        <v>1</v>
      </c>
      <c r="I88" s="14">
        <v>19.28</v>
      </c>
      <c r="J88" s="11">
        <v>57.05</v>
      </c>
      <c r="K88" s="14">
        <v>1099.92</v>
      </c>
    </row>
    <row r="89" spans="1:11" ht="14.5" x14ac:dyDescent="0.25">
      <c r="A89" s="10"/>
      <c r="B89" s="10"/>
      <c r="C89" s="10" t="s">
        <v>257</v>
      </c>
      <c r="D89" s="12"/>
      <c r="E89" s="11"/>
      <c r="F89" s="14">
        <v>0.05</v>
      </c>
      <c r="G89" s="15" t="s">
        <v>13</v>
      </c>
      <c r="H89" s="11">
        <v>1</v>
      </c>
      <c r="I89" s="14">
        <v>0.06</v>
      </c>
      <c r="J89" s="11">
        <v>20.399999999999999</v>
      </c>
      <c r="K89" s="14">
        <v>1.22</v>
      </c>
    </row>
    <row r="90" spans="1:11" ht="14.5" x14ac:dyDescent="0.25">
      <c r="A90" s="10"/>
      <c r="B90" s="10"/>
      <c r="C90" s="10" t="s">
        <v>258</v>
      </c>
      <c r="D90" s="12"/>
      <c r="E90" s="11"/>
      <c r="F90" s="14">
        <v>0.01</v>
      </c>
      <c r="G90" s="15" t="s">
        <v>13</v>
      </c>
      <c r="H90" s="11">
        <v>1</v>
      </c>
      <c r="I90" s="16">
        <v>0.01</v>
      </c>
      <c r="J90" s="11">
        <v>57.05</v>
      </c>
      <c r="K90" s="16">
        <v>0.56999999999999995</v>
      </c>
    </row>
    <row r="91" spans="1:11" ht="14.5" x14ac:dyDescent="0.25">
      <c r="A91" s="10"/>
      <c r="B91" s="10"/>
      <c r="C91" s="10" t="s">
        <v>259</v>
      </c>
      <c r="D91" s="12"/>
      <c r="E91" s="11"/>
      <c r="F91" s="14">
        <v>1.96</v>
      </c>
      <c r="G91" s="15" t="s">
        <v>1</v>
      </c>
      <c r="H91" s="11">
        <v>1</v>
      </c>
      <c r="I91" s="14">
        <v>1.96</v>
      </c>
      <c r="J91" s="11">
        <v>10.18</v>
      </c>
      <c r="K91" s="14">
        <v>19.95</v>
      </c>
    </row>
    <row r="92" spans="1:11" ht="14.5" x14ac:dyDescent="0.25">
      <c r="A92" s="10"/>
      <c r="B92" s="10"/>
      <c r="C92" s="10" t="s">
        <v>260</v>
      </c>
      <c r="D92" s="12" t="s">
        <v>261</v>
      </c>
      <c r="E92" s="11">
        <v>90</v>
      </c>
      <c r="F92" s="14"/>
      <c r="G92" s="13"/>
      <c r="H92" s="11"/>
      <c r="I92" s="14">
        <v>17.36</v>
      </c>
      <c r="J92" s="11">
        <v>90</v>
      </c>
      <c r="K92" s="14">
        <v>990.44</v>
      </c>
    </row>
    <row r="93" spans="1:11" ht="14.5" x14ac:dyDescent="0.25">
      <c r="A93" s="10"/>
      <c r="B93" s="10"/>
      <c r="C93" s="10" t="s">
        <v>262</v>
      </c>
      <c r="D93" s="12" t="s">
        <v>261</v>
      </c>
      <c r="E93" s="11">
        <v>46</v>
      </c>
      <c r="F93" s="14"/>
      <c r="G93" s="13"/>
      <c r="H93" s="11"/>
      <c r="I93" s="14">
        <v>8.8699999999999992</v>
      </c>
      <c r="J93" s="11">
        <v>46</v>
      </c>
      <c r="K93" s="14">
        <v>506.23</v>
      </c>
    </row>
    <row r="94" spans="1:11" ht="14.5" x14ac:dyDescent="0.25">
      <c r="A94" s="17"/>
      <c r="B94" s="17"/>
      <c r="C94" s="17" t="s">
        <v>263</v>
      </c>
      <c r="D94" s="18" t="s">
        <v>264</v>
      </c>
      <c r="E94" s="19">
        <v>1.2</v>
      </c>
      <c r="F94" s="20"/>
      <c r="G94" s="21" t="s">
        <v>13</v>
      </c>
      <c r="H94" s="19">
        <v>1</v>
      </c>
      <c r="I94" s="20">
        <v>1.44</v>
      </c>
      <c r="J94" s="19"/>
      <c r="K94" s="20"/>
    </row>
    <row r="95" spans="1:11" ht="14" x14ac:dyDescent="0.25">
      <c r="C95" s="22" t="s">
        <v>265</v>
      </c>
      <c r="H95" s="143">
        <v>47.53</v>
      </c>
      <c r="I95" s="143"/>
      <c r="J95" s="143">
        <v>2617.7600000000002</v>
      </c>
      <c r="K95" s="143"/>
    </row>
    <row r="96" spans="1:11" ht="14" x14ac:dyDescent="0.25">
      <c r="C96" s="22" t="s">
        <v>267</v>
      </c>
      <c r="H96" s="141">
        <v>47.53</v>
      </c>
      <c r="I96" s="141"/>
      <c r="J96" s="141">
        <v>2617.7600000000002</v>
      </c>
      <c r="K96" s="141"/>
    </row>
    <row r="98" spans="1:11" ht="54" x14ac:dyDescent="0.25">
      <c r="A98" s="17">
        <v>11</v>
      </c>
      <c r="B98" s="17" t="s">
        <v>409</v>
      </c>
      <c r="C98" s="17" t="s">
        <v>1985</v>
      </c>
      <c r="D98" s="18" t="s">
        <v>11</v>
      </c>
      <c r="E98" s="19">
        <v>1</v>
      </c>
      <c r="F98" s="20">
        <v>2772.13</v>
      </c>
      <c r="G98" s="21" t="s">
        <v>1</v>
      </c>
      <c r="H98" s="19">
        <v>1</v>
      </c>
      <c r="I98" s="20">
        <v>2772.13</v>
      </c>
      <c r="J98" s="19">
        <v>7.54</v>
      </c>
      <c r="K98" s="20">
        <v>20901.86</v>
      </c>
    </row>
    <row r="99" spans="1:11" ht="14" x14ac:dyDescent="0.25">
      <c r="C99" s="22" t="s">
        <v>267</v>
      </c>
      <c r="H99" s="143">
        <v>2772.13</v>
      </c>
      <c r="I99" s="143"/>
      <c r="J99" s="143">
        <v>20901.86</v>
      </c>
      <c r="K99" s="143"/>
    </row>
    <row r="101" spans="1:11" ht="79" x14ac:dyDescent="0.25">
      <c r="A101" s="10">
        <v>12</v>
      </c>
      <c r="B101" s="10" t="s">
        <v>900</v>
      </c>
      <c r="C101" s="10" t="s">
        <v>901</v>
      </c>
      <c r="D101" s="12" t="s">
        <v>24</v>
      </c>
      <c r="E101" s="11">
        <v>1</v>
      </c>
      <c r="F101" s="14"/>
      <c r="G101" s="13"/>
      <c r="H101" s="11"/>
      <c r="I101" s="14"/>
      <c r="J101" s="11"/>
      <c r="K101" s="14"/>
    </row>
    <row r="102" spans="1:11" ht="14.5" x14ac:dyDescent="0.25">
      <c r="A102" s="10"/>
      <c r="B102" s="10"/>
      <c r="C102" s="10" t="s">
        <v>256</v>
      </c>
      <c r="D102" s="12"/>
      <c r="E102" s="11"/>
      <c r="F102" s="14">
        <v>33.47</v>
      </c>
      <c r="G102" s="15" t="s">
        <v>13</v>
      </c>
      <c r="H102" s="11">
        <v>1</v>
      </c>
      <c r="I102" s="14">
        <v>40.159999999999997</v>
      </c>
      <c r="J102" s="11">
        <v>57.05</v>
      </c>
      <c r="K102" s="14">
        <v>2291.13</v>
      </c>
    </row>
    <row r="103" spans="1:11" ht="14.5" x14ac:dyDescent="0.25">
      <c r="A103" s="10"/>
      <c r="B103" s="10"/>
      <c r="C103" s="10" t="s">
        <v>259</v>
      </c>
      <c r="D103" s="12"/>
      <c r="E103" s="11"/>
      <c r="F103" s="14">
        <v>2.34</v>
      </c>
      <c r="G103" s="15" t="s">
        <v>1</v>
      </c>
      <c r="H103" s="11">
        <v>1</v>
      </c>
      <c r="I103" s="14">
        <v>2.34</v>
      </c>
      <c r="J103" s="11">
        <v>9.91</v>
      </c>
      <c r="K103" s="14">
        <v>23.19</v>
      </c>
    </row>
    <row r="104" spans="1:11" ht="14.5" x14ac:dyDescent="0.25">
      <c r="A104" s="10"/>
      <c r="B104" s="10"/>
      <c r="C104" s="10" t="s">
        <v>260</v>
      </c>
      <c r="D104" s="12" t="s">
        <v>261</v>
      </c>
      <c r="E104" s="11">
        <v>90</v>
      </c>
      <c r="F104" s="14"/>
      <c r="G104" s="13"/>
      <c r="H104" s="11"/>
      <c r="I104" s="14">
        <v>36.14</v>
      </c>
      <c r="J104" s="11">
        <v>90</v>
      </c>
      <c r="K104" s="14">
        <v>2062.02</v>
      </c>
    </row>
    <row r="105" spans="1:11" ht="14.5" x14ac:dyDescent="0.25">
      <c r="A105" s="10"/>
      <c r="B105" s="10"/>
      <c r="C105" s="10" t="s">
        <v>262</v>
      </c>
      <c r="D105" s="12" t="s">
        <v>261</v>
      </c>
      <c r="E105" s="11">
        <v>46</v>
      </c>
      <c r="F105" s="14"/>
      <c r="G105" s="13"/>
      <c r="H105" s="11"/>
      <c r="I105" s="14">
        <v>18.47</v>
      </c>
      <c r="J105" s="11">
        <v>46</v>
      </c>
      <c r="K105" s="14">
        <v>1053.92</v>
      </c>
    </row>
    <row r="106" spans="1:11" ht="14.5" x14ac:dyDescent="0.25">
      <c r="A106" s="17"/>
      <c r="B106" s="17"/>
      <c r="C106" s="17" t="s">
        <v>263</v>
      </c>
      <c r="D106" s="18" t="s">
        <v>264</v>
      </c>
      <c r="E106" s="19">
        <v>2.65</v>
      </c>
      <c r="F106" s="20"/>
      <c r="G106" s="21" t="s">
        <v>13</v>
      </c>
      <c r="H106" s="19">
        <v>1</v>
      </c>
      <c r="I106" s="20">
        <v>3.18</v>
      </c>
      <c r="J106" s="19"/>
      <c r="K106" s="20"/>
    </row>
    <row r="107" spans="1:11" ht="14" x14ac:dyDescent="0.25">
      <c r="C107" s="22" t="s">
        <v>265</v>
      </c>
      <c r="H107" s="143">
        <v>97.11</v>
      </c>
      <c r="I107" s="143"/>
      <c r="J107" s="143">
        <v>5430.26</v>
      </c>
      <c r="K107" s="143"/>
    </row>
    <row r="108" spans="1:11" ht="14" x14ac:dyDescent="0.25">
      <c r="C108" s="22" t="s">
        <v>267</v>
      </c>
      <c r="H108" s="141">
        <v>97.11</v>
      </c>
      <c r="I108" s="141"/>
      <c r="J108" s="141">
        <v>5430.26</v>
      </c>
      <c r="K108" s="141"/>
    </row>
    <row r="110" spans="1:11" ht="54" x14ac:dyDescent="0.25">
      <c r="A110" s="38">
        <v>13</v>
      </c>
      <c r="B110" s="38" t="s">
        <v>409</v>
      </c>
      <c r="C110" s="38" t="s">
        <v>1986</v>
      </c>
      <c r="D110" s="39" t="s">
        <v>11</v>
      </c>
      <c r="E110" s="40">
        <v>1</v>
      </c>
      <c r="F110" s="41">
        <v>2394.5700000000002</v>
      </c>
      <c r="G110" s="42" t="s">
        <v>1</v>
      </c>
      <c r="H110" s="40">
        <v>1</v>
      </c>
      <c r="I110" s="41">
        <v>2394.5700000000002</v>
      </c>
      <c r="J110" s="40">
        <v>7.54</v>
      </c>
      <c r="K110" s="41">
        <v>18055.060000000001</v>
      </c>
    </row>
    <row r="111" spans="1:11" ht="14" x14ac:dyDescent="0.25">
      <c r="A111" s="43"/>
      <c r="B111" s="43"/>
      <c r="C111" s="44" t="s">
        <v>267</v>
      </c>
      <c r="D111" s="43"/>
      <c r="E111" s="43"/>
      <c r="F111" s="43"/>
      <c r="G111" s="43"/>
      <c r="H111" s="156">
        <v>2394.5700000000002</v>
      </c>
      <c r="I111" s="156"/>
      <c r="J111" s="156">
        <v>18055.060000000001</v>
      </c>
      <c r="K111" s="156"/>
    </row>
    <row r="113" spans="1:11" ht="79" x14ac:dyDescent="0.25">
      <c r="A113" s="10">
        <v>14</v>
      </c>
      <c r="B113" s="10" t="s">
        <v>912</v>
      </c>
      <c r="C113" s="10" t="s">
        <v>913</v>
      </c>
      <c r="D113" s="12" t="s">
        <v>24</v>
      </c>
      <c r="E113" s="11">
        <v>2</v>
      </c>
      <c r="F113" s="14"/>
      <c r="G113" s="13"/>
      <c r="H113" s="11"/>
      <c r="I113" s="14"/>
      <c r="J113" s="11"/>
      <c r="K113" s="14"/>
    </row>
    <row r="114" spans="1:11" ht="14.5" x14ac:dyDescent="0.25">
      <c r="A114" s="10"/>
      <c r="B114" s="10"/>
      <c r="C114" s="10" t="s">
        <v>256</v>
      </c>
      <c r="D114" s="12"/>
      <c r="E114" s="11"/>
      <c r="F114" s="14">
        <v>40.17</v>
      </c>
      <c r="G114" s="15" t="s">
        <v>13</v>
      </c>
      <c r="H114" s="11">
        <v>1</v>
      </c>
      <c r="I114" s="14">
        <v>96.41</v>
      </c>
      <c r="J114" s="11">
        <v>57.05</v>
      </c>
      <c r="K114" s="14">
        <v>5500.19</v>
      </c>
    </row>
    <row r="115" spans="1:11" ht="14.5" x14ac:dyDescent="0.25">
      <c r="A115" s="10"/>
      <c r="B115" s="10"/>
      <c r="C115" s="10" t="s">
        <v>259</v>
      </c>
      <c r="D115" s="12"/>
      <c r="E115" s="11"/>
      <c r="F115" s="14">
        <v>2.34</v>
      </c>
      <c r="G115" s="15" t="s">
        <v>1</v>
      </c>
      <c r="H115" s="11">
        <v>1</v>
      </c>
      <c r="I115" s="14">
        <v>4.68</v>
      </c>
      <c r="J115" s="11">
        <v>9.91</v>
      </c>
      <c r="K115" s="14">
        <v>46.38</v>
      </c>
    </row>
    <row r="116" spans="1:11" ht="14.5" x14ac:dyDescent="0.25">
      <c r="A116" s="10"/>
      <c r="B116" s="10"/>
      <c r="C116" s="10" t="s">
        <v>260</v>
      </c>
      <c r="D116" s="12" t="s">
        <v>261</v>
      </c>
      <c r="E116" s="11">
        <v>90</v>
      </c>
      <c r="F116" s="14"/>
      <c r="G116" s="13"/>
      <c r="H116" s="11"/>
      <c r="I116" s="14">
        <v>86.77</v>
      </c>
      <c r="J116" s="11">
        <v>90</v>
      </c>
      <c r="K116" s="14">
        <v>4950.17</v>
      </c>
    </row>
    <row r="117" spans="1:11" ht="14.5" x14ac:dyDescent="0.25">
      <c r="A117" s="10"/>
      <c r="B117" s="10"/>
      <c r="C117" s="10" t="s">
        <v>262</v>
      </c>
      <c r="D117" s="12" t="s">
        <v>261</v>
      </c>
      <c r="E117" s="11">
        <v>46</v>
      </c>
      <c r="F117" s="14"/>
      <c r="G117" s="13"/>
      <c r="H117" s="11"/>
      <c r="I117" s="14">
        <v>44.35</v>
      </c>
      <c r="J117" s="11">
        <v>46</v>
      </c>
      <c r="K117" s="14">
        <v>2530.09</v>
      </c>
    </row>
    <row r="118" spans="1:11" ht="14.5" x14ac:dyDescent="0.25">
      <c r="A118" s="17"/>
      <c r="B118" s="17"/>
      <c r="C118" s="17" t="s">
        <v>263</v>
      </c>
      <c r="D118" s="18" t="s">
        <v>264</v>
      </c>
      <c r="E118" s="19">
        <v>3.18</v>
      </c>
      <c r="F118" s="20"/>
      <c r="G118" s="21" t="s">
        <v>13</v>
      </c>
      <c r="H118" s="19">
        <v>1</v>
      </c>
      <c r="I118" s="20">
        <v>7.63</v>
      </c>
      <c r="J118" s="19"/>
      <c r="K118" s="20"/>
    </row>
    <row r="119" spans="1:11" ht="14" x14ac:dyDescent="0.25">
      <c r="C119" s="22" t="s">
        <v>265</v>
      </c>
      <c r="H119" s="143">
        <v>232.21</v>
      </c>
      <c r="I119" s="143"/>
      <c r="J119" s="143">
        <v>13026.83</v>
      </c>
      <c r="K119" s="143"/>
    </row>
    <row r="120" spans="1:11" ht="14" x14ac:dyDescent="0.25">
      <c r="C120" s="22" t="s">
        <v>267</v>
      </c>
      <c r="H120" s="141">
        <v>232.21</v>
      </c>
      <c r="I120" s="141"/>
      <c r="J120" s="141">
        <v>13026.83</v>
      </c>
      <c r="K120" s="141"/>
    </row>
    <row r="122" spans="1:11" ht="54" x14ac:dyDescent="0.25">
      <c r="A122" s="17">
        <v>15</v>
      </c>
      <c r="B122" s="17" t="s">
        <v>409</v>
      </c>
      <c r="C122" s="17" t="s">
        <v>1987</v>
      </c>
      <c r="D122" s="18" t="s">
        <v>11</v>
      </c>
      <c r="E122" s="19">
        <v>2</v>
      </c>
      <c r="F122" s="20">
        <v>761.02</v>
      </c>
      <c r="G122" s="21" t="s">
        <v>1</v>
      </c>
      <c r="H122" s="19">
        <v>1</v>
      </c>
      <c r="I122" s="20">
        <v>1522.04</v>
      </c>
      <c r="J122" s="19">
        <v>7.54</v>
      </c>
      <c r="K122" s="20">
        <v>11476.18</v>
      </c>
    </row>
    <row r="123" spans="1:11" ht="14" x14ac:dyDescent="0.25">
      <c r="C123" s="22" t="s">
        <v>267</v>
      </c>
      <c r="H123" s="143">
        <v>1522.04</v>
      </c>
      <c r="I123" s="143"/>
      <c r="J123" s="143">
        <v>11476.18</v>
      </c>
      <c r="K123" s="143"/>
    </row>
    <row r="125" spans="1:11" ht="79" x14ac:dyDescent="0.25">
      <c r="A125" s="10">
        <v>16</v>
      </c>
      <c r="B125" s="10" t="s">
        <v>902</v>
      </c>
      <c r="C125" s="10" t="s">
        <v>903</v>
      </c>
      <c r="D125" s="12" t="s">
        <v>24</v>
      </c>
      <c r="E125" s="11">
        <v>1</v>
      </c>
      <c r="F125" s="14"/>
      <c r="G125" s="13"/>
      <c r="H125" s="11"/>
      <c r="I125" s="14"/>
      <c r="J125" s="11"/>
      <c r="K125" s="14"/>
    </row>
    <row r="126" spans="1:11" ht="14.5" x14ac:dyDescent="0.25">
      <c r="A126" s="10"/>
      <c r="B126" s="10"/>
      <c r="C126" s="10" t="s">
        <v>256</v>
      </c>
      <c r="D126" s="12"/>
      <c r="E126" s="11"/>
      <c r="F126" s="14">
        <v>16.07</v>
      </c>
      <c r="G126" s="15" t="s">
        <v>13</v>
      </c>
      <c r="H126" s="11">
        <v>1</v>
      </c>
      <c r="I126" s="14">
        <v>19.28</v>
      </c>
      <c r="J126" s="11">
        <v>57.05</v>
      </c>
      <c r="K126" s="14">
        <v>1099.92</v>
      </c>
    </row>
    <row r="127" spans="1:11" ht="14.5" x14ac:dyDescent="0.25">
      <c r="A127" s="10"/>
      <c r="B127" s="10"/>
      <c r="C127" s="10" t="s">
        <v>257</v>
      </c>
      <c r="D127" s="12"/>
      <c r="E127" s="11"/>
      <c r="F127" s="14">
        <v>0.05</v>
      </c>
      <c r="G127" s="15" t="s">
        <v>13</v>
      </c>
      <c r="H127" s="11">
        <v>1</v>
      </c>
      <c r="I127" s="14">
        <v>0.06</v>
      </c>
      <c r="J127" s="11">
        <v>20.399999999999999</v>
      </c>
      <c r="K127" s="14">
        <v>1.22</v>
      </c>
    </row>
    <row r="128" spans="1:11" ht="14.5" x14ac:dyDescent="0.25">
      <c r="A128" s="10"/>
      <c r="B128" s="10"/>
      <c r="C128" s="10" t="s">
        <v>258</v>
      </c>
      <c r="D128" s="12"/>
      <c r="E128" s="11"/>
      <c r="F128" s="14">
        <v>0.01</v>
      </c>
      <c r="G128" s="15" t="s">
        <v>13</v>
      </c>
      <c r="H128" s="11">
        <v>1</v>
      </c>
      <c r="I128" s="16">
        <v>0.01</v>
      </c>
      <c r="J128" s="11">
        <v>57.05</v>
      </c>
      <c r="K128" s="16">
        <v>0.56999999999999995</v>
      </c>
    </row>
    <row r="129" spans="1:11" ht="14.5" x14ac:dyDescent="0.25">
      <c r="A129" s="10"/>
      <c r="B129" s="10"/>
      <c r="C129" s="10" t="s">
        <v>259</v>
      </c>
      <c r="D129" s="12"/>
      <c r="E129" s="11"/>
      <c r="F129" s="14">
        <v>1.96</v>
      </c>
      <c r="G129" s="15" t="s">
        <v>1</v>
      </c>
      <c r="H129" s="11">
        <v>1</v>
      </c>
      <c r="I129" s="14">
        <v>1.96</v>
      </c>
      <c r="J129" s="11">
        <v>10.18</v>
      </c>
      <c r="K129" s="14">
        <v>19.95</v>
      </c>
    </row>
    <row r="130" spans="1:11" ht="14.5" x14ac:dyDescent="0.25">
      <c r="A130" s="10"/>
      <c r="B130" s="10"/>
      <c r="C130" s="10" t="s">
        <v>260</v>
      </c>
      <c r="D130" s="12" t="s">
        <v>261</v>
      </c>
      <c r="E130" s="11">
        <v>90</v>
      </c>
      <c r="F130" s="14"/>
      <c r="G130" s="13"/>
      <c r="H130" s="11"/>
      <c r="I130" s="14">
        <v>17.36</v>
      </c>
      <c r="J130" s="11">
        <v>90</v>
      </c>
      <c r="K130" s="14">
        <v>990.44</v>
      </c>
    </row>
    <row r="131" spans="1:11" ht="14.5" x14ac:dyDescent="0.25">
      <c r="A131" s="10"/>
      <c r="B131" s="10"/>
      <c r="C131" s="10" t="s">
        <v>262</v>
      </c>
      <c r="D131" s="12" t="s">
        <v>261</v>
      </c>
      <c r="E131" s="11">
        <v>46</v>
      </c>
      <c r="F131" s="14"/>
      <c r="G131" s="13"/>
      <c r="H131" s="11"/>
      <c r="I131" s="14">
        <v>8.8699999999999992</v>
      </c>
      <c r="J131" s="11">
        <v>46</v>
      </c>
      <c r="K131" s="14">
        <v>506.23</v>
      </c>
    </row>
    <row r="132" spans="1:11" ht="14.5" x14ac:dyDescent="0.25">
      <c r="A132" s="17"/>
      <c r="B132" s="17"/>
      <c r="C132" s="17" t="s">
        <v>263</v>
      </c>
      <c r="D132" s="18" t="s">
        <v>264</v>
      </c>
      <c r="E132" s="19">
        <v>1.2</v>
      </c>
      <c r="F132" s="20"/>
      <c r="G132" s="21" t="s">
        <v>13</v>
      </c>
      <c r="H132" s="19">
        <v>1</v>
      </c>
      <c r="I132" s="20">
        <v>1.44</v>
      </c>
      <c r="J132" s="19"/>
      <c r="K132" s="20"/>
    </row>
    <row r="133" spans="1:11" ht="14" x14ac:dyDescent="0.25">
      <c r="C133" s="22" t="s">
        <v>265</v>
      </c>
      <c r="H133" s="143">
        <v>47.53</v>
      </c>
      <c r="I133" s="143"/>
      <c r="J133" s="143">
        <v>2617.7600000000002</v>
      </c>
      <c r="K133" s="143"/>
    </row>
    <row r="134" spans="1:11" ht="14" x14ac:dyDescent="0.25">
      <c r="C134" s="22" t="s">
        <v>267</v>
      </c>
      <c r="H134" s="141">
        <v>47.53</v>
      </c>
      <c r="I134" s="141"/>
      <c r="J134" s="141">
        <v>2617.7600000000002</v>
      </c>
      <c r="K134" s="141"/>
    </row>
    <row r="136" spans="1:11" ht="54" x14ac:dyDescent="0.25">
      <c r="A136" s="17">
        <v>17</v>
      </c>
      <c r="B136" s="17" t="s">
        <v>409</v>
      </c>
      <c r="C136" s="17" t="s">
        <v>1988</v>
      </c>
      <c r="D136" s="18" t="s">
        <v>11</v>
      </c>
      <c r="E136" s="19">
        <v>1</v>
      </c>
      <c r="F136" s="20">
        <v>318.98</v>
      </c>
      <c r="G136" s="21" t="s">
        <v>1</v>
      </c>
      <c r="H136" s="19">
        <v>1</v>
      </c>
      <c r="I136" s="20">
        <v>318.98</v>
      </c>
      <c r="J136" s="19">
        <v>7.54</v>
      </c>
      <c r="K136" s="20">
        <v>2405.11</v>
      </c>
    </row>
    <row r="137" spans="1:11" ht="14" x14ac:dyDescent="0.25">
      <c r="C137" s="22" t="s">
        <v>267</v>
      </c>
      <c r="H137" s="143">
        <v>318.98</v>
      </c>
      <c r="I137" s="143"/>
      <c r="J137" s="143">
        <v>2405.11</v>
      </c>
      <c r="K137" s="143"/>
    </row>
    <row r="139" spans="1:11" ht="79" x14ac:dyDescent="0.25">
      <c r="A139" s="10">
        <v>18</v>
      </c>
      <c r="B139" s="10" t="s">
        <v>902</v>
      </c>
      <c r="C139" s="10" t="s">
        <v>903</v>
      </c>
      <c r="D139" s="12" t="s">
        <v>24</v>
      </c>
      <c r="E139" s="11">
        <v>22</v>
      </c>
      <c r="F139" s="14"/>
      <c r="G139" s="13"/>
      <c r="H139" s="11"/>
      <c r="I139" s="14"/>
      <c r="J139" s="11"/>
      <c r="K139" s="14"/>
    </row>
    <row r="140" spans="1:11" ht="14.5" x14ac:dyDescent="0.25">
      <c r="A140" s="10"/>
      <c r="B140" s="10"/>
      <c r="C140" s="10" t="s">
        <v>256</v>
      </c>
      <c r="D140" s="12"/>
      <c r="E140" s="11"/>
      <c r="F140" s="14">
        <v>16.07</v>
      </c>
      <c r="G140" s="15" t="s">
        <v>13</v>
      </c>
      <c r="H140" s="11">
        <v>1</v>
      </c>
      <c r="I140" s="14">
        <v>424.25</v>
      </c>
      <c r="J140" s="11">
        <v>57.05</v>
      </c>
      <c r="K140" s="14">
        <v>24203.46</v>
      </c>
    </row>
    <row r="141" spans="1:11" ht="14.5" x14ac:dyDescent="0.25">
      <c r="A141" s="10"/>
      <c r="B141" s="10"/>
      <c r="C141" s="10" t="s">
        <v>257</v>
      </c>
      <c r="D141" s="12"/>
      <c r="E141" s="11"/>
      <c r="F141" s="14">
        <v>0.05</v>
      </c>
      <c r="G141" s="15" t="s">
        <v>13</v>
      </c>
      <c r="H141" s="11">
        <v>1</v>
      </c>
      <c r="I141" s="14">
        <v>1.32</v>
      </c>
      <c r="J141" s="11">
        <v>20.399999999999999</v>
      </c>
      <c r="K141" s="14">
        <v>26.93</v>
      </c>
    </row>
    <row r="142" spans="1:11" ht="14.5" x14ac:dyDescent="0.25">
      <c r="A142" s="10"/>
      <c r="B142" s="10"/>
      <c r="C142" s="10" t="s">
        <v>258</v>
      </c>
      <c r="D142" s="12"/>
      <c r="E142" s="11"/>
      <c r="F142" s="14">
        <v>0.01</v>
      </c>
      <c r="G142" s="15" t="s">
        <v>13</v>
      </c>
      <c r="H142" s="11">
        <v>1</v>
      </c>
      <c r="I142" s="16">
        <v>0.26</v>
      </c>
      <c r="J142" s="11">
        <v>57.05</v>
      </c>
      <c r="K142" s="16">
        <v>14.83</v>
      </c>
    </row>
    <row r="143" spans="1:11" ht="14.5" x14ac:dyDescent="0.25">
      <c r="A143" s="10"/>
      <c r="B143" s="10"/>
      <c r="C143" s="10" t="s">
        <v>259</v>
      </c>
      <c r="D143" s="12"/>
      <c r="E143" s="11"/>
      <c r="F143" s="14">
        <v>1.96</v>
      </c>
      <c r="G143" s="15" t="s">
        <v>1</v>
      </c>
      <c r="H143" s="11">
        <v>1</v>
      </c>
      <c r="I143" s="14">
        <v>43.12</v>
      </c>
      <c r="J143" s="11">
        <v>10.18</v>
      </c>
      <c r="K143" s="14">
        <v>438.96</v>
      </c>
    </row>
    <row r="144" spans="1:11" ht="14.5" x14ac:dyDescent="0.25">
      <c r="A144" s="10"/>
      <c r="B144" s="10"/>
      <c r="C144" s="10" t="s">
        <v>260</v>
      </c>
      <c r="D144" s="12" t="s">
        <v>261</v>
      </c>
      <c r="E144" s="11">
        <v>90</v>
      </c>
      <c r="F144" s="14"/>
      <c r="G144" s="13"/>
      <c r="H144" s="11"/>
      <c r="I144" s="14">
        <v>382.06</v>
      </c>
      <c r="J144" s="11">
        <v>90</v>
      </c>
      <c r="K144" s="14">
        <v>21796.46</v>
      </c>
    </row>
    <row r="145" spans="1:11" ht="14.5" x14ac:dyDescent="0.25">
      <c r="A145" s="10"/>
      <c r="B145" s="10"/>
      <c r="C145" s="10" t="s">
        <v>262</v>
      </c>
      <c r="D145" s="12" t="s">
        <v>261</v>
      </c>
      <c r="E145" s="11">
        <v>46</v>
      </c>
      <c r="F145" s="14"/>
      <c r="G145" s="13"/>
      <c r="H145" s="11"/>
      <c r="I145" s="14">
        <v>195.27</v>
      </c>
      <c r="J145" s="11">
        <v>46</v>
      </c>
      <c r="K145" s="14">
        <v>11140.41</v>
      </c>
    </row>
    <row r="146" spans="1:11" ht="14.5" x14ac:dyDescent="0.25">
      <c r="A146" s="17"/>
      <c r="B146" s="17"/>
      <c r="C146" s="17" t="s">
        <v>263</v>
      </c>
      <c r="D146" s="18" t="s">
        <v>264</v>
      </c>
      <c r="E146" s="19">
        <v>1.2</v>
      </c>
      <c r="F146" s="20"/>
      <c r="G146" s="21" t="s">
        <v>13</v>
      </c>
      <c r="H146" s="19">
        <v>1</v>
      </c>
      <c r="I146" s="20">
        <v>31.68</v>
      </c>
      <c r="J146" s="19"/>
      <c r="K146" s="20"/>
    </row>
    <row r="147" spans="1:11" ht="14" x14ac:dyDescent="0.25">
      <c r="C147" s="22" t="s">
        <v>265</v>
      </c>
      <c r="H147" s="143">
        <v>1046.02</v>
      </c>
      <c r="I147" s="143"/>
      <c r="J147" s="143">
        <v>57606.22</v>
      </c>
      <c r="K147" s="143"/>
    </row>
    <row r="148" spans="1:11" ht="14" x14ac:dyDescent="0.25">
      <c r="C148" s="22" t="s">
        <v>267</v>
      </c>
      <c r="H148" s="141">
        <v>1046.02</v>
      </c>
      <c r="I148" s="141"/>
      <c r="J148" s="141">
        <v>57606.22</v>
      </c>
      <c r="K148" s="141"/>
    </row>
    <row r="150" spans="1:11" ht="54" x14ac:dyDescent="0.25">
      <c r="A150" s="17">
        <v>19</v>
      </c>
      <c r="B150" s="17" t="s">
        <v>409</v>
      </c>
      <c r="C150" s="17" t="s">
        <v>1965</v>
      </c>
      <c r="D150" s="18" t="s">
        <v>11</v>
      </c>
      <c r="E150" s="19">
        <v>22</v>
      </c>
      <c r="F150" s="20">
        <v>77.209999999999994</v>
      </c>
      <c r="G150" s="21" t="s">
        <v>1</v>
      </c>
      <c r="H150" s="19">
        <v>1</v>
      </c>
      <c r="I150" s="20">
        <v>1698.62</v>
      </c>
      <c r="J150" s="19">
        <v>7.54</v>
      </c>
      <c r="K150" s="20">
        <v>12807.59</v>
      </c>
    </row>
    <row r="151" spans="1:11" ht="14" x14ac:dyDescent="0.25">
      <c r="C151" s="22" t="s">
        <v>267</v>
      </c>
      <c r="H151" s="143">
        <v>1698.62</v>
      </c>
      <c r="I151" s="143"/>
      <c r="J151" s="143">
        <v>12807.59</v>
      </c>
      <c r="K151" s="143"/>
    </row>
    <row r="153" spans="1:11" ht="79" x14ac:dyDescent="0.25">
      <c r="A153" s="10">
        <v>20</v>
      </c>
      <c r="B153" s="10" t="s">
        <v>992</v>
      </c>
      <c r="C153" s="10" t="s">
        <v>993</v>
      </c>
      <c r="D153" s="12" t="s">
        <v>24</v>
      </c>
      <c r="E153" s="11">
        <v>93</v>
      </c>
      <c r="F153" s="14"/>
      <c r="G153" s="13"/>
      <c r="H153" s="11"/>
      <c r="I153" s="14"/>
      <c r="J153" s="11"/>
      <c r="K153" s="14"/>
    </row>
    <row r="154" spans="1:11" ht="14.5" x14ac:dyDescent="0.25">
      <c r="A154" s="10"/>
      <c r="B154" s="10"/>
      <c r="C154" s="10" t="s">
        <v>256</v>
      </c>
      <c r="D154" s="12"/>
      <c r="E154" s="11"/>
      <c r="F154" s="14">
        <v>10.6</v>
      </c>
      <c r="G154" s="15" t="s">
        <v>13</v>
      </c>
      <c r="H154" s="11">
        <v>1</v>
      </c>
      <c r="I154" s="14">
        <v>1182.96</v>
      </c>
      <c r="J154" s="11">
        <v>57.05</v>
      </c>
      <c r="K154" s="14">
        <v>67487.87</v>
      </c>
    </row>
    <row r="155" spans="1:11" ht="14.5" x14ac:dyDescent="0.25">
      <c r="A155" s="10"/>
      <c r="B155" s="10"/>
      <c r="C155" s="10" t="s">
        <v>259</v>
      </c>
      <c r="D155" s="12"/>
      <c r="E155" s="11"/>
      <c r="F155" s="14">
        <v>1.05</v>
      </c>
      <c r="G155" s="15" t="s">
        <v>1</v>
      </c>
      <c r="H155" s="11">
        <v>1</v>
      </c>
      <c r="I155" s="14">
        <v>97.65</v>
      </c>
      <c r="J155" s="11">
        <v>10.18</v>
      </c>
      <c r="K155" s="14">
        <v>994.08</v>
      </c>
    </row>
    <row r="156" spans="1:11" ht="14.5" x14ac:dyDescent="0.25">
      <c r="A156" s="10"/>
      <c r="B156" s="10"/>
      <c r="C156" s="10" t="s">
        <v>260</v>
      </c>
      <c r="D156" s="12" t="s">
        <v>261</v>
      </c>
      <c r="E156" s="11">
        <v>90</v>
      </c>
      <c r="F156" s="14"/>
      <c r="G156" s="13"/>
      <c r="H156" s="11"/>
      <c r="I156" s="14">
        <v>1064.6600000000001</v>
      </c>
      <c r="J156" s="11">
        <v>90</v>
      </c>
      <c r="K156" s="14">
        <v>60739.08</v>
      </c>
    </row>
    <row r="157" spans="1:11" ht="14.5" x14ac:dyDescent="0.25">
      <c r="A157" s="10"/>
      <c r="B157" s="10"/>
      <c r="C157" s="10" t="s">
        <v>262</v>
      </c>
      <c r="D157" s="12" t="s">
        <v>261</v>
      </c>
      <c r="E157" s="11">
        <v>46</v>
      </c>
      <c r="F157" s="14"/>
      <c r="G157" s="13"/>
      <c r="H157" s="11"/>
      <c r="I157" s="14">
        <v>544.16</v>
      </c>
      <c r="J157" s="11">
        <v>46</v>
      </c>
      <c r="K157" s="14">
        <v>31044.42</v>
      </c>
    </row>
    <row r="158" spans="1:11" ht="14.5" x14ac:dyDescent="0.25">
      <c r="A158" s="17"/>
      <c r="B158" s="17"/>
      <c r="C158" s="17" t="s">
        <v>263</v>
      </c>
      <c r="D158" s="18" t="s">
        <v>264</v>
      </c>
      <c r="E158" s="19">
        <v>0.84</v>
      </c>
      <c r="F158" s="20"/>
      <c r="G158" s="21" t="s">
        <v>13</v>
      </c>
      <c r="H158" s="19">
        <v>1</v>
      </c>
      <c r="I158" s="20">
        <v>93.74</v>
      </c>
      <c r="J158" s="19"/>
      <c r="K158" s="20"/>
    </row>
    <row r="159" spans="1:11" ht="14" x14ac:dyDescent="0.25">
      <c r="C159" s="22" t="s">
        <v>265</v>
      </c>
      <c r="H159" s="143">
        <v>2889.43</v>
      </c>
      <c r="I159" s="143"/>
      <c r="J159" s="143">
        <v>160265.45000000001</v>
      </c>
      <c r="K159" s="143"/>
    </row>
    <row r="160" spans="1:11" ht="14" x14ac:dyDescent="0.25">
      <c r="C160" s="22" t="s">
        <v>267</v>
      </c>
      <c r="H160" s="141">
        <v>2889.43</v>
      </c>
      <c r="I160" s="141"/>
      <c r="J160" s="141">
        <v>160265.45000000001</v>
      </c>
      <c r="K160" s="141"/>
    </row>
    <row r="162" spans="1:11" ht="68" x14ac:dyDescent="0.25">
      <c r="A162" s="17">
        <v>21</v>
      </c>
      <c r="B162" s="17" t="s">
        <v>409</v>
      </c>
      <c r="C162" s="17" t="s">
        <v>1989</v>
      </c>
      <c r="D162" s="18" t="s">
        <v>11</v>
      </c>
      <c r="E162" s="19">
        <v>93</v>
      </c>
      <c r="F162" s="20">
        <v>71.28</v>
      </c>
      <c r="G162" s="21" t="s">
        <v>1</v>
      </c>
      <c r="H162" s="19">
        <v>1</v>
      </c>
      <c r="I162" s="20">
        <v>6629.04</v>
      </c>
      <c r="J162" s="19">
        <v>7.54</v>
      </c>
      <c r="K162" s="20">
        <v>49982.96</v>
      </c>
    </row>
    <row r="163" spans="1:11" ht="14" x14ac:dyDescent="0.25">
      <c r="C163" s="22" t="s">
        <v>267</v>
      </c>
      <c r="H163" s="143">
        <v>6629.04</v>
      </c>
      <c r="I163" s="143"/>
      <c r="J163" s="143">
        <v>49982.96</v>
      </c>
      <c r="K163" s="143"/>
    </row>
    <row r="165" spans="1:11" ht="79" x14ac:dyDescent="0.25">
      <c r="A165" s="10">
        <v>22</v>
      </c>
      <c r="B165" s="10" t="s">
        <v>994</v>
      </c>
      <c r="C165" s="10" t="s">
        <v>995</v>
      </c>
      <c r="D165" s="12" t="s">
        <v>24</v>
      </c>
      <c r="E165" s="11">
        <v>46</v>
      </c>
      <c r="F165" s="14"/>
      <c r="G165" s="13"/>
      <c r="H165" s="11"/>
      <c r="I165" s="14"/>
      <c r="J165" s="11"/>
      <c r="K165" s="14"/>
    </row>
    <row r="166" spans="1:11" ht="14.5" x14ac:dyDescent="0.25">
      <c r="A166" s="10"/>
      <c r="B166" s="10"/>
      <c r="C166" s="10" t="s">
        <v>256</v>
      </c>
      <c r="D166" s="12"/>
      <c r="E166" s="11"/>
      <c r="F166" s="14">
        <v>10.6</v>
      </c>
      <c r="G166" s="15" t="s">
        <v>13</v>
      </c>
      <c r="H166" s="11">
        <v>1</v>
      </c>
      <c r="I166" s="14">
        <v>585.12</v>
      </c>
      <c r="J166" s="11">
        <v>57.05</v>
      </c>
      <c r="K166" s="14">
        <v>33381.1</v>
      </c>
    </row>
    <row r="167" spans="1:11" ht="14.5" x14ac:dyDescent="0.25">
      <c r="A167" s="10"/>
      <c r="B167" s="10"/>
      <c r="C167" s="10" t="s">
        <v>259</v>
      </c>
      <c r="D167" s="12"/>
      <c r="E167" s="11"/>
      <c r="F167" s="14">
        <v>1.19</v>
      </c>
      <c r="G167" s="15" t="s">
        <v>1</v>
      </c>
      <c r="H167" s="11">
        <v>1</v>
      </c>
      <c r="I167" s="14">
        <v>54.74</v>
      </c>
      <c r="J167" s="11">
        <v>10.18</v>
      </c>
      <c r="K167" s="14">
        <v>557.25</v>
      </c>
    </row>
    <row r="168" spans="1:11" ht="14.5" x14ac:dyDescent="0.25">
      <c r="A168" s="10"/>
      <c r="B168" s="10"/>
      <c r="C168" s="10" t="s">
        <v>260</v>
      </c>
      <c r="D168" s="12" t="s">
        <v>261</v>
      </c>
      <c r="E168" s="11">
        <v>90</v>
      </c>
      <c r="F168" s="14"/>
      <c r="G168" s="13"/>
      <c r="H168" s="11"/>
      <c r="I168" s="14">
        <v>526.61</v>
      </c>
      <c r="J168" s="11">
        <v>90</v>
      </c>
      <c r="K168" s="14">
        <v>30042.99</v>
      </c>
    </row>
    <row r="169" spans="1:11" ht="14.5" x14ac:dyDescent="0.25">
      <c r="A169" s="10"/>
      <c r="B169" s="10"/>
      <c r="C169" s="10" t="s">
        <v>262</v>
      </c>
      <c r="D169" s="12" t="s">
        <v>261</v>
      </c>
      <c r="E169" s="11">
        <v>46</v>
      </c>
      <c r="F169" s="14"/>
      <c r="G169" s="13"/>
      <c r="H169" s="11"/>
      <c r="I169" s="14">
        <v>269.16000000000003</v>
      </c>
      <c r="J169" s="11">
        <v>46</v>
      </c>
      <c r="K169" s="14">
        <v>15355.31</v>
      </c>
    </row>
    <row r="170" spans="1:11" ht="14.5" x14ac:dyDescent="0.25">
      <c r="A170" s="17"/>
      <c r="B170" s="17"/>
      <c r="C170" s="17" t="s">
        <v>263</v>
      </c>
      <c r="D170" s="18" t="s">
        <v>264</v>
      </c>
      <c r="E170" s="19">
        <v>0.84</v>
      </c>
      <c r="F170" s="20"/>
      <c r="G170" s="21" t="s">
        <v>13</v>
      </c>
      <c r="H170" s="19">
        <v>1</v>
      </c>
      <c r="I170" s="20">
        <v>46.37</v>
      </c>
      <c r="J170" s="19"/>
      <c r="K170" s="20"/>
    </row>
    <row r="171" spans="1:11" ht="14" x14ac:dyDescent="0.25">
      <c r="C171" s="22" t="s">
        <v>265</v>
      </c>
      <c r="H171" s="143">
        <v>1435.63</v>
      </c>
      <c r="I171" s="143"/>
      <c r="J171" s="143">
        <v>79336.649999999994</v>
      </c>
      <c r="K171" s="143"/>
    </row>
    <row r="172" spans="1:11" ht="14" x14ac:dyDescent="0.25">
      <c r="C172" s="22" t="s">
        <v>267</v>
      </c>
      <c r="H172" s="141">
        <v>1435.63</v>
      </c>
      <c r="I172" s="141"/>
      <c r="J172" s="141">
        <v>79336.649999999994</v>
      </c>
      <c r="K172" s="141"/>
    </row>
    <row r="174" spans="1:11" ht="68" x14ac:dyDescent="0.25">
      <c r="A174" s="17">
        <v>23</v>
      </c>
      <c r="B174" s="17" t="s">
        <v>409</v>
      </c>
      <c r="C174" s="17" t="s">
        <v>2073</v>
      </c>
      <c r="D174" s="18" t="s">
        <v>11</v>
      </c>
      <c r="E174" s="19">
        <v>46</v>
      </c>
      <c r="F174" s="20">
        <v>250.2</v>
      </c>
      <c r="G174" s="21" t="s">
        <v>1</v>
      </c>
      <c r="H174" s="19">
        <v>1</v>
      </c>
      <c r="I174" s="20">
        <v>11509.2</v>
      </c>
      <c r="J174" s="19">
        <v>7.54</v>
      </c>
      <c r="K174" s="20">
        <v>86779.37</v>
      </c>
    </row>
    <row r="175" spans="1:11" ht="14" x14ac:dyDescent="0.25">
      <c r="C175" s="22" t="s">
        <v>267</v>
      </c>
      <c r="H175" s="143">
        <v>11509.2</v>
      </c>
      <c r="I175" s="143"/>
      <c r="J175" s="143">
        <v>86779.37</v>
      </c>
      <c r="K175" s="143"/>
    </row>
    <row r="177" spans="1:11" ht="79" x14ac:dyDescent="0.25">
      <c r="A177" s="10">
        <v>24</v>
      </c>
      <c r="B177" s="10" t="s">
        <v>992</v>
      </c>
      <c r="C177" s="10" t="s">
        <v>993</v>
      </c>
      <c r="D177" s="12" t="s">
        <v>24</v>
      </c>
      <c r="E177" s="11">
        <v>22</v>
      </c>
      <c r="F177" s="14"/>
      <c r="G177" s="13"/>
      <c r="H177" s="11"/>
      <c r="I177" s="14"/>
      <c r="J177" s="11"/>
      <c r="K177" s="14"/>
    </row>
    <row r="178" spans="1:11" ht="14.5" x14ac:dyDescent="0.25">
      <c r="A178" s="10"/>
      <c r="B178" s="10"/>
      <c r="C178" s="10" t="s">
        <v>256</v>
      </c>
      <c r="D178" s="12"/>
      <c r="E178" s="11"/>
      <c r="F178" s="14">
        <v>10.6</v>
      </c>
      <c r="G178" s="15" t="s">
        <v>13</v>
      </c>
      <c r="H178" s="11">
        <v>1</v>
      </c>
      <c r="I178" s="14">
        <v>279.83999999999997</v>
      </c>
      <c r="J178" s="11">
        <v>57.05</v>
      </c>
      <c r="K178" s="14">
        <v>15964.87</v>
      </c>
    </row>
    <row r="179" spans="1:11" ht="14.5" x14ac:dyDescent="0.25">
      <c r="A179" s="10"/>
      <c r="B179" s="10"/>
      <c r="C179" s="10" t="s">
        <v>259</v>
      </c>
      <c r="D179" s="12"/>
      <c r="E179" s="11"/>
      <c r="F179" s="14">
        <v>1.05</v>
      </c>
      <c r="G179" s="15" t="s">
        <v>1</v>
      </c>
      <c r="H179" s="11">
        <v>1</v>
      </c>
      <c r="I179" s="14">
        <v>23.1</v>
      </c>
      <c r="J179" s="11">
        <v>10.18</v>
      </c>
      <c r="K179" s="14">
        <v>235.16</v>
      </c>
    </row>
    <row r="180" spans="1:11" ht="14.5" x14ac:dyDescent="0.25">
      <c r="A180" s="10"/>
      <c r="B180" s="10"/>
      <c r="C180" s="10" t="s">
        <v>260</v>
      </c>
      <c r="D180" s="12" t="s">
        <v>261</v>
      </c>
      <c r="E180" s="11">
        <v>90</v>
      </c>
      <c r="F180" s="14"/>
      <c r="G180" s="13"/>
      <c r="H180" s="11"/>
      <c r="I180" s="14">
        <v>251.86</v>
      </c>
      <c r="J180" s="11">
        <v>90</v>
      </c>
      <c r="K180" s="14">
        <v>14368.38</v>
      </c>
    </row>
    <row r="181" spans="1:11" ht="14.5" x14ac:dyDescent="0.25">
      <c r="A181" s="10"/>
      <c r="B181" s="10"/>
      <c r="C181" s="10" t="s">
        <v>262</v>
      </c>
      <c r="D181" s="12" t="s">
        <v>261</v>
      </c>
      <c r="E181" s="11">
        <v>46</v>
      </c>
      <c r="F181" s="14"/>
      <c r="G181" s="13"/>
      <c r="H181" s="11"/>
      <c r="I181" s="14">
        <v>128.72999999999999</v>
      </c>
      <c r="J181" s="11">
        <v>46</v>
      </c>
      <c r="K181" s="14">
        <v>7343.84</v>
      </c>
    </row>
    <row r="182" spans="1:11" ht="14.5" x14ac:dyDescent="0.25">
      <c r="A182" s="17"/>
      <c r="B182" s="17"/>
      <c r="C182" s="17" t="s">
        <v>263</v>
      </c>
      <c r="D182" s="18" t="s">
        <v>264</v>
      </c>
      <c r="E182" s="19">
        <v>0.84</v>
      </c>
      <c r="F182" s="20"/>
      <c r="G182" s="21" t="s">
        <v>13</v>
      </c>
      <c r="H182" s="19">
        <v>1</v>
      </c>
      <c r="I182" s="20">
        <v>22.18</v>
      </c>
      <c r="J182" s="19"/>
      <c r="K182" s="20"/>
    </row>
    <row r="183" spans="1:11" ht="14" x14ac:dyDescent="0.25">
      <c r="C183" s="22" t="s">
        <v>265</v>
      </c>
      <c r="H183" s="143">
        <v>683.53</v>
      </c>
      <c r="I183" s="143"/>
      <c r="J183" s="143">
        <v>37912.25</v>
      </c>
      <c r="K183" s="143"/>
    </row>
    <row r="184" spans="1:11" ht="14" x14ac:dyDescent="0.25">
      <c r="C184" s="22" t="s">
        <v>267</v>
      </c>
      <c r="H184" s="141">
        <v>683.53</v>
      </c>
      <c r="I184" s="141"/>
      <c r="J184" s="141">
        <v>37912.25</v>
      </c>
      <c r="K184" s="141"/>
    </row>
    <row r="186" spans="1:11" ht="54" x14ac:dyDescent="0.25">
      <c r="A186" s="17">
        <v>25</v>
      </c>
      <c r="B186" s="17" t="s">
        <v>409</v>
      </c>
      <c r="C186" s="17" t="s">
        <v>2074</v>
      </c>
      <c r="D186" s="18" t="s">
        <v>11</v>
      </c>
      <c r="E186" s="19">
        <v>22</v>
      </c>
      <c r="F186" s="20">
        <v>252.47</v>
      </c>
      <c r="G186" s="21" t="s">
        <v>1</v>
      </c>
      <c r="H186" s="19">
        <v>1</v>
      </c>
      <c r="I186" s="20">
        <v>5554.34</v>
      </c>
      <c r="J186" s="19">
        <v>7.54</v>
      </c>
      <c r="K186" s="20">
        <v>41879.72</v>
      </c>
    </row>
    <row r="187" spans="1:11" ht="14" x14ac:dyDescent="0.25">
      <c r="C187" s="22" t="s">
        <v>267</v>
      </c>
      <c r="H187" s="143">
        <v>5554.34</v>
      </c>
      <c r="I187" s="143"/>
      <c r="J187" s="143">
        <v>41879.72</v>
      </c>
      <c r="K187" s="143"/>
    </row>
    <row r="189" spans="1:11" ht="79" x14ac:dyDescent="0.25">
      <c r="A189" s="10">
        <v>26</v>
      </c>
      <c r="B189" s="10" t="s">
        <v>908</v>
      </c>
      <c r="C189" s="10" t="s">
        <v>909</v>
      </c>
      <c r="D189" s="12" t="s">
        <v>24</v>
      </c>
      <c r="E189" s="11">
        <v>15</v>
      </c>
      <c r="F189" s="14"/>
      <c r="G189" s="13"/>
      <c r="H189" s="11"/>
      <c r="I189" s="14"/>
      <c r="J189" s="11"/>
      <c r="K189" s="14"/>
    </row>
    <row r="190" spans="1:11" ht="14.5" x14ac:dyDescent="0.25">
      <c r="A190" s="10"/>
      <c r="B190" s="10"/>
      <c r="C190" s="10" t="s">
        <v>256</v>
      </c>
      <c r="D190" s="12"/>
      <c r="E190" s="11"/>
      <c r="F190" s="14">
        <v>11.89</v>
      </c>
      <c r="G190" s="15" t="s">
        <v>13</v>
      </c>
      <c r="H190" s="11">
        <v>1</v>
      </c>
      <c r="I190" s="14">
        <v>214.02</v>
      </c>
      <c r="J190" s="11">
        <v>57.05</v>
      </c>
      <c r="K190" s="14">
        <v>12209.84</v>
      </c>
    </row>
    <row r="191" spans="1:11" ht="14.5" x14ac:dyDescent="0.25">
      <c r="A191" s="10"/>
      <c r="B191" s="10"/>
      <c r="C191" s="10" t="s">
        <v>259</v>
      </c>
      <c r="D191" s="12"/>
      <c r="E191" s="11"/>
      <c r="F191" s="14">
        <v>1.67</v>
      </c>
      <c r="G191" s="15" t="s">
        <v>1</v>
      </c>
      <c r="H191" s="11">
        <v>1</v>
      </c>
      <c r="I191" s="14">
        <v>25.05</v>
      </c>
      <c r="J191" s="11">
        <v>17.41</v>
      </c>
      <c r="K191" s="14">
        <v>436.12</v>
      </c>
    </row>
    <row r="192" spans="1:11" ht="14.5" x14ac:dyDescent="0.25">
      <c r="A192" s="10"/>
      <c r="B192" s="10"/>
      <c r="C192" s="10" t="s">
        <v>260</v>
      </c>
      <c r="D192" s="12" t="s">
        <v>261</v>
      </c>
      <c r="E192" s="11">
        <v>95</v>
      </c>
      <c r="F192" s="14"/>
      <c r="G192" s="13"/>
      <c r="H192" s="11"/>
      <c r="I192" s="14">
        <v>203.32</v>
      </c>
      <c r="J192" s="11">
        <v>95</v>
      </c>
      <c r="K192" s="14">
        <v>11599.35</v>
      </c>
    </row>
    <row r="193" spans="1:11" ht="14.5" x14ac:dyDescent="0.25">
      <c r="A193" s="10"/>
      <c r="B193" s="10"/>
      <c r="C193" s="10" t="s">
        <v>262</v>
      </c>
      <c r="D193" s="12" t="s">
        <v>261</v>
      </c>
      <c r="E193" s="11">
        <v>53</v>
      </c>
      <c r="F193" s="14"/>
      <c r="G193" s="13"/>
      <c r="H193" s="11"/>
      <c r="I193" s="14">
        <v>113.43</v>
      </c>
      <c r="J193" s="11">
        <v>53</v>
      </c>
      <c r="K193" s="14">
        <v>6471.22</v>
      </c>
    </row>
    <row r="194" spans="1:11" ht="14.5" x14ac:dyDescent="0.25">
      <c r="A194" s="17"/>
      <c r="B194" s="17"/>
      <c r="C194" s="17" t="s">
        <v>263</v>
      </c>
      <c r="D194" s="18" t="s">
        <v>264</v>
      </c>
      <c r="E194" s="19">
        <v>1</v>
      </c>
      <c r="F194" s="20"/>
      <c r="G194" s="21" t="s">
        <v>13</v>
      </c>
      <c r="H194" s="19">
        <v>1</v>
      </c>
      <c r="I194" s="20">
        <v>18</v>
      </c>
      <c r="J194" s="19"/>
      <c r="K194" s="20"/>
    </row>
    <row r="195" spans="1:11" ht="14" x14ac:dyDescent="0.25">
      <c r="C195" s="22" t="s">
        <v>265</v>
      </c>
      <c r="H195" s="143">
        <v>555.82000000000005</v>
      </c>
      <c r="I195" s="143"/>
      <c r="J195" s="143">
        <v>30716.53</v>
      </c>
      <c r="K195" s="143"/>
    </row>
    <row r="196" spans="1:11" ht="14" x14ac:dyDescent="0.25">
      <c r="C196" s="22" t="s">
        <v>267</v>
      </c>
      <c r="H196" s="141">
        <v>555.82000000000005</v>
      </c>
      <c r="I196" s="141"/>
      <c r="J196" s="141">
        <v>30716.53</v>
      </c>
      <c r="K196" s="141"/>
    </row>
    <row r="198" spans="1:11" ht="140" x14ac:dyDescent="0.25">
      <c r="A198" s="17">
        <v>27</v>
      </c>
      <c r="B198" s="17" t="s">
        <v>1021</v>
      </c>
      <c r="C198" s="17" t="s">
        <v>2075</v>
      </c>
      <c r="D198" s="18" t="s">
        <v>38</v>
      </c>
      <c r="E198" s="19">
        <v>15</v>
      </c>
      <c r="F198" s="20">
        <v>47.85</v>
      </c>
      <c r="G198" s="21" t="s">
        <v>1</v>
      </c>
      <c r="H198" s="19">
        <v>1</v>
      </c>
      <c r="I198" s="20">
        <v>717.75</v>
      </c>
      <c r="J198" s="19">
        <v>7.95</v>
      </c>
      <c r="K198" s="20">
        <v>5706.11</v>
      </c>
    </row>
    <row r="199" spans="1:11" ht="14" x14ac:dyDescent="0.25">
      <c r="C199" s="22" t="s">
        <v>267</v>
      </c>
      <c r="H199" s="143">
        <v>717.75</v>
      </c>
      <c r="I199" s="143"/>
      <c r="J199" s="143">
        <v>5706.11</v>
      </c>
      <c r="K199" s="143"/>
    </row>
    <row r="201" spans="1:11" ht="79" x14ac:dyDescent="0.25">
      <c r="A201" s="10">
        <v>28</v>
      </c>
      <c r="B201" s="10" t="s">
        <v>996</v>
      </c>
      <c r="C201" s="10" t="s">
        <v>997</v>
      </c>
      <c r="D201" s="12" t="s">
        <v>226</v>
      </c>
      <c r="E201" s="11">
        <v>0.1</v>
      </c>
      <c r="F201" s="14"/>
      <c r="G201" s="13"/>
      <c r="H201" s="11"/>
      <c r="I201" s="14"/>
      <c r="J201" s="11"/>
      <c r="K201" s="14"/>
    </row>
    <row r="202" spans="1:11" x14ac:dyDescent="0.25">
      <c r="C202" s="23" t="s">
        <v>707</v>
      </c>
    </row>
    <row r="203" spans="1:11" ht="14.5" x14ac:dyDescent="0.25">
      <c r="A203" s="10"/>
      <c r="B203" s="10"/>
      <c r="C203" s="10" t="s">
        <v>256</v>
      </c>
      <c r="D203" s="12"/>
      <c r="E203" s="11"/>
      <c r="F203" s="14">
        <v>470.94</v>
      </c>
      <c r="G203" s="15" t="s">
        <v>13</v>
      </c>
      <c r="H203" s="11">
        <v>1</v>
      </c>
      <c r="I203" s="14">
        <v>56.51</v>
      </c>
      <c r="J203" s="11">
        <v>57.05</v>
      </c>
      <c r="K203" s="14">
        <v>3223.9</v>
      </c>
    </row>
    <row r="204" spans="1:11" ht="14.5" x14ac:dyDescent="0.25">
      <c r="A204" s="10"/>
      <c r="B204" s="10"/>
      <c r="C204" s="10" t="s">
        <v>257</v>
      </c>
      <c r="D204" s="12"/>
      <c r="E204" s="11"/>
      <c r="F204" s="14">
        <v>1.1000000000000001</v>
      </c>
      <c r="G204" s="15" t="s">
        <v>13</v>
      </c>
      <c r="H204" s="11">
        <v>1</v>
      </c>
      <c r="I204" s="14">
        <v>0.13</v>
      </c>
      <c r="J204" s="11">
        <v>16.77</v>
      </c>
      <c r="K204" s="14">
        <v>2.1800000000000002</v>
      </c>
    </row>
    <row r="205" spans="1:11" ht="14.5" x14ac:dyDescent="0.25">
      <c r="A205" s="10"/>
      <c r="B205" s="10"/>
      <c r="C205" s="10" t="s">
        <v>258</v>
      </c>
      <c r="D205" s="12"/>
      <c r="E205" s="11"/>
      <c r="F205" s="14">
        <v>0.13</v>
      </c>
      <c r="G205" s="15" t="s">
        <v>13</v>
      </c>
      <c r="H205" s="11">
        <v>1</v>
      </c>
      <c r="I205" s="16">
        <v>0.02</v>
      </c>
      <c r="J205" s="11">
        <v>57.05</v>
      </c>
      <c r="K205" s="16">
        <v>1.1399999999999999</v>
      </c>
    </row>
    <row r="206" spans="1:11" ht="14.5" x14ac:dyDescent="0.25">
      <c r="A206" s="10"/>
      <c r="B206" s="10"/>
      <c r="C206" s="10" t="s">
        <v>259</v>
      </c>
      <c r="D206" s="12"/>
      <c r="E206" s="11"/>
      <c r="F206" s="14">
        <v>1.29</v>
      </c>
      <c r="G206" s="15" t="s">
        <v>1</v>
      </c>
      <c r="H206" s="11">
        <v>1</v>
      </c>
      <c r="I206" s="14">
        <v>0.13</v>
      </c>
      <c r="J206" s="11">
        <v>7.62</v>
      </c>
      <c r="K206" s="14">
        <v>0.99</v>
      </c>
    </row>
    <row r="207" spans="1:11" ht="14.5" x14ac:dyDescent="0.25">
      <c r="A207" s="10"/>
      <c r="B207" s="10"/>
      <c r="C207" s="10" t="s">
        <v>260</v>
      </c>
      <c r="D207" s="12" t="s">
        <v>261</v>
      </c>
      <c r="E207" s="11">
        <v>90</v>
      </c>
      <c r="F207" s="14"/>
      <c r="G207" s="13"/>
      <c r="H207" s="11"/>
      <c r="I207" s="14">
        <v>50.88</v>
      </c>
      <c r="J207" s="11">
        <v>90</v>
      </c>
      <c r="K207" s="14">
        <v>2902.54</v>
      </c>
    </row>
    <row r="208" spans="1:11" ht="14.5" x14ac:dyDescent="0.25">
      <c r="A208" s="10"/>
      <c r="B208" s="10"/>
      <c r="C208" s="10" t="s">
        <v>262</v>
      </c>
      <c r="D208" s="12" t="s">
        <v>261</v>
      </c>
      <c r="E208" s="11">
        <v>46</v>
      </c>
      <c r="F208" s="14"/>
      <c r="G208" s="13"/>
      <c r="H208" s="11"/>
      <c r="I208" s="14">
        <v>26</v>
      </c>
      <c r="J208" s="11">
        <v>46</v>
      </c>
      <c r="K208" s="14">
        <v>1483.52</v>
      </c>
    </row>
    <row r="209" spans="1:11" ht="14.5" x14ac:dyDescent="0.25">
      <c r="A209" s="17"/>
      <c r="B209" s="17"/>
      <c r="C209" s="17" t="s">
        <v>263</v>
      </c>
      <c r="D209" s="18" t="s">
        <v>264</v>
      </c>
      <c r="E209" s="19">
        <v>29.96</v>
      </c>
      <c r="F209" s="20"/>
      <c r="G209" s="21" t="s">
        <v>13</v>
      </c>
      <c r="H209" s="19">
        <v>1</v>
      </c>
      <c r="I209" s="20">
        <v>3.6</v>
      </c>
      <c r="J209" s="19"/>
      <c r="K209" s="20"/>
    </row>
    <row r="210" spans="1:11" ht="14" x14ac:dyDescent="0.25">
      <c r="C210" s="22" t="s">
        <v>265</v>
      </c>
      <c r="H210" s="143">
        <v>133.65</v>
      </c>
      <c r="I210" s="143"/>
      <c r="J210" s="143">
        <v>7613.13</v>
      </c>
      <c r="K210" s="143"/>
    </row>
    <row r="211" spans="1:11" ht="14" x14ac:dyDescent="0.25">
      <c r="C211" s="22" t="s">
        <v>267</v>
      </c>
      <c r="H211" s="141">
        <v>133.65</v>
      </c>
      <c r="I211" s="141"/>
      <c r="J211" s="141">
        <v>7613.13</v>
      </c>
      <c r="K211" s="141"/>
    </row>
    <row r="213" spans="1:11" ht="54" x14ac:dyDescent="0.25">
      <c r="A213" s="38">
        <v>29</v>
      </c>
      <c r="B213" s="38" t="s">
        <v>409</v>
      </c>
      <c r="C213" s="38" t="s">
        <v>1990</v>
      </c>
      <c r="D213" s="39" t="s">
        <v>11</v>
      </c>
      <c r="E213" s="40">
        <v>1</v>
      </c>
      <c r="F213" s="41">
        <v>1688.39</v>
      </c>
      <c r="G213" s="42" t="s">
        <v>1</v>
      </c>
      <c r="H213" s="40">
        <v>1</v>
      </c>
      <c r="I213" s="41">
        <v>1688.39</v>
      </c>
      <c r="J213" s="40">
        <v>7.54</v>
      </c>
      <c r="K213" s="41">
        <v>12730.46</v>
      </c>
    </row>
    <row r="214" spans="1:11" ht="14" x14ac:dyDescent="0.25">
      <c r="A214" s="43"/>
      <c r="B214" s="43"/>
      <c r="C214" s="44" t="s">
        <v>267</v>
      </c>
      <c r="D214" s="43"/>
      <c r="E214" s="43"/>
      <c r="F214" s="43"/>
      <c r="G214" s="43"/>
      <c r="H214" s="156">
        <v>1688.39</v>
      </c>
      <c r="I214" s="156"/>
      <c r="J214" s="156">
        <v>12730.46</v>
      </c>
      <c r="K214" s="156"/>
    </row>
    <row r="216" spans="1:11" ht="79" x14ac:dyDescent="0.25">
      <c r="A216" s="10">
        <v>30</v>
      </c>
      <c r="B216" s="10" t="s">
        <v>998</v>
      </c>
      <c r="C216" s="10" t="s">
        <v>999</v>
      </c>
      <c r="D216" s="12" t="s">
        <v>24</v>
      </c>
      <c r="E216" s="11">
        <v>1</v>
      </c>
      <c r="F216" s="14"/>
      <c r="G216" s="13"/>
      <c r="H216" s="11"/>
      <c r="I216" s="14"/>
      <c r="J216" s="11"/>
      <c r="K216" s="14"/>
    </row>
    <row r="217" spans="1:11" ht="14.5" x14ac:dyDescent="0.25">
      <c r="A217" s="10"/>
      <c r="B217" s="10"/>
      <c r="C217" s="10" t="s">
        <v>256</v>
      </c>
      <c r="D217" s="12"/>
      <c r="E217" s="11"/>
      <c r="F217" s="14">
        <v>18.940000000000001</v>
      </c>
      <c r="G217" s="15" t="s">
        <v>13</v>
      </c>
      <c r="H217" s="11">
        <v>1</v>
      </c>
      <c r="I217" s="14">
        <v>22.73</v>
      </c>
      <c r="J217" s="11">
        <v>57.05</v>
      </c>
      <c r="K217" s="14">
        <v>1296.75</v>
      </c>
    </row>
    <row r="218" spans="1:11" ht="14.5" x14ac:dyDescent="0.25">
      <c r="A218" s="10"/>
      <c r="B218" s="10"/>
      <c r="C218" s="10" t="s">
        <v>257</v>
      </c>
      <c r="D218" s="12"/>
      <c r="E218" s="11"/>
      <c r="F218" s="14">
        <v>0.02</v>
      </c>
      <c r="G218" s="15" t="s">
        <v>13</v>
      </c>
      <c r="H218" s="11">
        <v>1</v>
      </c>
      <c r="I218" s="14">
        <v>0.02</v>
      </c>
      <c r="J218" s="11">
        <v>13.5</v>
      </c>
      <c r="K218" s="14">
        <v>0.27</v>
      </c>
    </row>
    <row r="219" spans="1:11" ht="14.5" x14ac:dyDescent="0.25">
      <c r="A219" s="10"/>
      <c r="B219" s="10"/>
      <c r="C219" s="10" t="s">
        <v>259</v>
      </c>
      <c r="D219" s="12"/>
      <c r="E219" s="11"/>
      <c r="F219" s="14">
        <v>2.34</v>
      </c>
      <c r="G219" s="15" t="s">
        <v>1</v>
      </c>
      <c r="H219" s="11">
        <v>1</v>
      </c>
      <c r="I219" s="14">
        <v>2.34</v>
      </c>
      <c r="J219" s="11">
        <v>9.91</v>
      </c>
      <c r="K219" s="14">
        <v>23.19</v>
      </c>
    </row>
    <row r="220" spans="1:11" ht="14.5" x14ac:dyDescent="0.25">
      <c r="A220" s="10"/>
      <c r="B220" s="10"/>
      <c r="C220" s="10" t="s">
        <v>260</v>
      </c>
      <c r="D220" s="12" t="s">
        <v>261</v>
      </c>
      <c r="E220" s="11">
        <v>90</v>
      </c>
      <c r="F220" s="14"/>
      <c r="G220" s="13"/>
      <c r="H220" s="11"/>
      <c r="I220" s="14">
        <v>20.46</v>
      </c>
      <c r="J220" s="11">
        <v>90</v>
      </c>
      <c r="K220" s="14">
        <v>1167.08</v>
      </c>
    </row>
    <row r="221" spans="1:11" ht="14.5" x14ac:dyDescent="0.25">
      <c r="A221" s="10"/>
      <c r="B221" s="10"/>
      <c r="C221" s="10" t="s">
        <v>262</v>
      </c>
      <c r="D221" s="12" t="s">
        <v>261</v>
      </c>
      <c r="E221" s="11">
        <v>46</v>
      </c>
      <c r="F221" s="14"/>
      <c r="G221" s="13"/>
      <c r="H221" s="11"/>
      <c r="I221" s="14">
        <v>10.46</v>
      </c>
      <c r="J221" s="11">
        <v>46</v>
      </c>
      <c r="K221" s="14">
        <v>596.51</v>
      </c>
    </row>
    <row r="222" spans="1:11" ht="14.5" x14ac:dyDescent="0.25">
      <c r="A222" s="17"/>
      <c r="B222" s="17"/>
      <c r="C222" s="17" t="s">
        <v>263</v>
      </c>
      <c r="D222" s="18" t="s">
        <v>264</v>
      </c>
      <c r="E222" s="19">
        <v>1.36</v>
      </c>
      <c r="F222" s="20"/>
      <c r="G222" s="21" t="s">
        <v>13</v>
      </c>
      <c r="H222" s="19">
        <v>1</v>
      </c>
      <c r="I222" s="20">
        <v>1.63</v>
      </c>
      <c r="J222" s="19"/>
      <c r="K222" s="20"/>
    </row>
    <row r="223" spans="1:11" ht="14" x14ac:dyDescent="0.25">
      <c r="C223" s="22" t="s">
        <v>265</v>
      </c>
      <c r="H223" s="143">
        <v>56.01</v>
      </c>
      <c r="I223" s="143"/>
      <c r="J223" s="143">
        <v>3083.8</v>
      </c>
      <c r="K223" s="143"/>
    </row>
    <row r="224" spans="1:11" ht="14" x14ac:dyDescent="0.25">
      <c r="C224" s="22" t="s">
        <v>267</v>
      </c>
      <c r="H224" s="141">
        <v>56.01</v>
      </c>
      <c r="I224" s="141"/>
      <c r="J224" s="141">
        <v>3083.8</v>
      </c>
      <c r="K224" s="141"/>
    </row>
    <row r="226" spans="1:11" ht="54" x14ac:dyDescent="0.25">
      <c r="A226" s="17">
        <v>31</v>
      </c>
      <c r="B226" s="17" t="s">
        <v>409</v>
      </c>
      <c r="C226" s="17" t="s">
        <v>1991</v>
      </c>
      <c r="D226" s="18" t="s">
        <v>11</v>
      </c>
      <c r="E226" s="19">
        <v>1</v>
      </c>
      <c r="F226" s="20">
        <v>761.02</v>
      </c>
      <c r="G226" s="21" t="s">
        <v>1</v>
      </c>
      <c r="H226" s="19">
        <v>1</v>
      </c>
      <c r="I226" s="20">
        <v>761.02</v>
      </c>
      <c r="J226" s="19">
        <v>7.54</v>
      </c>
      <c r="K226" s="20">
        <v>5738.09</v>
      </c>
    </row>
    <row r="227" spans="1:11" ht="14" x14ac:dyDescent="0.25">
      <c r="C227" s="22" t="s">
        <v>267</v>
      </c>
      <c r="H227" s="143">
        <v>761.02</v>
      </c>
      <c r="I227" s="143"/>
      <c r="J227" s="143">
        <v>5738.09</v>
      </c>
      <c r="K227" s="143"/>
    </row>
    <row r="229" spans="1:11" ht="42" x14ac:dyDescent="0.25">
      <c r="A229" s="17">
        <v>32</v>
      </c>
      <c r="B229" s="17" t="s">
        <v>1022</v>
      </c>
      <c r="C229" s="17" t="s">
        <v>1000</v>
      </c>
      <c r="D229" s="18" t="s">
        <v>38</v>
      </c>
      <c r="E229" s="19">
        <v>2</v>
      </c>
      <c r="F229" s="20">
        <v>89.39</v>
      </c>
      <c r="G229" s="21" t="s">
        <v>1</v>
      </c>
      <c r="H229" s="19">
        <v>1</v>
      </c>
      <c r="I229" s="20">
        <v>178.78</v>
      </c>
      <c r="J229" s="19">
        <v>6.65</v>
      </c>
      <c r="K229" s="20">
        <v>1188.8900000000001</v>
      </c>
    </row>
    <row r="230" spans="1:11" ht="14" x14ac:dyDescent="0.25">
      <c r="C230" s="22" t="s">
        <v>267</v>
      </c>
      <c r="H230" s="143">
        <v>178.78</v>
      </c>
      <c r="I230" s="143"/>
      <c r="J230" s="143">
        <v>1188.8900000000001</v>
      </c>
      <c r="K230" s="143"/>
    </row>
    <row r="232" spans="1:11" ht="79" x14ac:dyDescent="0.25">
      <c r="A232" s="10">
        <v>33</v>
      </c>
      <c r="B232" s="10" t="s">
        <v>908</v>
      </c>
      <c r="C232" s="10" t="s">
        <v>909</v>
      </c>
      <c r="D232" s="12" t="s">
        <v>24</v>
      </c>
      <c r="E232" s="11">
        <v>2</v>
      </c>
      <c r="F232" s="14"/>
      <c r="G232" s="13"/>
      <c r="H232" s="11"/>
      <c r="I232" s="14"/>
      <c r="J232" s="11"/>
      <c r="K232" s="14"/>
    </row>
    <row r="233" spans="1:11" ht="14.5" x14ac:dyDescent="0.25">
      <c r="A233" s="10"/>
      <c r="B233" s="10"/>
      <c r="C233" s="10" t="s">
        <v>256</v>
      </c>
      <c r="D233" s="12"/>
      <c r="E233" s="11"/>
      <c r="F233" s="14">
        <v>11.89</v>
      </c>
      <c r="G233" s="15" t="s">
        <v>13</v>
      </c>
      <c r="H233" s="11">
        <v>1</v>
      </c>
      <c r="I233" s="14">
        <v>28.54</v>
      </c>
      <c r="J233" s="11">
        <v>57.05</v>
      </c>
      <c r="K233" s="14">
        <v>1628.21</v>
      </c>
    </row>
    <row r="234" spans="1:11" ht="14.5" x14ac:dyDescent="0.25">
      <c r="A234" s="10"/>
      <c r="B234" s="10"/>
      <c r="C234" s="10" t="s">
        <v>259</v>
      </c>
      <c r="D234" s="12"/>
      <c r="E234" s="11"/>
      <c r="F234" s="14">
        <v>1.67</v>
      </c>
      <c r="G234" s="15" t="s">
        <v>1</v>
      </c>
      <c r="H234" s="11">
        <v>1</v>
      </c>
      <c r="I234" s="14">
        <v>3.34</v>
      </c>
      <c r="J234" s="11">
        <v>17.41</v>
      </c>
      <c r="K234" s="14">
        <v>58.15</v>
      </c>
    </row>
    <row r="235" spans="1:11" ht="14.5" x14ac:dyDescent="0.25">
      <c r="A235" s="10"/>
      <c r="B235" s="10"/>
      <c r="C235" s="10" t="s">
        <v>260</v>
      </c>
      <c r="D235" s="12" t="s">
        <v>261</v>
      </c>
      <c r="E235" s="11">
        <v>95</v>
      </c>
      <c r="F235" s="14"/>
      <c r="G235" s="13"/>
      <c r="H235" s="11"/>
      <c r="I235" s="14">
        <v>27.11</v>
      </c>
      <c r="J235" s="11">
        <v>95</v>
      </c>
      <c r="K235" s="14">
        <v>1546.8</v>
      </c>
    </row>
    <row r="236" spans="1:11" ht="14.5" x14ac:dyDescent="0.25">
      <c r="A236" s="10"/>
      <c r="B236" s="10"/>
      <c r="C236" s="10" t="s">
        <v>262</v>
      </c>
      <c r="D236" s="12" t="s">
        <v>261</v>
      </c>
      <c r="E236" s="11">
        <v>53</v>
      </c>
      <c r="F236" s="14"/>
      <c r="G236" s="13"/>
      <c r="H236" s="11"/>
      <c r="I236" s="14">
        <v>15.13</v>
      </c>
      <c r="J236" s="11">
        <v>53</v>
      </c>
      <c r="K236" s="14">
        <v>862.95</v>
      </c>
    </row>
    <row r="237" spans="1:11" ht="14.5" x14ac:dyDescent="0.25">
      <c r="A237" s="17"/>
      <c r="B237" s="17"/>
      <c r="C237" s="17" t="s">
        <v>263</v>
      </c>
      <c r="D237" s="18" t="s">
        <v>264</v>
      </c>
      <c r="E237" s="19">
        <v>1</v>
      </c>
      <c r="F237" s="20"/>
      <c r="G237" s="21" t="s">
        <v>13</v>
      </c>
      <c r="H237" s="19">
        <v>1</v>
      </c>
      <c r="I237" s="20">
        <v>2.4</v>
      </c>
      <c r="J237" s="19"/>
      <c r="K237" s="20"/>
    </row>
    <row r="238" spans="1:11" ht="14" x14ac:dyDescent="0.25">
      <c r="C238" s="22" t="s">
        <v>265</v>
      </c>
      <c r="H238" s="143">
        <v>74.12</v>
      </c>
      <c r="I238" s="143"/>
      <c r="J238" s="143">
        <v>4096.1099999999997</v>
      </c>
      <c r="K238" s="143"/>
    </row>
    <row r="239" spans="1:11" ht="14" x14ac:dyDescent="0.25">
      <c r="C239" s="22" t="s">
        <v>267</v>
      </c>
      <c r="H239" s="141">
        <v>74.12</v>
      </c>
      <c r="I239" s="141"/>
      <c r="J239" s="141">
        <v>4096.1099999999997</v>
      </c>
      <c r="K239" s="141"/>
    </row>
    <row r="241" spans="1:11" ht="68" x14ac:dyDescent="0.25">
      <c r="A241" s="38">
        <v>34</v>
      </c>
      <c r="B241" s="38" t="s">
        <v>409</v>
      </c>
      <c r="C241" s="38" t="s">
        <v>1992</v>
      </c>
      <c r="D241" s="39" t="s">
        <v>11</v>
      </c>
      <c r="E241" s="40">
        <v>2</v>
      </c>
      <c r="F241" s="41">
        <v>44.98</v>
      </c>
      <c r="G241" s="42" t="s">
        <v>1</v>
      </c>
      <c r="H241" s="40">
        <v>1</v>
      </c>
      <c r="I241" s="41">
        <v>89.96</v>
      </c>
      <c r="J241" s="40">
        <v>7.54</v>
      </c>
      <c r="K241" s="41">
        <v>678.3</v>
      </c>
    </row>
    <row r="242" spans="1:11" ht="14" x14ac:dyDescent="0.25">
      <c r="A242" s="43"/>
      <c r="B242" s="43"/>
      <c r="C242" s="44" t="s">
        <v>267</v>
      </c>
      <c r="D242" s="43"/>
      <c r="E242" s="43"/>
      <c r="F242" s="43"/>
      <c r="G242" s="43"/>
      <c r="H242" s="156">
        <v>89.96</v>
      </c>
      <c r="I242" s="156"/>
      <c r="J242" s="156">
        <v>678.3</v>
      </c>
      <c r="K242" s="156"/>
    </row>
    <row r="244" spans="1:11" ht="79" x14ac:dyDescent="0.25">
      <c r="A244" s="10">
        <v>35</v>
      </c>
      <c r="B244" s="10" t="s">
        <v>1001</v>
      </c>
      <c r="C244" s="10" t="s">
        <v>1002</v>
      </c>
      <c r="D244" s="12" t="s">
        <v>24</v>
      </c>
      <c r="E244" s="11">
        <v>2</v>
      </c>
      <c r="F244" s="14"/>
      <c r="G244" s="13"/>
      <c r="H244" s="11"/>
      <c r="I244" s="14"/>
      <c r="J244" s="11"/>
      <c r="K244" s="14"/>
    </row>
    <row r="245" spans="1:11" ht="14.5" x14ac:dyDescent="0.25">
      <c r="A245" s="10"/>
      <c r="B245" s="10"/>
      <c r="C245" s="10" t="s">
        <v>256</v>
      </c>
      <c r="D245" s="12"/>
      <c r="E245" s="11"/>
      <c r="F245" s="14">
        <v>23.04</v>
      </c>
      <c r="G245" s="15" t="s">
        <v>13</v>
      </c>
      <c r="H245" s="11">
        <v>1</v>
      </c>
      <c r="I245" s="14">
        <v>55.3</v>
      </c>
      <c r="J245" s="11">
        <v>57.05</v>
      </c>
      <c r="K245" s="14">
        <v>3154.87</v>
      </c>
    </row>
    <row r="246" spans="1:11" ht="14.5" x14ac:dyDescent="0.25">
      <c r="A246" s="10"/>
      <c r="B246" s="10"/>
      <c r="C246" s="10" t="s">
        <v>257</v>
      </c>
      <c r="D246" s="12"/>
      <c r="E246" s="11"/>
      <c r="F246" s="14">
        <v>0.05</v>
      </c>
      <c r="G246" s="15" t="s">
        <v>13</v>
      </c>
      <c r="H246" s="11">
        <v>1</v>
      </c>
      <c r="I246" s="14">
        <v>0.12</v>
      </c>
      <c r="J246" s="11">
        <v>20.399999999999999</v>
      </c>
      <c r="K246" s="14">
        <v>2.4500000000000002</v>
      </c>
    </row>
    <row r="247" spans="1:11" ht="14.5" x14ac:dyDescent="0.25">
      <c r="A247" s="10"/>
      <c r="B247" s="10"/>
      <c r="C247" s="10" t="s">
        <v>258</v>
      </c>
      <c r="D247" s="12"/>
      <c r="E247" s="11"/>
      <c r="F247" s="14">
        <v>0.01</v>
      </c>
      <c r="G247" s="15" t="s">
        <v>13</v>
      </c>
      <c r="H247" s="11">
        <v>1</v>
      </c>
      <c r="I247" s="16">
        <v>0.02</v>
      </c>
      <c r="J247" s="11">
        <v>57.05</v>
      </c>
      <c r="K247" s="16">
        <v>1.1399999999999999</v>
      </c>
    </row>
    <row r="248" spans="1:11" ht="14.5" x14ac:dyDescent="0.25">
      <c r="A248" s="10"/>
      <c r="B248" s="10"/>
      <c r="C248" s="10" t="s">
        <v>259</v>
      </c>
      <c r="D248" s="12"/>
      <c r="E248" s="11"/>
      <c r="F248" s="14">
        <v>3.43</v>
      </c>
      <c r="G248" s="15" t="s">
        <v>1</v>
      </c>
      <c r="H248" s="11">
        <v>1</v>
      </c>
      <c r="I248" s="14">
        <v>6.86</v>
      </c>
      <c r="J248" s="11">
        <v>10.18</v>
      </c>
      <c r="K248" s="14">
        <v>69.83</v>
      </c>
    </row>
    <row r="249" spans="1:11" ht="14.5" x14ac:dyDescent="0.25">
      <c r="A249" s="10"/>
      <c r="B249" s="10"/>
      <c r="C249" s="10" t="s">
        <v>260</v>
      </c>
      <c r="D249" s="12" t="s">
        <v>261</v>
      </c>
      <c r="E249" s="11">
        <v>90</v>
      </c>
      <c r="F249" s="14"/>
      <c r="G249" s="13"/>
      <c r="H249" s="11"/>
      <c r="I249" s="14">
        <v>49.79</v>
      </c>
      <c r="J249" s="11">
        <v>90</v>
      </c>
      <c r="K249" s="14">
        <v>2840.41</v>
      </c>
    </row>
    <row r="250" spans="1:11" ht="14.5" x14ac:dyDescent="0.25">
      <c r="A250" s="10"/>
      <c r="B250" s="10"/>
      <c r="C250" s="10" t="s">
        <v>262</v>
      </c>
      <c r="D250" s="12" t="s">
        <v>261</v>
      </c>
      <c r="E250" s="11">
        <v>46</v>
      </c>
      <c r="F250" s="14"/>
      <c r="G250" s="13"/>
      <c r="H250" s="11"/>
      <c r="I250" s="14">
        <v>25.45</v>
      </c>
      <c r="J250" s="11">
        <v>46</v>
      </c>
      <c r="K250" s="14">
        <v>1451.76</v>
      </c>
    </row>
    <row r="251" spans="1:11" ht="14.5" x14ac:dyDescent="0.25">
      <c r="A251" s="17"/>
      <c r="B251" s="17"/>
      <c r="C251" s="17" t="s">
        <v>263</v>
      </c>
      <c r="D251" s="18" t="s">
        <v>264</v>
      </c>
      <c r="E251" s="19">
        <v>1.8</v>
      </c>
      <c r="F251" s="20"/>
      <c r="G251" s="21" t="s">
        <v>13</v>
      </c>
      <c r="H251" s="19">
        <v>1</v>
      </c>
      <c r="I251" s="20">
        <v>4.32</v>
      </c>
      <c r="J251" s="19"/>
      <c r="K251" s="20"/>
    </row>
    <row r="252" spans="1:11" ht="14" x14ac:dyDescent="0.25">
      <c r="C252" s="22" t="s">
        <v>265</v>
      </c>
      <c r="H252" s="143">
        <v>137.52000000000001</v>
      </c>
      <c r="I252" s="143"/>
      <c r="J252" s="143">
        <v>7519.32</v>
      </c>
      <c r="K252" s="143"/>
    </row>
    <row r="253" spans="1:11" ht="14" x14ac:dyDescent="0.25">
      <c r="C253" s="22" t="s">
        <v>267</v>
      </c>
      <c r="H253" s="141">
        <v>137.52000000000001</v>
      </c>
      <c r="I253" s="141"/>
      <c r="J253" s="141">
        <v>7519.32</v>
      </c>
      <c r="K253" s="141"/>
    </row>
    <row r="255" spans="1:11" ht="54" x14ac:dyDescent="0.25">
      <c r="A255" s="38">
        <v>36</v>
      </c>
      <c r="B255" s="38" t="s">
        <v>409</v>
      </c>
      <c r="C255" s="38" t="s">
        <v>1993</v>
      </c>
      <c r="D255" s="39" t="s">
        <v>11</v>
      </c>
      <c r="E255" s="40">
        <v>2</v>
      </c>
      <c r="F255" s="41">
        <v>140.38999999999999</v>
      </c>
      <c r="G255" s="42" t="s">
        <v>1</v>
      </c>
      <c r="H255" s="40">
        <v>1</v>
      </c>
      <c r="I255" s="41">
        <v>280.77999999999997</v>
      </c>
      <c r="J255" s="40">
        <v>7.54</v>
      </c>
      <c r="K255" s="41">
        <v>2117.08</v>
      </c>
    </row>
    <row r="256" spans="1:11" ht="14" x14ac:dyDescent="0.25">
      <c r="A256" s="43"/>
      <c r="B256" s="43"/>
      <c r="C256" s="44" t="s">
        <v>267</v>
      </c>
      <c r="D256" s="43"/>
      <c r="E256" s="43"/>
      <c r="F256" s="43"/>
      <c r="G256" s="43"/>
      <c r="H256" s="156">
        <v>280.77999999999997</v>
      </c>
      <c r="I256" s="156"/>
      <c r="J256" s="156">
        <v>2117.08</v>
      </c>
      <c r="K256" s="156"/>
    </row>
    <row r="257" spans="1:11" x14ac:dyDescent="0.2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</row>
    <row r="258" spans="1:11" ht="54" x14ac:dyDescent="0.25">
      <c r="A258" s="38">
        <v>37</v>
      </c>
      <c r="B258" s="38" t="s">
        <v>409</v>
      </c>
      <c r="C258" s="38" t="s">
        <v>1994</v>
      </c>
      <c r="D258" s="39" t="s">
        <v>11</v>
      </c>
      <c r="E258" s="40">
        <v>4</v>
      </c>
      <c r="F258" s="41">
        <v>115.25</v>
      </c>
      <c r="G258" s="42" t="s">
        <v>1</v>
      </c>
      <c r="H258" s="40">
        <v>1</v>
      </c>
      <c r="I258" s="41">
        <v>461</v>
      </c>
      <c r="J258" s="40">
        <v>7.54</v>
      </c>
      <c r="K258" s="41">
        <v>3475.94</v>
      </c>
    </row>
    <row r="259" spans="1:11" ht="14" x14ac:dyDescent="0.25">
      <c r="A259" s="43"/>
      <c r="B259" s="43"/>
      <c r="C259" s="44" t="s">
        <v>267</v>
      </c>
      <c r="D259" s="43"/>
      <c r="E259" s="43"/>
      <c r="F259" s="43"/>
      <c r="G259" s="43"/>
      <c r="H259" s="156">
        <v>461</v>
      </c>
      <c r="I259" s="156"/>
      <c r="J259" s="156">
        <v>3475.94</v>
      </c>
      <c r="K259" s="156"/>
    </row>
    <row r="261" spans="1:11" ht="79" x14ac:dyDescent="0.25">
      <c r="A261" s="10">
        <v>38</v>
      </c>
      <c r="B261" s="10" t="s">
        <v>992</v>
      </c>
      <c r="C261" s="10" t="s">
        <v>993</v>
      </c>
      <c r="D261" s="12" t="s">
        <v>24</v>
      </c>
      <c r="E261" s="11">
        <v>2</v>
      </c>
      <c r="F261" s="14"/>
      <c r="G261" s="13"/>
      <c r="H261" s="11"/>
      <c r="I261" s="14"/>
      <c r="J261" s="11"/>
      <c r="K261" s="14"/>
    </row>
    <row r="262" spans="1:11" ht="14.5" x14ac:dyDescent="0.25">
      <c r="A262" s="10"/>
      <c r="B262" s="10"/>
      <c r="C262" s="10" t="s">
        <v>256</v>
      </c>
      <c r="D262" s="12"/>
      <c r="E262" s="11"/>
      <c r="F262" s="14">
        <v>10.6</v>
      </c>
      <c r="G262" s="15" t="s">
        <v>13</v>
      </c>
      <c r="H262" s="11">
        <v>1</v>
      </c>
      <c r="I262" s="14">
        <v>25.44</v>
      </c>
      <c r="J262" s="11">
        <v>57.05</v>
      </c>
      <c r="K262" s="14">
        <v>1451.35</v>
      </c>
    </row>
    <row r="263" spans="1:11" ht="14.5" x14ac:dyDescent="0.25">
      <c r="A263" s="10"/>
      <c r="B263" s="10"/>
      <c r="C263" s="10" t="s">
        <v>259</v>
      </c>
      <c r="D263" s="12"/>
      <c r="E263" s="11"/>
      <c r="F263" s="14">
        <v>1.05</v>
      </c>
      <c r="G263" s="15" t="s">
        <v>1</v>
      </c>
      <c r="H263" s="11">
        <v>1</v>
      </c>
      <c r="I263" s="14">
        <v>2.1</v>
      </c>
      <c r="J263" s="11">
        <v>10.18</v>
      </c>
      <c r="K263" s="14">
        <v>21.38</v>
      </c>
    </row>
    <row r="264" spans="1:11" ht="14.5" x14ac:dyDescent="0.25">
      <c r="A264" s="10"/>
      <c r="B264" s="10"/>
      <c r="C264" s="10" t="s">
        <v>260</v>
      </c>
      <c r="D264" s="12" t="s">
        <v>261</v>
      </c>
      <c r="E264" s="11">
        <v>90</v>
      </c>
      <c r="F264" s="14"/>
      <c r="G264" s="13"/>
      <c r="H264" s="11"/>
      <c r="I264" s="14">
        <v>22.9</v>
      </c>
      <c r="J264" s="11">
        <v>90</v>
      </c>
      <c r="K264" s="14">
        <v>1306.22</v>
      </c>
    </row>
    <row r="265" spans="1:11" ht="14.5" x14ac:dyDescent="0.25">
      <c r="A265" s="10"/>
      <c r="B265" s="10"/>
      <c r="C265" s="10" t="s">
        <v>262</v>
      </c>
      <c r="D265" s="12" t="s">
        <v>261</v>
      </c>
      <c r="E265" s="11">
        <v>46</v>
      </c>
      <c r="F265" s="14"/>
      <c r="G265" s="13"/>
      <c r="H265" s="11"/>
      <c r="I265" s="14">
        <v>11.7</v>
      </c>
      <c r="J265" s="11">
        <v>46</v>
      </c>
      <c r="K265" s="14">
        <v>667.62</v>
      </c>
    </row>
    <row r="266" spans="1:11" ht="14.5" x14ac:dyDescent="0.25">
      <c r="A266" s="17"/>
      <c r="B266" s="17"/>
      <c r="C266" s="17" t="s">
        <v>263</v>
      </c>
      <c r="D266" s="18" t="s">
        <v>264</v>
      </c>
      <c r="E266" s="19">
        <v>0.84</v>
      </c>
      <c r="F266" s="20"/>
      <c r="G266" s="21" t="s">
        <v>13</v>
      </c>
      <c r="H266" s="19">
        <v>1</v>
      </c>
      <c r="I266" s="20">
        <v>2.02</v>
      </c>
      <c r="J266" s="19"/>
      <c r="K266" s="20"/>
    </row>
    <row r="267" spans="1:11" ht="14" x14ac:dyDescent="0.25">
      <c r="C267" s="22" t="s">
        <v>265</v>
      </c>
      <c r="H267" s="143">
        <v>62.14</v>
      </c>
      <c r="I267" s="143"/>
      <c r="J267" s="143">
        <v>3446.57</v>
      </c>
      <c r="K267" s="143"/>
    </row>
    <row r="268" spans="1:11" ht="14" x14ac:dyDescent="0.25">
      <c r="C268" s="22" t="s">
        <v>267</v>
      </c>
      <c r="H268" s="141">
        <v>62.14</v>
      </c>
      <c r="I268" s="141"/>
      <c r="J268" s="141">
        <v>3446.57</v>
      </c>
      <c r="K268" s="141"/>
    </row>
    <row r="270" spans="1:11" ht="54" x14ac:dyDescent="0.25">
      <c r="A270" s="17">
        <v>39</v>
      </c>
      <c r="B270" s="17" t="s">
        <v>409</v>
      </c>
      <c r="C270" s="17" t="s">
        <v>1995</v>
      </c>
      <c r="D270" s="18" t="s">
        <v>11</v>
      </c>
      <c r="E270" s="19">
        <v>2</v>
      </c>
      <c r="F270" s="20">
        <v>45.89</v>
      </c>
      <c r="G270" s="21" t="s">
        <v>1</v>
      </c>
      <c r="H270" s="19">
        <v>1</v>
      </c>
      <c r="I270" s="20">
        <v>91.78</v>
      </c>
      <c r="J270" s="19">
        <v>7.54</v>
      </c>
      <c r="K270" s="20">
        <v>692.02</v>
      </c>
    </row>
    <row r="271" spans="1:11" ht="14" x14ac:dyDescent="0.25">
      <c r="C271" s="22" t="s">
        <v>267</v>
      </c>
      <c r="H271" s="143">
        <v>91.78</v>
      </c>
      <c r="I271" s="143"/>
      <c r="J271" s="143">
        <v>692.02</v>
      </c>
      <c r="K271" s="143"/>
    </row>
    <row r="274" spans="1:11" ht="14" x14ac:dyDescent="0.3">
      <c r="A274" s="140" t="s">
        <v>1023</v>
      </c>
      <c r="B274" s="140"/>
      <c r="C274" s="140"/>
      <c r="D274" s="140"/>
      <c r="E274" s="140"/>
      <c r="F274" s="140"/>
      <c r="G274" s="140"/>
      <c r="H274" s="141">
        <v>49434.05</v>
      </c>
      <c r="I274" s="142"/>
      <c r="J274" s="141">
        <v>747748.48</v>
      </c>
      <c r="K274" s="142"/>
    </row>
    <row r="276" spans="1:11" ht="16.5" x14ac:dyDescent="0.25">
      <c r="A276" s="144" t="s">
        <v>1024</v>
      </c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</row>
    <row r="277" spans="1:11" ht="79" x14ac:dyDescent="0.25">
      <c r="A277" s="10">
        <v>40</v>
      </c>
      <c r="B277" s="10" t="s">
        <v>1003</v>
      </c>
      <c r="C277" s="10" t="s">
        <v>1004</v>
      </c>
      <c r="D277" s="12" t="s">
        <v>50</v>
      </c>
      <c r="E277" s="11">
        <v>3</v>
      </c>
      <c r="F277" s="14"/>
      <c r="G277" s="13"/>
      <c r="H277" s="11"/>
      <c r="I277" s="14"/>
      <c r="J277" s="11"/>
      <c r="K277" s="14"/>
    </row>
    <row r="278" spans="1:11" x14ac:dyDescent="0.25">
      <c r="C278" s="23" t="s">
        <v>1025</v>
      </c>
    </row>
    <row r="279" spans="1:11" ht="14.5" x14ac:dyDescent="0.25">
      <c r="A279" s="10"/>
      <c r="B279" s="10"/>
      <c r="C279" s="10" t="s">
        <v>256</v>
      </c>
      <c r="D279" s="12"/>
      <c r="E279" s="11"/>
      <c r="F279" s="14">
        <v>185.09</v>
      </c>
      <c r="G279" s="15" t="s">
        <v>13</v>
      </c>
      <c r="H279" s="11">
        <v>1</v>
      </c>
      <c r="I279" s="14">
        <v>666.32</v>
      </c>
      <c r="J279" s="11">
        <v>57.05</v>
      </c>
      <c r="K279" s="14">
        <v>38013.56</v>
      </c>
    </row>
    <row r="280" spans="1:11" ht="14.5" x14ac:dyDescent="0.25">
      <c r="A280" s="10"/>
      <c r="B280" s="10"/>
      <c r="C280" s="10" t="s">
        <v>257</v>
      </c>
      <c r="D280" s="12"/>
      <c r="E280" s="11"/>
      <c r="F280" s="14">
        <v>32.74</v>
      </c>
      <c r="G280" s="15" t="s">
        <v>13</v>
      </c>
      <c r="H280" s="11">
        <v>1</v>
      </c>
      <c r="I280" s="14">
        <v>117.86</v>
      </c>
      <c r="J280" s="11">
        <v>18.920000000000002</v>
      </c>
      <c r="K280" s="14">
        <v>2229.91</v>
      </c>
    </row>
    <row r="281" spans="1:11" ht="14.5" x14ac:dyDescent="0.25">
      <c r="A281" s="10"/>
      <c r="B281" s="10"/>
      <c r="C281" s="10" t="s">
        <v>258</v>
      </c>
      <c r="D281" s="12"/>
      <c r="E281" s="11"/>
      <c r="F281" s="14">
        <v>5.46</v>
      </c>
      <c r="G281" s="15" t="s">
        <v>13</v>
      </c>
      <c r="H281" s="11">
        <v>1</v>
      </c>
      <c r="I281" s="16">
        <v>19.66</v>
      </c>
      <c r="J281" s="11">
        <v>57.05</v>
      </c>
      <c r="K281" s="16">
        <v>1121.5999999999999</v>
      </c>
    </row>
    <row r="282" spans="1:11" ht="14.5" x14ac:dyDescent="0.25">
      <c r="A282" s="10"/>
      <c r="B282" s="10"/>
      <c r="C282" s="10" t="s">
        <v>259</v>
      </c>
      <c r="D282" s="12"/>
      <c r="E282" s="11"/>
      <c r="F282" s="14">
        <v>343.03</v>
      </c>
      <c r="G282" s="15" t="s">
        <v>1</v>
      </c>
      <c r="H282" s="11">
        <v>1</v>
      </c>
      <c r="I282" s="14">
        <v>1029.0899999999999</v>
      </c>
      <c r="J282" s="11">
        <v>10.18</v>
      </c>
      <c r="K282" s="14">
        <v>10476.14</v>
      </c>
    </row>
    <row r="283" spans="1:11" ht="42" x14ac:dyDescent="0.25">
      <c r="A283" s="10" t="s">
        <v>1005</v>
      </c>
      <c r="B283" s="10" t="s">
        <v>1026</v>
      </c>
      <c r="C283" s="10" t="s">
        <v>1006</v>
      </c>
      <c r="D283" s="12" t="s">
        <v>52</v>
      </c>
      <c r="E283" s="11">
        <v>306</v>
      </c>
      <c r="F283" s="14">
        <v>2.67</v>
      </c>
      <c r="G283" s="15" t="s">
        <v>1</v>
      </c>
      <c r="H283" s="11">
        <v>1</v>
      </c>
      <c r="I283" s="14">
        <v>817.02</v>
      </c>
      <c r="J283" s="11">
        <v>3.77</v>
      </c>
      <c r="K283" s="14">
        <v>3080.17</v>
      </c>
    </row>
    <row r="284" spans="1:11" ht="84" x14ac:dyDescent="0.25">
      <c r="A284" s="10" t="s">
        <v>1007</v>
      </c>
      <c r="B284" s="10" t="s">
        <v>955</v>
      </c>
      <c r="C284" s="10" t="s">
        <v>923</v>
      </c>
      <c r="D284" s="12" t="s">
        <v>38</v>
      </c>
      <c r="E284" s="11">
        <v>100</v>
      </c>
      <c r="F284" s="14">
        <v>22.95</v>
      </c>
      <c r="G284" s="15" t="s">
        <v>1</v>
      </c>
      <c r="H284" s="11">
        <v>1</v>
      </c>
      <c r="I284" s="14">
        <v>2295</v>
      </c>
      <c r="J284" s="11">
        <v>9.8800000000000008</v>
      </c>
      <c r="K284" s="14">
        <v>22674.6</v>
      </c>
    </row>
    <row r="285" spans="1:11" ht="42" x14ac:dyDescent="0.25">
      <c r="A285" s="10" t="s">
        <v>1008</v>
      </c>
      <c r="B285" s="10" t="s">
        <v>1027</v>
      </c>
      <c r="C285" s="10" t="s">
        <v>1009</v>
      </c>
      <c r="D285" s="12" t="s">
        <v>88</v>
      </c>
      <c r="E285" s="11">
        <v>0.9</v>
      </c>
      <c r="F285" s="14">
        <v>336.94</v>
      </c>
      <c r="G285" s="15" t="s">
        <v>1</v>
      </c>
      <c r="H285" s="11">
        <v>1</v>
      </c>
      <c r="I285" s="14">
        <v>303.25</v>
      </c>
      <c r="J285" s="11">
        <v>3.09</v>
      </c>
      <c r="K285" s="14">
        <v>937.04</v>
      </c>
    </row>
    <row r="286" spans="1:11" ht="14.5" x14ac:dyDescent="0.25">
      <c r="A286" s="10"/>
      <c r="B286" s="10"/>
      <c r="C286" s="10" t="s">
        <v>260</v>
      </c>
      <c r="D286" s="12" t="s">
        <v>261</v>
      </c>
      <c r="E286" s="11">
        <v>97</v>
      </c>
      <c r="F286" s="14"/>
      <c r="G286" s="13"/>
      <c r="H286" s="11"/>
      <c r="I286" s="14">
        <v>665.4</v>
      </c>
      <c r="J286" s="11">
        <v>97</v>
      </c>
      <c r="K286" s="14">
        <v>37961.11</v>
      </c>
    </row>
    <row r="287" spans="1:11" ht="14.5" x14ac:dyDescent="0.25">
      <c r="A287" s="10"/>
      <c r="B287" s="10"/>
      <c r="C287" s="10" t="s">
        <v>262</v>
      </c>
      <c r="D287" s="12" t="s">
        <v>261</v>
      </c>
      <c r="E287" s="11">
        <v>51</v>
      </c>
      <c r="F287" s="14"/>
      <c r="G287" s="13"/>
      <c r="H287" s="11"/>
      <c r="I287" s="14">
        <v>349.85</v>
      </c>
      <c r="J287" s="11">
        <v>51</v>
      </c>
      <c r="K287" s="14">
        <v>19958.93</v>
      </c>
    </row>
    <row r="288" spans="1:11" ht="14.5" x14ac:dyDescent="0.25">
      <c r="A288" s="17"/>
      <c r="B288" s="17"/>
      <c r="C288" s="17" t="s">
        <v>263</v>
      </c>
      <c r="D288" s="18" t="s">
        <v>264</v>
      </c>
      <c r="E288" s="19">
        <v>14.37</v>
      </c>
      <c r="F288" s="20"/>
      <c r="G288" s="21" t="s">
        <v>13</v>
      </c>
      <c r="H288" s="19">
        <v>1</v>
      </c>
      <c r="I288" s="20">
        <v>51.73</v>
      </c>
      <c r="J288" s="19"/>
      <c r="K288" s="20"/>
    </row>
    <row r="289" spans="1:11" ht="14" x14ac:dyDescent="0.25">
      <c r="C289" s="22" t="s">
        <v>265</v>
      </c>
      <c r="H289" s="143">
        <v>6243.79</v>
      </c>
      <c r="I289" s="143"/>
      <c r="J289" s="143">
        <v>135331.46</v>
      </c>
      <c r="K289" s="143"/>
    </row>
    <row r="290" spans="1:11" ht="14" x14ac:dyDescent="0.25">
      <c r="C290" s="22" t="s">
        <v>267</v>
      </c>
      <c r="H290" s="141">
        <v>6243.79</v>
      </c>
      <c r="I290" s="141"/>
      <c r="J290" s="141">
        <v>135331.46</v>
      </c>
      <c r="K290" s="141"/>
    </row>
    <row r="292" spans="1:11" ht="79" x14ac:dyDescent="0.25">
      <c r="A292" s="10">
        <v>41</v>
      </c>
      <c r="B292" s="10" t="s">
        <v>1010</v>
      </c>
      <c r="C292" s="10" t="s">
        <v>1011</v>
      </c>
      <c r="D292" s="12" t="s">
        <v>50</v>
      </c>
      <c r="E292" s="11">
        <v>0.5</v>
      </c>
      <c r="F292" s="14"/>
      <c r="G292" s="13"/>
      <c r="H292" s="11"/>
      <c r="I292" s="14"/>
      <c r="J292" s="11"/>
      <c r="K292" s="14"/>
    </row>
    <row r="293" spans="1:11" x14ac:dyDescent="0.25">
      <c r="C293" s="23" t="s">
        <v>402</v>
      </c>
    </row>
    <row r="294" spans="1:11" ht="14.5" x14ac:dyDescent="0.25">
      <c r="A294" s="10"/>
      <c r="B294" s="10"/>
      <c r="C294" s="10" t="s">
        <v>256</v>
      </c>
      <c r="D294" s="12"/>
      <c r="E294" s="11"/>
      <c r="F294" s="14">
        <v>203.28</v>
      </c>
      <c r="G294" s="15" t="s">
        <v>13</v>
      </c>
      <c r="H294" s="11">
        <v>1</v>
      </c>
      <c r="I294" s="14">
        <v>121.97</v>
      </c>
      <c r="J294" s="11">
        <v>57.05</v>
      </c>
      <c r="K294" s="14">
        <v>6958.39</v>
      </c>
    </row>
    <row r="295" spans="1:11" ht="14.5" x14ac:dyDescent="0.25">
      <c r="A295" s="10"/>
      <c r="B295" s="10"/>
      <c r="C295" s="10" t="s">
        <v>257</v>
      </c>
      <c r="D295" s="12"/>
      <c r="E295" s="11"/>
      <c r="F295" s="14">
        <v>61.76</v>
      </c>
      <c r="G295" s="15" t="s">
        <v>13</v>
      </c>
      <c r="H295" s="11">
        <v>1</v>
      </c>
      <c r="I295" s="14">
        <v>37.06</v>
      </c>
      <c r="J295" s="11">
        <v>15.54</v>
      </c>
      <c r="K295" s="14">
        <v>575.91</v>
      </c>
    </row>
    <row r="296" spans="1:11" ht="14.5" x14ac:dyDescent="0.25">
      <c r="A296" s="10"/>
      <c r="B296" s="10"/>
      <c r="C296" s="10" t="s">
        <v>258</v>
      </c>
      <c r="D296" s="12"/>
      <c r="E296" s="11"/>
      <c r="F296" s="14">
        <v>5.43</v>
      </c>
      <c r="G296" s="15" t="s">
        <v>13</v>
      </c>
      <c r="H296" s="11">
        <v>1</v>
      </c>
      <c r="I296" s="16">
        <v>3.26</v>
      </c>
      <c r="J296" s="11">
        <v>57.05</v>
      </c>
      <c r="K296" s="16">
        <v>185.98</v>
      </c>
    </row>
    <row r="297" spans="1:11" ht="14.5" x14ac:dyDescent="0.25">
      <c r="A297" s="10"/>
      <c r="B297" s="10"/>
      <c r="C297" s="10" t="s">
        <v>259</v>
      </c>
      <c r="D297" s="12"/>
      <c r="E297" s="11"/>
      <c r="F297" s="14">
        <v>1688.81</v>
      </c>
      <c r="G297" s="15" t="s">
        <v>1</v>
      </c>
      <c r="H297" s="11">
        <v>1</v>
      </c>
      <c r="I297" s="14">
        <v>844.41</v>
      </c>
      <c r="J297" s="11">
        <v>4.84</v>
      </c>
      <c r="K297" s="14">
        <v>4086.94</v>
      </c>
    </row>
    <row r="298" spans="1:11" ht="42" x14ac:dyDescent="0.25">
      <c r="A298" s="10" t="s">
        <v>1012</v>
      </c>
      <c r="B298" s="10" t="s">
        <v>1028</v>
      </c>
      <c r="C298" s="10" t="s">
        <v>1013</v>
      </c>
      <c r="D298" s="12" t="s">
        <v>52</v>
      </c>
      <c r="E298" s="11">
        <v>51.5</v>
      </c>
      <c r="F298" s="14">
        <v>21.84</v>
      </c>
      <c r="G298" s="15" t="s">
        <v>1</v>
      </c>
      <c r="H298" s="11">
        <v>1</v>
      </c>
      <c r="I298" s="14">
        <v>1124.76</v>
      </c>
      <c r="J298" s="11">
        <v>3.81</v>
      </c>
      <c r="K298" s="14">
        <v>4285.34</v>
      </c>
    </row>
    <row r="299" spans="1:11" ht="14.5" x14ac:dyDescent="0.25">
      <c r="A299" s="10"/>
      <c r="B299" s="10"/>
      <c r="C299" s="10" t="s">
        <v>260</v>
      </c>
      <c r="D299" s="12" t="s">
        <v>261</v>
      </c>
      <c r="E299" s="11">
        <v>97</v>
      </c>
      <c r="F299" s="14"/>
      <c r="G299" s="13"/>
      <c r="H299" s="11"/>
      <c r="I299" s="14">
        <v>121.47</v>
      </c>
      <c r="J299" s="11">
        <v>97</v>
      </c>
      <c r="K299" s="14">
        <v>6930.04</v>
      </c>
    </row>
    <row r="300" spans="1:11" ht="14.5" x14ac:dyDescent="0.25">
      <c r="A300" s="10"/>
      <c r="B300" s="10"/>
      <c r="C300" s="10" t="s">
        <v>262</v>
      </c>
      <c r="D300" s="12" t="s">
        <v>261</v>
      </c>
      <c r="E300" s="11">
        <v>51</v>
      </c>
      <c r="F300" s="14"/>
      <c r="G300" s="13"/>
      <c r="H300" s="11"/>
      <c r="I300" s="14">
        <v>63.87</v>
      </c>
      <c r="J300" s="11">
        <v>51</v>
      </c>
      <c r="K300" s="14">
        <v>3643.63</v>
      </c>
    </row>
    <row r="301" spans="1:11" ht="14.5" x14ac:dyDescent="0.25">
      <c r="A301" s="17"/>
      <c r="B301" s="17"/>
      <c r="C301" s="17" t="s">
        <v>263</v>
      </c>
      <c r="D301" s="18" t="s">
        <v>264</v>
      </c>
      <c r="E301" s="19">
        <v>16.5</v>
      </c>
      <c r="F301" s="20"/>
      <c r="G301" s="21" t="s">
        <v>13</v>
      </c>
      <c r="H301" s="19">
        <v>1</v>
      </c>
      <c r="I301" s="20">
        <v>9.9</v>
      </c>
      <c r="J301" s="19"/>
      <c r="K301" s="20"/>
    </row>
    <row r="302" spans="1:11" ht="14" x14ac:dyDescent="0.25">
      <c r="C302" s="22" t="s">
        <v>265</v>
      </c>
      <c r="H302" s="143">
        <v>2313.54</v>
      </c>
      <c r="I302" s="143"/>
      <c r="J302" s="143">
        <v>26480.25</v>
      </c>
      <c r="K302" s="143"/>
    </row>
    <row r="303" spans="1:11" ht="14" x14ac:dyDescent="0.25">
      <c r="C303" s="22" t="s">
        <v>267</v>
      </c>
      <c r="H303" s="141">
        <v>2313.54</v>
      </c>
      <c r="I303" s="141"/>
      <c r="J303" s="141">
        <v>26480.25</v>
      </c>
      <c r="K303" s="141"/>
    </row>
    <row r="305" spans="1:11" ht="79" x14ac:dyDescent="0.25">
      <c r="A305" s="10">
        <v>42</v>
      </c>
      <c r="B305" s="10" t="s">
        <v>280</v>
      </c>
      <c r="C305" s="10" t="s">
        <v>58</v>
      </c>
      <c r="D305" s="12" t="s">
        <v>50</v>
      </c>
      <c r="E305" s="11">
        <v>3</v>
      </c>
      <c r="F305" s="14"/>
      <c r="G305" s="13"/>
      <c r="H305" s="11"/>
      <c r="I305" s="14"/>
      <c r="J305" s="11"/>
      <c r="K305" s="14"/>
    </row>
    <row r="306" spans="1:11" x14ac:dyDescent="0.25">
      <c r="C306" s="23" t="s">
        <v>1025</v>
      </c>
    </row>
    <row r="307" spans="1:11" ht="14.5" x14ac:dyDescent="0.25">
      <c r="A307" s="10"/>
      <c r="B307" s="10"/>
      <c r="C307" s="10" t="s">
        <v>256</v>
      </c>
      <c r="D307" s="12"/>
      <c r="E307" s="11"/>
      <c r="F307" s="14">
        <v>55.23</v>
      </c>
      <c r="G307" s="15" t="s">
        <v>13</v>
      </c>
      <c r="H307" s="11">
        <v>1</v>
      </c>
      <c r="I307" s="14">
        <v>198.83</v>
      </c>
      <c r="J307" s="11">
        <v>57.05</v>
      </c>
      <c r="K307" s="14">
        <v>11343.25</v>
      </c>
    </row>
    <row r="308" spans="1:11" ht="14.5" x14ac:dyDescent="0.25">
      <c r="A308" s="10"/>
      <c r="B308" s="10"/>
      <c r="C308" s="10" t="s">
        <v>257</v>
      </c>
      <c r="D308" s="12"/>
      <c r="E308" s="11"/>
      <c r="F308" s="14">
        <v>2.62</v>
      </c>
      <c r="G308" s="15" t="s">
        <v>13</v>
      </c>
      <c r="H308" s="11">
        <v>1</v>
      </c>
      <c r="I308" s="14">
        <v>9.43</v>
      </c>
      <c r="J308" s="11">
        <v>15.96</v>
      </c>
      <c r="K308" s="14">
        <v>150.5</v>
      </c>
    </row>
    <row r="309" spans="1:11" ht="14.5" x14ac:dyDescent="0.25">
      <c r="A309" s="10"/>
      <c r="B309" s="10"/>
      <c r="C309" s="10" t="s">
        <v>258</v>
      </c>
      <c r="D309" s="12"/>
      <c r="E309" s="11"/>
      <c r="F309" s="14">
        <v>0.3</v>
      </c>
      <c r="G309" s="15" t="s">
        <v>13</v>
      </c>
      <c r="H309" s="11">
        <v>1</v>
      </c>
      <c r="I309" s="16">
        <v>1.08</v>
      </c>
      <c r="J309" s="11">
        <v>57.05</v>
      </c>
      <c r="K309" s="16">
        <v>61.61</v>
      </c>
    </row>
    <row r="310" spans="1:11" ht="14.5" x14ac:dyDescent="0.25">
      <c r="A310" s="10"/>
      <c r="B310" s="10"/>
      <c r="C310" s="10" t="s">
        <v>259</v>
      </c>
      <c r="D310" s="12"/>
      <c r="E310" s="11"/>
      <c r="F310" s="14">
        <v>58.15</v>
      </c>
      <c r="G310" s="15" t="s">
        <v>1</v>
      </c>
      <c r="H310" s="11">
        <v>1</v>
      </c>
      <c r="I310" s="14">
        <v>174.45</v>
      </c>
      <c r="J310" s="11">
        <v>3.64</v>
      </c>
      <c r="K310" s="14">
        <v>635</v>
      </c>
    </row>
    <row r="311" spans="1:11" ht="14.5" x14ac:dyDescent="0.25">
      <c r="A311" s="10"/>
      <c r="B311" s="10"/>
      <c r="C311" s="10" t="s">
        <v>260</v>
      </c>
      <c r="D311" s="12" t="s">
        <v>261</v>
      </c>
      <c r="E311" s="11">
        <v>97</v>
      </c>
      <c r="F311" s="14"/>
      <c r="G311" s="13"/>
      <c r="H311" s="11"/>
      <c r="I311" s="14">
        <v>193.91</v>
      </c>
      <c r="J311" s="11">
        <v>97</v>
      </c>
      <c r="K311" s="14">
        <v>11062.71</v>
      </c>
    </row>
    <row r="312" spans="1:11" ht="14.5" x14ac:dyDescent="0.25">
      <c r="A312" s="10"/>
      <c r="B312" s="10"/>
      <c r="C312" s="10" t="s">
        <v>262</v>
      </c>
      <c r="D312" s="12" t="s">
        <v>261</v>
      </c>
      <c r="E312" s="11">
        <v>51</v>
      </c>
      <c r="F312" s="14"/>
      <c r="G312" s="13"/>
      <c r="H312" s="11"/>
      <c r="I312" s="14">
        <v>101.95</v>
      </c>
      <c r="J312" s="11">
        <v>51</v>
      </c>
      <c r="K312" s="14">
        <v>5816.48</v>
      </c>
    </row>
    <row r="313" spans="1:11" ht="14.5" x14ac:dyDescent="0.25">
      <c r="A313" s="17"/>
      <c r="B313" s="17"/>
      <c r="C313" s="17" t="s">
        <v>263</v>
      </c>
      <c r="D313" s="18" t="s">
        <v>264</v>
      </c>
      <c r="E313" s="19">
        <v>4.49</v>
      </c>
      <c r="F313" s="20"/>
      <c r="G313" s="21" t="s">
        <v>13</v>
      </c>
      <c r="H313" s="19">
        <v>1</v>
      </c>
      <c r="I313" s="20">
        <v>16.16</v>
      </c>
      <c r="J313" s="19"/>
      <c r="K313" s="20"/>
    </row>
    <row r="314" spans="1:11" ht="14" x14ac:dyDescent="0.25">
      <c r="C314" s="22" t="s">
        <v>265</v>
      </c>
      <c r="H314" s="143">
        <v>678.57</v>
      </c>
      <c r="I314" s="143"/>
      <c r="J314" s="143">
        <v>29007.94</v>
      </c>
      <c r="K314" s="143"/>
    </row>
    <row r="315" spans="1:11" ht="14" x14ac:dyDescent="0.25">
      <c r="C315" s="22" t="s">
        <v>267</v>
      </c>
      <c r="H315" s="141">
        <v>678.57</v>
      </c>
      <c r="I315" s="141"/>
      <c r="J315" s="141">
        <v>29007.94</v>
      </c>
      <c r="K315" s="141"/>
    </row>
    <row r="317" spans="1:11" ht="98" x14ac:dyDescent="0.25">
      <c r="A317" s="10">
        <v>43</v>
      </c>
      <c r="B317" s="10" t="s">
        <v>1014</v>
      </c>
      <c r="C317" s="10" t="s">
        <v>1015</v>
      </c>
      <c r="D317" s="12" t="s">
        <v>50</v>
      </c>
      <c r="E317" s="11">
        <v>38</v>
      </c>
      <c r="F317" s="14"/>
      <c r="G317" s="13"/>
      <c r="H317" s="11"/>
      <c r="I317" s="14"/>
      <c r="J317" s="11"/>
      <c r="K317" s="14"/>
    </row>
    <row r="318" spans="1:11" x14ac:dyDescent="0.25">
      <c r="C318" s="23" t="s">
        <v>1029</v>
      </c>
    </row>
    <row r="319" spans="1:11" ht="14.5" x14ac:dyDescent="0.25">
      <c r="A319" s="10"/>
      <c r="B319" s="10"/>
      <c r="C319" s="10" t="s">
        <v>256</v>
      </c>
      <c r="D319" s="12"/>
      <c r="E319" s="11"/>
      <c r="F319" s="14">
        <v>22.51</v>
      </c>
      <c r="G319" s="15" t="s">
        <v>13</v>
      </c>
      <c r="H319" s="11">
        <v>1</v>
      </c>
      <c r="I319" s="14">
        <v>1026.46</v>
      </c>
      <c r="J319" s="11">
        <v>57.05</v>
      </c>
      <c r="K319" s="14">
        <v>58559.54</v>
      </c>
    </row>
    <row r="320" spans="1:11" ht="14.5" x14ac:dyDescent="0.25">
      <c r="A320" s="10"/>
      <c r="B320" s="10"/>
      <c r="C320" s="10" t="s">
        <v>257</v>
      </c>
      <c r="D320" s="12"/>
      <c r="E320" s="11"/>
      <c r="F320" s="14">
        <v>2.62</v>
      </c>
      <c r="G320" s="15" t="s">
        <v>13</v>
      </c>
      <c r="H320" s="11">
        <v>1</v>
      </c>
      <c r="I320" s="14">
        <v>119.47</v>
      </c>
      <c r="J320" s="11">
        <v>15.96</v>
      </c>
      <c r="K320" s="14">
        <v>1906.74</v>
      </c>
    </row>
    <row r="321" spans="1:11" ht="14.5" x14ac:dyDescent="0.25">
      <c r="A321" s="10"/>
      <c r="B321" s="10"/>
      <c r="C321" s="10" t="s">
        <v>258</v>
      </c>
      <c r="D321" s="12"/>
      <c r="E321" s="11"/>
      <c r="F321" s="14">
        <v>0.3</v>
      </c>
      <c r="G321" s="15" t="s">
        <v>13</v>
      </c>
      <c r="H321" s="11">
        <v>1</v>
      </c>
      <c r="I321" s="16">
        <v>13.68</v>
      </c>
      <c r="J321" s="11">
        <v>57.05</v>
      </c>
      <c r="K321" s="16">
        <v>780.44</v>
      </c>
    </row>
    <row r="322" spans="1:11" ht="14.5" x14ac:dyDescent="0.25">
      <c r="A322" s="10"/>
      <c r="B322" s="10"/>
      <c r="C322" s="10" t="s">
        <v>259</v>
      </c>
      <c r="D322" s="12"/>
      <c r="E322" s="11"/>
      <c r="F322" s="14">
        <v>55.47</v>
      </c>
      <c r="G322" s="15" t="s">
        <v>1</v>
      </c>
      <c r="H322" s="11">
        <v>1</v>
      </c>
      <c r="I322" s="14">
        <v>2107.86</v>
      </c>
      <c r="J322" s="11">
        <v>3.04</v>
      </c>
      <c r="K322" s="14">
        <v>6407.89</v>
      </c>
    </row>
    <row r="323" spans="1:11" ht="14.5" x14ac:dyDescent="0.25">
      <c r="A323" s="10"/>
      <c r="B323" s="10"/>
      <c r="C323" s="10" t="s">
        <v>260</v>
      </c>
      <c r="D323" s="12" t="s">
        <v>261</v>
      </c>
      <c r="E323" s="11">
        <v>97</v>
      </c>
      <c r="F323" s="14"/>
      <c r="G323" s="13"/>
      <c r="H323" s="11"/>
      <c r="I323" s="14">
        <v>1008.94</v>
      </c>
      <c r="J323" s="11">
        <v>97</v>
      </c>
      <c r="K323" s="14">
        <v>57559.78</v>
      </c>
    </row>
    <row r="324" spans="1:11" ht="14.5" x14ac:dyDescent="0.25">
      <c r="A324" s="10"/>
      <c r="B324" s="10"/>
      <c r="C324" s="10" t="s">
        <v>262</v>
      </c>
      <c r="D324" s="12" t="s">
        <v>261</v>
      </c>
      <c r="E324" s="11">
        <v>51</v>
      </c>
      <c r="F324" s="14"/>
      <c r="G324" s="13"/>
      <c r="H324" s="11"/>
      <c r="I324" s="14">
        <v>530.47</v>
      </c>
      <c r="J324" s="11">
        <v>51</v>
      </c>
      <c r="K324" s="14">
        <v>30263.39</v>
      </c>
    </row>
    <row r="325" spans="1:11" ht="14.5" x14ac:dyDescent="0.25">
      <c r="A325" s="17"/>
      <c r="B325" s="17"/>
      <c r="C325" s="17" t="s">
        <v>263</v>
      </c>
      <c r="D325" s="18" t="s">
        <v>264</v>
      </c>
      <c r="E325" s="19">
        <v>1.83</v>
      </c>
      <c r="F325" s="20"/>
      <c r="G325" s="21" t="s">
        <v>13</v>
      </c>
      <c r="H325" s="19">
        <v>1</v>
      </c>
      <c r="I325" s="20">
        <v>83.45</v>
      </c>
      <c r="J325" s="19"/>
      <c r="K325" s="20"/>
    </row>
    <row r="326" spans="1:11" ht="14" x14ac:dyDescent="0.25">
      <c r="C326" s="22" t="s">
        <v>265</v>
      </c>
      <c r="H326" s="143">
        <v>4793.2</v>
      </c>
      <c r="I326" s="143"/>
      <c r="J326" s="143">
        <v>154697.34</v>
      </c>
      <c r="K326" s="143"/>
    </row>
    <row r="327" spans="1:11" ht="14" x14ac:dyDescent="0.25">
      <c r="C327" s="22" t="s">
        <v>267</v>
      </c>
      <c r="H327" s="141">
        <v>4793.2</v>
      </c>
      <c r="I327" s="141"/>
      <c r="J327" s="141">
        <v>154697.34</v>
      </c>
      <c r="K327" s="141"/>
    </row>
    <row r="329" spans="1:11" ht="41" x14ac:dyDescent="0.25">
      <c r="A329" s="17">
        <v>44</v>
      </c>
      <c r="B329" s="17" t="s">
        <v>409</v>
      </c>
      <c r="C329" s="17" t="s">
        <v>1996</v>
      </c>
      <c r="D329" s="18" t="s">
        <v>52</v>
      </c>
      <c r="E329" s="19">
        <v>51</v>
      </c>
      <c r="F329" s="20">
        <v>7.88</v>
      </c>
      <c r="G329" s="21" t="s">
        <v>1</v>
      </c>
      <c r="H329" s="19">
        <v>1</v>
      </c>
      <c r="I329" s="20">
        <v>401.88</v>
      </c>
      <c r="J329" s="19">
        <v>10.18</v>
      </c>
      <c r="K329" s="20">
        <v>4091.14</v>
      </c>
    </row>
    <row r="330" spans="1:11" ht="14" x14ac:dyDescent="0.25">
      <c r="C330" s="22" t="s">
        <v>267</v>
      </c>
      <c r="H330" s="143">
        <v>401.88</v>
      </c>
      <c r="I330" s="143"/>
      <c r="J330" s="143">
        <v>4091.14</v>
      </c>
      <c r="K330" s="143"/>
    </row>
    <row r="332" spans="1:11" ht="27" x14ac:dyDescent="0.25">
      <c r="A332" s="17">
        <v>45</v>
      </c>
      <c r="B332" s="17" t="s">
        <v>409</v>
      </c>
      <c r="C332" s="17" t="s">
        <v>1032</v>
      </c>
      <c r="D332" s="18" t="s">
        <v>52</v>
      </c>
      <c r="E332" s="19">
        <v>51</v>
      </c>
      <c r="F332" s="20">
        <v>2.17</v>
      </c>
      <c r="G332" s="21" t="s">
        <v>1</v>
      </c>
      <c r="H332" s="19">
        <v>1</v>
      </c>
      <c r="I332" s="20">
        <v>110.67</v>
      </c>
      <c r="J332" s="19">
        <v>10.18</v>
      </c>
      <c r="K332" s="20">
        <v>1126.6199999999999</v>
      </c>
    </row>
    <row r="333" spans="1:11" ht="14" x14ac:dyDescent="0.25">
      <c r="C333" s="22" t="s">
        <v>267</v>
      </c>
      <c r="H333" s="143">
        <v>110.67</v>
      </c>
      <c r="I333" s="143"/>
      <c r="J333" s="143">
        <v>1126.6199999999999</v>
      </c>
      <c r="K333" s="143"/>
    </row>
    <row r="335" spans="1:11" ht="55" x14ac:dyDescent="0.25">
      <c r="A335" s="17">
        <v>46</v>
      </c>
      <c r="B335" s="17" t="s">
        <v>409</v>
      </c>
      <c r="C335" s="17" t="s">
        <v>1997</v>
      </c>
      <c r="D335" s="18" t="s">
        <v>52</v>
      </c>
      <c r="E335" s="19">
        <v>3570</v>
      </c>
      <c r="F335" s="20">
        <v>1.1200000000000001</v>
      </c>
      <c r="G335" s="21" t="s">
        <v>1</v>
      </c>
      <c r="H335" s="19">
        <v>1</v>
      </c>
      <c r="I335" s="20">
        <v>3998.4</v>
      </c>
      <c r="J335" s="19">
        <v>10.18</v>
      </c>
      <c r="K335" s="20">
        <v>40703.71</v>
      </c>
    </row>
    <row r="336" spans="1:11" ht="14" x14ac:dyDescent="0.25">
      <c r="C336" s="22" t="s">
        <v>267</v>
      </c>
      <c r="H336" s="143">
        <v>3998.4</v>
      </c>
      <c r="I336" s="143"/>
      <c r="J336" s="143">
        <v>40703.71</v>
      </c>
      <c r="K336" s="143"/>
    </row>
    <row r="338" spans="1:11" ht="55" x14ac:dyDescent="0.25">
      <c r="A338" s="17">
        <v>47</v>
      </c>
      <c r="B338" s="17" t="s">
        <v>409</v>
      </c>
      <c r="C338" s="17" t="s">
        <v>1998</v>
      </c>
      <c r="D338" s="18" t="s">
        <v>52</v>
      </c>
      <c r="E338" s="19">
        <v>510</v>
      </c>
      <c r="F338" s="20">
        <v>7.81</v>
      </c>
      <c r="G338" s="21" t="s">
        <v>1</v>
      </c>
      <c r="H338" s="19">
        <v>1</v>
      </c>
      <c r="I338" s="20">
        <v>3983.1</v>
      </c>
      <c r="J338" s="19">
        <v>10.18</v>
      </c>
      <c r="K338" s="20">
        <v>40547.96</v>
      </c>
    </row>
    <row r="339" spans="1:11" ht="14" x14ac:dyDescent="0.25">
      <c r="C339" s="22" t="s">
        <v>267</v>
      </c>
      <c r="H339" s="143">
        <v>3983.1</v>
      </c>
      <c r="I339" s="143"/>
      <c r="J339" s="143">
        <v>40547.96</v>
      </c>
      <c r="K339" s="143"/>
    </row>
    <row r="342" spans="1:11" ht="14" x14ac:dyDescent="0.3">
      <c r="A342" s="140" t="s">
        <v>1030</v>
      </c>
      <c r="B342" s="140"/>
      <c r="C342" s="140"/>
      <c r="D342" s="140"/>
      <c r="E342" s="140"/>
      <c r="F342" s="140"/>
      <c r="G342" s="140"/>
      <c r="H342" s="141">
        <v>22523.15</v>
      </c>
      <c r="I342" s="142"/>
      <c r="J342" s="141">
        <v>431986.42</v>
      </c>
      <c r="K342" s="142"/>
    </row>
    <row r="344" spans="1:11" ht="14" x14ac:dyDescent="0.3">
      <c r="A344" s="140" t="s">
        <v>435</v>
      </c>
      <c r="B344" s="140"/>
      <c r="C344" s="140"/>
      <c r="D344" s="140"/>
      <c r="E344" s="140"/>
      <c r="F344" s="140"/>
      <c r="G344" s="140"/>
      <c r="H344" s="141">
        <v>84650.14</v>
      </c>
      <c r="I344" s="142"/>
      <c r="J344" s="141">
        <v>1286625.47</v>
      </c>
      <c r="K344" s="142"/>
    </row>
  </sheetData>
  <mergeCells count="168">
    <mergeCell ref="E17:H17"/>
    <mergeCell ref="E18:H18"/>
    <mergeCell ref="A21:K21"/>
    <mergeCell ref="E13:H13"/>
    <mergeCell ref="E14:H14"/>
    <mergeCell ref="E15:H15"/>
    <mergeCell ref="E16:H16"/>
    <mergeCell ref="J2:K2"/>
    <mergeCell ref="A3:K3"/>
    <mergeCell ref="A4:K4"/>
    <mergeCell ref="A6:K6"/>
    <mergeCell ref="A8:K8"/>
    <mergeCell ref="A9:K9"/>
    <mergeCell ref="H36:I36"/>
    <mergeCell ref="J36:K36"/>
    <mergeCell ref="H39:I39"/>
    <mergeCell ref="J39:K39"/>
    <mergeCell ref="H47:I47"/>
    <mergeCell ref="J47:K47"/>
    <mergeCell ref="A24:K24"/>
    <mergeCell ref="H32:I32"/>
    <mergeCell ref="J32:K32"/>
    <mergeCell ref="H33:I33"/>
    <mergeCell ref="J33:K33"/>
    <mergeCell ref="H54:I54"/>
    <mergeCell ref="J54:K54"/>
    <mergeCell ref="A57:G57"/>
    <mergeCell ref="H57:I57"/>
    <mergeCell ref="J57:K57"/>
    <mergeCell ref="A59:K59"/>
    <mergeCell ref="H48:I48"/>
    <mergeCell ref="J48:K48"/>
    <mergeCell ref="H51:I51"/>
    <mergeCell ref="J51:K51"/>
    <mergeCell ref="H72:I72"/>
    <mergeCell ref="J72:K72"/>
    <mergeCell ref="H83:I83"/>
    <mergeCell ref="J83:K83"/>
    <mergeCell ref="H84:I84"/>
    <mergeCell ref="J84:K84"/>
    <mergeCell ref="H68:I68"/>
    <mergeCell ref="J68:K68"/>
    <mergeCell ref="H69:I69"/>
    <mergeCell ref="J69:K69"/>
    <mergeCell ref="H96:I96"/>
    <mergeCell ref="J96:K96"/>
    <mergeCell ref="H99:I99"/>
    <mergeCell ref="J99:K99"/>
    <mergeCell ref="H107:I107"/>
    <mergeCell ref="J107:K107"/>
    <mergeCell ref="H85:I85"/>
    <mergeCell ref="J85:K85"/>
    <mergeCell ref="H95:I95"/>
    <mergeCell ref="J95:K95"/>
    <mergeCell ref="H123:I123"/>
    <mergeCell ref="J123:K123"/>
    <mergeCell ref="H133:I133"/>
    <mergeCell ref="J133:K133"/>
    <mergeCell ref="H119:I119"/>
    <mergeCell ref="J119:K119"/>
    <mergeCell ref="H120:I120"/>
    <mergeCell ref="J120:K120"/>
    <mergeCell ref="H108:I108"/>
    <mergeCell ref="J108:K108"/>
    <mergeCell ref="H111:I111"/>
    <mergeCell ref="J111:K111"/>
    <mergeCell ref="H159:I159"/>
    <mergeCell ref="J159:K159"/>
    <mergeCell ref="H160:I160"/>
    <mergeCell ref="J160:K160"/>
    <mergeCell ref="H148:I148"/>
    <mergeCell ref="J148:K148"/>
    <mergeCell ref="H151:I151"/>
    <mergeCell ref="J151:K151"/>
    <mergeCell ref="H134:I134"/>
    <mergeCell ref="J134:K134"/>
    <mergeCell ref="H137:I137"/>
    <mergeCell ref="J137:K137"/>
    <mergeCell ref="H147:I147"/>
    <mergeCell ref="J147:K147"/>
    <mergeCell ref="H172:I172"/>
    <mergeCell ref="J172:K172"/>
    <mergeCell ref="H175:I175"/>
    <mergeCell ref="J175:K175"/>
    <mergeCell ref="H183:I183"/>
    <mergeCell ref="J183:K183"/>
    <mergeCell ref="H163:I163"/>
    <mergeCell ref="J163:K163"/>
    <mergeCell ref="H171:I171"/>
    <mergeCell ref="J171:K171"/>
    <mergeCell ref="H199:I199"/>
    <mergeCell ref="J199:K199"/>
    <mergeCell ref="H210:I210"/>
    <mergeCell ref="J210:K210"/>
    <mergeCell ref="H195:I195"/>
    <mergeCell ref="J195:K195"/>
    <mergeCell ref="H196:I196"/>
    <mergeCell ref="J196:K196"/>
    <mergeCell ref="H184:I184"/>
    <mergeCell ref="J184:K184"/>
    <mergeCell ref="H187:I187"/>
    <mergeCell ref="J187:K187"/>
    <mergeCell ref="H230:I230"/>
    <mergeCell ref="J230:K230"/>
    <mergeCell ref="H238:I238"/>
    <mergeCell ref="J238:K238"/>
    <mergeCell ref="H224:I224"/>
    <mergeCell ref="J224:K224"/>
    <mergeCell ref="H227:I227"/>
    <mergeCell ref="J227:K227"/>
    <mergeCell ref="H211:I211"/>
    <mergeCell ref="J211:K211"/>
    <mergeCell ref="H214:I214"/>
    <mergeCell ref="J214:K214"/>
    <mergeCell ref="H223:I223"/>
    <mergeCell ref="J223:K223"/>
    <mergeCell ref="H259:I259"/>
    <mergeCell ref="J259:K259"/>
    <mergeCell ref="H267:I267"/>
    <mergeCell ref="J267:K267"/>
    <mergeCell ref="H253:I253"/>
    <mergeCell ref="J253:K253"/>
    <mergeCell ref="H256:I256"/>
    <mergeCell ref="J256:K256"/>
    <mergeCell ref="H239:I239"/>
    <mergeCell ref="J239:K239"/>
    <mergeCell ref="H242:I242"/>
    <mergeCell ref="J242:K242"/>
    <mergeCell ref="H252:I252"/>
    <mergeCell ref="J252:K252"/>
    <mergeCell ref="A276:K276"/>
    <mergeCell ref="H289:I289"/>
    <mergeCell ref="J289:K289"/>
    <mergeCell ref="H290:I290"/>
    <mergeCell ref="J290:K290"/>
    <mergeCell ref="H268:I268"/>
    <mergeCell ref="J268:K268"/>
    <mergeCell ref="H271:I271"/>
    <mergeCell ref="J271:K271"/>
    <mergeCell ref="A274:G274"/>
    <mergeCell ref="H274:I274"/>
    <mergeCell ref="J274:K274"/>
    <mergeCell ref="H326:I326"/>
    <mergeCell ref="J326:K326"/>
    <mergeCell ref="H327:I327"/>
    <mergeCell ref="J327:K327"/>
    <mergeCell ref="H314:I314"/>
    <mergeCell ref="J314:K314"/>
    <mergeCell ref="H315:I315"/>
    <mergeCell ref="J315:K315"/>
    <mergeCell ref="H302:I302"/>
    <mergeCell ref="J302:K302"/>
    <mergeCell ref="H303:I303"/>
    <mergeCell ref="J303:K303"/>
    <mergeCell ref="A344:G344"/>
    <mergeCell ref="H344:I344"/>
    <mergeCell ref="J344:K344"/>
    <mergeCell ref="H339:I339"/>
    <mergeCell ref="J339:K339"/>
    <mergeCell ref="A342:G342"/>
    <mergeCell ref="H342:I342"/>
    <mergeCell ref="J342:K342"/>
    <mergeCell ref="H330:I330"/>
    <mergeCell ref="J330:K330"/>
    <mergeCell ref="H333:I333"/>
    <mergeCell ref="J333:K333"/>
    <mergeCell ref="H336:I336"/>
    <mergeCell ref="J336:K3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EED3-7D3F-43FD-9F66-3BEA065E6822}">
  <dimension ref="A1:K254"/>
  <sheetViews>
    <sheetView workbookViewId="0">
      <selection activeCell="A3" sqref="A3:K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453125" style="27" bestFit="1" customWidth="1"/>
    <col min="6" max="6" width="17.26953125" style="27" customWidth="1"/>
    <col min="7" max="7" width="8.453125" style="27" bestFit="1" customWidth="1"/>
    <col min="8" max="8" width="9.1796875" style="27"/>
    <col min="9" max="9" width="17.81640625" style="27" customWidth="1"/>
    <col min="10" max="10" width="9.1796875" style="27"/>
    <col min="11" max="11" width="16.453125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27.75" customHeight="1" x14ac:dyDescent="0.25">
      <c r="A3" s="161" t="str">
        <f>ССРСС!A11</f>
        <v>Выполнение работ по капитальному ремонту здания в Басманном районе ЦАО города Москвы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1060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1081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179.2</v>
      </c>
      <c r="J13" s="5">
        <v>1463.47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0.7</v>
      </c>
      <c r="J14" s="7">
        <v>7.09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5.0999999999999996</v>
      </c>
      <c r="J15" s="7">
        <v>146.82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173.4</v>
      </c>
      <c r="J16" s="7">
        <v>1309.56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0.9</v>
      </c>
      <c r="J17" s="7">
        <v>51.54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71.599999999999994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7.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1061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1033</v>
      </c>
      <c r="C25" s="10" t="s">
        <v>1034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164.06</v>
      </c>
      <c r="G26" s="15" t="s">
        <v>13</v>
      </c>
      <c r="H26" s="11">
        <v>1</v>
      </c>
      <c r="I26" s="14">
        <v>196.87</v>
      </c>
      <c r="J26" s="11">
        <v>57.05</v>
      </c>
      <c r="K26" s="14">
        <v>11231.43</v>
      </c>
    </row>
    <row r="27" spans="1:11" ht="14.5" x14ac:dyDescent="0.25">
      <c r="A27" s="10"/>
      <c r="B27" s="10"/>
      <c r="C27" s="10" t="s">
        <v>260</v>
      </c>
      <c r="D27" s="12" t="s">
        <v>261</v>
      </c>
      <c r="E27" s="11">
        <v>95</v>
      </c>
      <c r="F27" s="14"/>
      <c r="G27" s="13"/>
      <c r="H27" s="11"/>
      <c r="I27" s="14">
        <v>187.03</v>
      </c>
      <c r="J27" s="11">
        <v>95</v>
      </c>
      <c r="K27" s="14">
        <v>10669.86</v>
      </c>
    </row>
    <row r="28" spans="1:11" ht="14.5" x14ac:dyDescent="0.25">
      <c r="A28" s="10"/>
      <c r="B28" s="10"/>
      <c r="C28" s="10" t="s">
        <v>262</v>
      </c>
      <c r="D28" s="12" t="s">
        <v>261</v>
      </c>
      <c r="E28" s="11">
        <v>53</v>
      </c>
      <c r="F28" s="14"/>
      <c r="G28" s="13"/>
      <c r="H28" s="11"/>
      <c r="I28" s="14">
        <v>104.34</v>
      </c>
      <c r="J28" s="11">
        <v>53</v>
      </c>
      <c r="K28" s="14">
        <v>5952.66</v>
      </c>
    </row>
    <row r="29" spans="1:11" ht="14.5" x14ac:dyDescent="0.25">
      <c r="A29" s="17"/>
      <c r="B29" s="17"/>
      <c r="C29" s="17" t="s">
        <v>263</v>
      </c>
      <c r="D29" s="18" t="s">
        <v>264</v>
      </c>
      <c r="E29" s="19">
        <v>13</v>
      </c>
      <c r="F29" s="20"/>
      <c r="G29" s="21" t="s">
        <v>13</v>
      </c>
      <c r="H29" s="19">
        <v>1</v>
      </c>
      <c r="I29" s="20">
        <v>15.6</v>
      </c>
      <c r="J29" s="19"/>
      <c r="K29" s="20"/>
    </row>
    <row r="30" spans="1:11" ht="14" x14ac:dyDescent="0.25">
      <c r="C30" s="22" t="s">
        <v>265</v>
      </c>
      <c r="H30" s="143">
        <v>488.24</v>
      </c>
      <c r="I30" s="143"/>
      <c r="J30" s="143">
        <v>27853.95</v>
      </c>
      <c r="K30" s="143"/>
    </row>
    <row r="31" spans="1:11" ht="14" x14ac:dyDescent="0.25">
      <c r="C31" s="22" t="s">
        <v>267</v>
      </c>
      <c r="H31" s="141">
        <v>488.24</v>
      </c>
      <c r="I31" s="141"/>
      <c r="J31" s="141">
        <v>27853.95</v>
      </c>
      <c r="K31" s="141"/>
    </row>
    <row r="33" spans="1:11" ht="54" x14ac:dyDescent="0.25">
      <c r="A33" s="38">
        <v>2</v>
      </c>
      <c r="B33" s="38" t="s">
        <v>409</v>
      </c>
      <c r="C33" s="38" t="s">
        <v>1999</v>
      </c>
      <c r="D33" s="39" t="s">
        <v>11</v>
      </c>
      <c r="E33" s="40">
        <v>1</v>
      </c>
      <c r="F33" s="41">
        <v>56920.27</v>
      </c>
      <c r="G33" s="42" t="s">
        <v>1</v>
      </c>
      <c r="H33" s="40">
        <v>1</v>
      </c>
      <c r="I33" s="41">
        <v>56920.27</v>
      </c>
      <c r="J33" s="40">
        <v>7.54</v>
      </c>
      <c r="K33" s="41">
        <v>429178.84</v>
      </c>
    </row>
    <row r="34" spans="1:11" ht="14" x14ac:dyDescent="0.25">
      <c r="A34" s="43"/>
      <c r="B34" s="43"/>
      <c r="C34" s="44" t="s">
        <v>267</v>
      </c>
      <c r="D34" s="43"/>
      <c r="E34" s="43"/>
      <c r="F34" s="43"/>
      <c r="G34" s="43"/>
      <c r="H34" s="156">
        <v>56920.27</v>
      </c>
      <c r="I34" s="156"/>
      <c r="J34" s="156">
        <v>429178.84</v>
      </c>
      <c r="K34" s="156"/>
    </row>
    <row r="36" spans="1:11" ht="79" x14ac:dyDescent="0.25">
      <c r="A36" s="10">
        <v>3</v>
      </c>
      <c r="B36" s="10" t="s">
        <v>1035</v>
      </c>
      <c r="C36" s="10" t="s">
        <v>1036</v>
      </c>
      <c r="D36" s="12" t="s">
        <v>24</v>
      </c>
      <c r="E36" s="11">
        <v>1</v>
      </c>
      <c r="F36" s="14"/>
      <c r="G36" s="13"/>
      <c r="H36" s="11"/>
      <c r="I36" s="14"/>
      <c r="J36" s="11"/>
      <c r="K36" s="14"/>
    </row>
    <row r="37" spans="1:11" ht="14.5" x14ac:dyDescent="0.25">
      <c r="A37" s="10"/>
      <c r="B37" s="10"/>
      <c r="C37" s="10" t="s">
        <v>256</v>
      </c>
      <c r="D37" s="12"/>
      <c r="E37" s="11"/>
      <c r="F37" s="14">
        <v>11.65</v>
      </c>
      <c r="G37" s="15" t="s">
        <v>13</v>
      </c>
      <c r="H37" s="11">
        <v>1</v>
      </c>
      <c r="I37" s="14">
        <v>13.98</v>
      </c>
      <c r="J37" s="11">
        <v>57.05</v>
      </c>
      <c r="K37" s="14">
        <v>797.56</v>
      </c>
    </row>
    <row r="38" spans="1:11" ht="14.5" x14ac:dyDescent="0.25">
      <c r="A38" s="10"/>
      <c r="B38" s="10"/>
      <c r="C38" s="10" t="s">
        <v>257</v>
      </c>
      <c r="D38" s="12"/>
      <c r="E38" s="11"/>
      <c r="F38" s="14">
        <v>0.5</v>
      </c>
      <c r="G38" s="15" t="s">
        <v>13</v>
      </c>
      <c r="H38" s="11">
        <v>1</v>
      </c>
      <c r="I38" s="14">
        <v>0.6</v>
      </c>
      <c r="J38" s="11">
        <v>17.399999999999999</v>
      </c>
      <c r="K38" s="14">
        <v>10.44</v>
      </c>
    </row>
    <row r="39" spans="1:11" ht="14.5" x14ac:dyDescent="0.25">
      <c r="A39" s="10"/>
      <c r="B39" s="10"/>
      <c r="C39" s="10" t="s">
        <v>258</v>
      </c>
      <c r="D39" s="12"/>
      <c r="E39" s="11"/>
      <c r="F39" s="14">
        <v>0.08</v>
      </c>
      <c r="G39" s="15" t="s">
        <v>13</v>
      </c>
      <c r="H39" s="11">
        <v>1</v>
      </c>
      <c r="I39" s="16">
        <v>0.1</v>
      </c>
      <c r="J39" s="11">
        <v>57.05</v>
      </c>
      <c r="K39" s="16">
        <v>5.71</v>
      </c>
    </row>
    <row r="40" spans="1:11" ht="14.5" x14ac:dyDescent="0.25">
      <c r="A40" s="10"/>
      <c r="B40" s="10"/>
      <c r="C40" s="10" t="s">
        <v>260</v>
      </c>
      <c r="D40" s="12" t="s">
        <v>261</v>
      </c>
      <c r="E40" s="11">
        <v>90</v>
      </c>
      <c r="F40" s="14"/>
      <c r="G40" s="13"/>
      <c r="H40" s="11"/>
      <c r="I40" s="14">
        <v>12.67</v>
      </c>
      <c r="J40" s="11">
        <v>90</v>
      </c>
      <c r="K40" s="14">
        <v>722.94</v>
      </c>
    </row>
    <row r="41" spans="1:11" ht="14.5" x14ac:dyDescent="0.25">
      <c r="A41" s="10"/>
      <c r="B41" s="10"/>
      <c r="C41" s="10" t="s">
        <v>262</v>
      </c>
      <c r="D41" s="12" t="s">
        <v>261</v>
      </c>
      <c r="E41" s="11">
        <v>46</v>
      </c>
      <c r="F41" s="14"/>
      <c r="G41" s="13"/>
      <c r="H41" s="11"/>
      <c r="I41" s="14">
        <v>6.48</v>
      </c>
      <c r="J41" s="11">
        <v>46</v>
      </c>
      <c r="K41" s="14">
        <v>369.5</v>
      </c>
    </row>
    <row r="42" spans="1:11" ht="14.5" x14ac:dyDescent="0.25">
      <c r="A42" s="17"/>
      <c r="B42" s="17"/>
      <c r="C42" s="17" t="s">
        <v>263</v>
      </c>
      <c r="D42" s="18" t="s">
        <v>264</v>
      </c>
      <c r="E42" s="19">
        <v>1.03</v>
      </c>
      <c r="F42" s="20"/>
      <c r="G42" s="21" t="s">
        <v>13</v>
      </c>
      <c r="H42" s="19">
        <v>1</v>
      </c>
      <c r="I42" s="20">
        <v>1.24</v>
      </c>
      <c r="J42" s="19"/>
      <c r="K42" s="20"/>
    </row>
    <row r="43" spans="1:11" ht="14" x14ac:dyDescent="0.25">
      <c r="C43" s="22" t="s">
        <v>265</v>
      </c>
      <c r="H43" s="143">
        <v>33.729999999999997</v>
      </c>
      <c r="I43" s="143"/>
      <c r="J43" s="143">
        <v>1900.44</v>
      </c>
      <c r="K43" s="143"/>
    </row>
    <row r="44" spans="1:11" ht="14" x14ac:dyDescent="0.25">
      <c r="C44" s="22" t="s">
        <v>267</v>
      </c>
      <c r="H44" s="141">
        <v>33.729999999999997</v>
      </c>
      <c r="I44" s="141"/>
      <c r="J44" s="141">
        <v>1900.44</v>
      </c>
      <c r="K44" s="141"/>
    </row>
    <row r="46" spans="1:11" ht="68" x14ac:dyDescent="0.25">
      <c r="A46" s="17">
        <v>4</v>
      </c>
      <c r="B46" s="17" t="s">
        <v>409</v>
      </c>
      <c r="C46" s="17" t="s">
        <v>1082</v>
      </c>
      <c r="D46" s="18" t="s">
        <v>11</v>
      </c>
      <c r="E46" s="19">
        <v>1</v>
      </c>
      <c r="F46" s="20">
        <v>3467.44</v>
      </c>
      <c r="G46" s="21" t="s">
        <v>1</v>
      </c>
      <c r="H46" s="19">
        <v>1</v>
      </c>
      <c r="I46" s="20">
        <v>3467.44</v>
      </c>
      <c r="J46" s="19">
        <v>7.54</v>
      </c>
      <c r="K46" s="20">
        <v>26144.5</v>
      </c>
    </row>
    <row r="47" spans="1:11" ht="14" x14ac:dyDescent="0.25">
      <c r="C47" s="22" t="s">
        <v>267</v>
      </c>
      <c r="H47" s="143">
        <v>3467.44</v>
      </c>
      <c r="I47" s="143"/>
      <c r="J47" s="143">
        <v>26144.5</v>
      </c>
      <c r="K47" s="143"/>
    </row>
    <row r="49" spans="1:11" ht="79" x14ac:dyDescent="0.25">
      <c r="A49" s="10">
        <v>5</v>
      </c>
      <c r="B49" s="10" t="s">
        <v>1033</v>
      </c>
      <c r="C49" s="10" t="s">
        <v>1034</v>
      </c>
      <c r="D49" s="12" t="s">
        <v>24</v>
      </c>
      <c r="E49" s="11">
        <v>1</v>
      </c>
      <c r="F49" s="14"/>
      <c r="G49" s="13"/>
      <c r="H49" s="11"/>
      <c r="I49" s="14"/>
      <c r="J49" s="11"/>
      <c r="K49" s="14"/>
    </row>
    <row r="50" spans="1:11" ht="14.5" x14ac:dyDescent="0.25">
      <c r="A50" s="10"/>
      <c r="B50" s="10"/>
      <c r="C50" s="10" t="s">
        <v>256</v>
      </c>
      <c r="D50" s="12"/>
      <c r="E50" s="11"/>
      <c r="F50" s="14">
        <v>164.06</v>
      </c>
      <c r="G50" s="15" t="s">
        <v>13</v>
      </c>
      <c r="H50" s="11">
        <v>1</v>
      </c>
      <c r="I50" s="14">
        <v>196.87</v>
      </c>
      <c r="J50" s="11">
        <v>57.05</v>
      </c>
      <c r="K50" s="14">
        <v>11231.43</v>
      </c>
    </row>
    <row r="51" spans="1:11" ht="14.5" x14ac:dyDescent="0.25">
      <c r="A51" s="10"/>
      <c r="B51" s="10"/>
      <c r="C51" s="10" t="s">
        <v>260</v>
      </c>
      <c r="D51" s="12" t="s">
        <v>261</v>
      </c>
      <c r="E51" s="11">
        <v>95</v>
      </c>
      <c r="F51" s="14"/>
      <c r="G51" s="13"/>
      <c r="H51" s="11"/>
      <c r="I51" s="14">
        <v>187.03</v>
      </c>
      <c r="J51" s="11">
        <v>95</v>
      </c>
      <c r="K51" s="14">
        <v>10669.86</v>
      </c>
    </row>
    <row r="52" spans="1:11" ht="14.5" x14ac:dyDescent="0.25">
      <c r="A52" s="10"/>
      <c r="B52" s="10"/>
      <c r="C52" s="10" t="s">
        <v>262</v>
      </c>
      <c r="D52" s="12" t="s">
        <v>261</v>
      </c>
      <c r="E52" s="11">
        <v>53</v>
      </c>
      <c r="F52" s="14"/>
      <c r="G52" s="13"/>
      <c r="H52" s="11"/>
      <c r="I52" s="14">
        <v>104.34</v>
      </c>
      <c r="J52" s="11">
        <v>53</v>
      </c>
      <c r="K52" s="14">
        <v>5952.66</v>
      </c>
    </row>
    <row r="53" spans="1:11" ht="14.5" x14ac:dyDescent="0.25">
      <c r="A53" s="17"/>
      <c r="B53" s="17"/>
      <c r="C53" s="17" t="s">
        <v>263</v>
      </c>
      <c r="D53" s="18" t="s">
        <v>264</v>
      </c>
      <c r="E53" s="19">
        <v>13</v>
      </c>
      <c r="F53" s="20"/>
      <c r="G53" s="21" t="s">
        <v>13</v>
      </c>
      <c r="H53" s="19">
        <v>1</v>
      </c>
      <c r="I53" s="20">
        <v>15.6</v>
      </c>
      <c r="J53" s="19"/>
      <c r="K53" s="20"/>
    </row>
    <row r="54" spans="1:11" ht="14" x14ac:dyDescent="0.25">
      <c r="C54" s="22" t="s">
        <v>265</v>
      </c>
      <c r="H54" s="143">
        <v>488.24</v>
      </c>
      <c r="I54" s="143"/>
      <c r="J54" s="143">
        <v>27853.95</v>
      </c>
      <c r="K54" s="143"/>
    </row>
    <row r="55" spans="1:11" ht="14" x14ac:dyDescent="0.25">
      <c r="C55" s="22" t="s">
        <v>267</v>
      </c>
      <c r="H55" s="141">
        <v>488.24</v>
      </c>
      <c r="I55" s="141"/>
      <c r="J55" s="141">
        <v>27853.95</v>
      </c>
      <c r="K55" s="141"/>
    </row>
    <row r="57" spans="1:11" ht="68" x14ac:dyDescent="0.25">
      <c r="A57" s="17">
        <v>6</v>
      </c>
      <c r="B57" s="17" t="s">
        <v>409</v>
      </c>
      <c r="C57" s="17" t="s">
        <v>2000</v>
      </c>
      <c r="D57" s="18" t="s">
        <v>11</v>
      </c>
      <c r="E57" s="19">
        <v>1</v>
      </c>
      <c r="F57" s="20">
        <v>93484.69</v>
      </c>
      <c r="G57" s="21" t="s">
        <v>1</v>
      </c>
      <c r="H57" s="19">
        <v>1</v>
      </c>
      <c r="I57" s="20">
        <v>93484.69</v>
      </c>
      <c r="J57" s="19">
        <v>7.54</v>
      </c>
      <c r="K57" s="20">
        <v>704874.56</v>
      </c>
    </row>
    <row r="58" spans="1:11" ht="14" x14ac:dyDescent="0.25">
      <c r="C58" s="22" t="s">
        <v>267</v>
      </c>
      <c r="H58" s="143">
        <v>93484.69</v>
      </c>
      <c r="I58" s="143"/>
      <c r="J58" s="143">
        <v>704874.56</v>
      </c>
      <c r="K58" s="143"/>
    </row>
    <row r="60" spans="1:11" ht="79" x14ac:dyDescent="0.25">
      <c r="A60" s="10">
        <v>7</v>
      </c>
      <c r="B60" s="10" t="s">
        <v>971</v>
      </c>
      <c r="C60" s="10" t="s">
        <v>972</v>
      </c>
      <c r="D60" s="12" t="s">
        <v>24</v>
      </c>
      <c r="E60" s="11">
        <v>1</v>
      </c>
      <c r="F60" s="14"/>
      <c r="G60" s="13"/>
      <c r="H60" s="11"/>
      <c r="I60" s="14"/>
      <c r="J60" s="11"/>
      <c r="K60" s="14"/>
    </row>
    <row r="61" spans="1:11" ht="14.5" x14ac:dyDescent="0.25">
      <c r="A61" s="10"/>
      <c r="B61" s="10"/>
      <c r="C61" s="10" t="s">
        <v>256</v>
      </c>
      <c r="D61" s="12"/>
      <c r="E61" s="11"/>
      <c r="F61" s="14">
        <v>89.44</v>
      </c>
      <c r="G61" s="15" t="s">
        <v>13</v>
      </c>
      <c r="H61" s="11">
        <v>1</v>
      </c>
      <c r="I61" s="14">
        <v>107.33</v>
      </c>
      <c r="J61" s="11">
        <v>57.05</v>
      </c>
      <c r="K61" s="14">
        <v>6123.18</v>
      </c>
    </row>
    <row r="62" spans="1:11" ht="14.5" x14ac:dyDescent="0.25">
      <c r="A62" s="10"/>
      <c r="B62" s="10"/>
      <c r="C62" s="10" t="s">
        <v>259</v>
      </c>
      <c r="D62" s="12"/>
      <c r="E62" s="11"/>
      <c r="F62" s="14">
        <v>24.1</v>
      </c>
      <c r="G62" s="15" t="s">
        <v>1</v>
      </c>
      <c r="H62" s="11">
        <v>1</v>
      </c>
      <c r="I62" s="14">
        <v>24.1</v>
      </c>
      <c r="J62" s="11">
        <v>7.35</v>
      </c>
      <c r="K62" s="14">
        <v>177.14</v>
      </c>
    </row>
    <row r="63" spans="1:11" ht="14.5" x14ac:dyDescent="0.25">
      <c r="A63" s="10"/>
      <c r="B63" s="10"/>
      <c r="C63" s="10" t="s">
        <v>260</v>
      </c>
      <c r="D63" s="12" t="s">
        <v>261</v>
      </c>
      <c r="E63" s="11">
        <v>95</v>
      </c>
      <c r="F63" s="14"/>
      <c r="G63" s="13"/>
      <c r="H63" s="11"/>
      <c r="I63" s="14">
        <v>101.96</v>
      </c>
      <c r="J63" s="11">
        <v>95</v>
      </c>
      <c r="K63" s="14">
        <v>5817.02</v>
      </c>
    </row>
    <row r="64" spans="1:11" ht="14.5" x14ac:dyDescent="0.25">
      <c r="A64" s="10"/>
      <c r="B64" s="10"/>
      <c r="C64" s="10" t="s">
        <v>262</v>
      </c>
      <c r="D64" s="12" t="s">
        <v>261</v>
      </c>
      <c r="E64" s="11">
        <v>53</v>
      </c>
      <c r="F64" s="14"/>
      <c r="G64" s="13"/>
      <c r="H64" s="11"/>
      <c r="I64" s="14">
        <v>56.88</v>
      </c>
      <c r="J64" s="11">
        <v>53</v>
      </c>
      <c r="K64" s="14">
        <v>3245.29</v>
      </c>
    </row>
    <row r="65" spans="1:11" ht="14.5" x14ac:dyDescent="0.25">
      <c r="A65" s="17"/>
      <c r="B65" s="17"/>
      <c r="C65" s="17" t="s">
        <v>263</v>
      </c>
      <c r="D65" s="18" t="s">
        <v>264</v>
      </c>
      <c r="E65" s="19">
        <v>8</v>
      </c>
      <c r="F65" s="20"/>
      <c r="G65" s="21" t="s">
        <v>13</v>
      </c>
      <c r="H65" s="19">
        <v>1</v>
      </c>
      <c r="I65" s="20">
        <v>9.6</v>
      </c>
      <c r="J65" s="19"/>
      <c r="K65" s="20"/>
    </row>
    <row r="66" spans="1:11" ht="14" x14ac:dyDescent="0.25">
      <c r="C66" s="22" t="s">
        <v>265</v>
      </c>
      <c r="H66" s="143">
        <v>290.27</v>
      </c>
      <c r="I66" s="143"/>
      <c r="J66" s="143">
        <v>15362.63</v>
      </c>
      <c r="K66" s="143"/>
    </row>
    <row r="67" spans="1:11" ht="14" x14ac:dyDescent="0.25">
      <c r="C67" s="22" t="s">
        <v>267</v>
      </c>
      <c r="H67" s="141">
        <v>290.27</v>
      </c>
      <c r="I67" s="141"/>
      <c r="J67" s="141">
        <v>15362.63</v>
      </c>
      <c r="K67" s="141"/>
    </row>
    <row r="69" spans="1:11" ht="54" x14ac:dyDescent="0.25">
      <c r="A69" s="17">
        <v>8</v>
      </c>
      <c r="B69" s="17" t="s">
        <v>409</v>
      </c>
      <c r="C69" s="17" t="s">
        <v>2103</v>
      </c>
      <c r="D69" s="18" t="s">
        <v>11</v>
      </c>
      <c r="E69" s="19">
        <v>1</v>
      </c>
      <c r="F69" s="20">
        <v>13325.82</v>
      </c>
      <c r="G69" s="21" t="s">
        <v>1</v>
      </c>
      <c r="H69" s="19">
        <v>1</v>
      </c>
      <c r="I69" s="20">
        <v>13325.82</v>
      </c>
      <c r="J69" s="19">
        <v>7.54</v>
      </c>
      <c r="K69" s="20">
        <v>100476.68</v>
      </c>
    </row>
    <row r="70" spans="1:11" ht="14" x14ac:dyDescent="0.25">
      <c r="C70" s="22" t="s">
        <v>267</v>
      </c>
      <c r="H70" s="143">
        <v>13325.82</v>
      </c>
      <c r="I70" s="143"/>
      <c r="J70" s="143">
        <v>100476.68</v>
      </c>
      <c r="K70" s="143"/>
    </row>
    <row r="72" spans="1:11" ht="54" x14ac:dyDescent="0.25">
      <c r="A72" s="17">
        <v>9</v>
      </c>
      <c r="B72" s="17" t="s">
        <v>409</v>
      </c>
      <c r="C72" s="17" t="s">
        <v>2001</v>
      </c>
      <c r="D72" s="18" t="s">
        <v>11</v>
      </c>
      <c r="E72" s="19">
        <v>1</v>
      </c>
      <c r="F72" s="20">
        <v>829.47</v>
      </c>
      <c r="G72" s="21" t="s">
        <v>1</v>
      </c>
      <c r="H72" s="19">
        <v>1</v>
      </c>
      <c r="I72" s="20">
        <v>829.47</v>
      </c>
      <c r="J72" s="19">
        <v>7.54</v>
      </c>
      <c r="K72" s="20">
        <v>6254.2</v>
      </c>
    </row>
    <row r="73" spans="1:11" ht="14" x14ac:dyDescent="0.25">
      <c r="C73" s="22" t="s">
        <v>267</v>
      </c>
      <c r="H73" s="143">
        <v>829.47</v>
      </c>
      <c r="I73" s="143"/>
      <c r="J73" s="143">
        <v>6254.2</v>
      </c>
      <c r="K73" s="143"/>
    </row>
    <row r="76" spans="1:11" ht="14" x14ac:dyDescent="0.3">
      <c r="A76" s="140" t="s">
        <v>1062</v>
      </c>
      <c r="B76" s="140"/>
      <c r="C76" s="140"/>
      <c r="D76" s="140"/>
      <c r="E76" s="140"/>
      <c r="F76" s="140"/>
      <c r="G76" s="140"/>
      <c r="H76" s="141">
        <v>169328.17</v>
      </c>
      <c r="I76" s="142"/>
      <c r="J76" s="141">
        <v>1339899.75</v>
      </c>
      <c r="K76" s="142"/>
    </row>
    <row r="78" spans="1:11" ht="16.5" x14ac:dyDescent="0.25">
      <c r="A78" s="144" t="s">
        <v>1063</v>
      </c>
      <c r="B78" s="144"/>
      <c r="C78" s="144"/>
      <c r="D78" s="144"/>
      <c r="E78" s="144"/>
      <c r="F78" s="144"/>
      <c r="G78" s="144"/>
      <c r="H78" s="144"/>
      <c r="I78" s="144"/>
      <c r="J78" s="144"/>
      <c r="K78" s="144"/>
    </row>
    <row r="79" spans="1:11" ht="79" x14ac:dyDescent="0.25">
      <c r="A79" s="10">
        <v>10</v>
      </c>
      <c r="B79" s="10" t="s">
        <v>1037</v>
      </c>
      <c r="C79" s="10" t="s">
        <v>1038</v>
      </c>
      <c r="D79" s="12" t="s">
        <v>34</v>
      </c>
      <c r="E79" s="11">
        <v>0.01</v>
      </c>
      <c r="F79" s="14"/>
      <c r="G79" s="13"/>
      <c r="H79" s="11"/>
      <c r="I79" s="14"/>
      <c r="J79" s="11"/>
      <c r="K79" s="14"/>
    </row>
    <row r="80" spans="1:11" x14ac:dyDescent="0.25">
      <c r="C80" s="23" t="s">
        <v>591</v>
      </c>
    </row>
    <row r="81" spans="1:11" ht="14.5" x14ac:dyDescent="0.25">
      <c r="A81" s="10"/>
      <c r="B81" s="10"/>
      <c r="C81" s="10" t="s">
        <v>256</v>
      </c>
      <c r="D81" s="12"/>
      <c r="E81" s="11"/>
      <c r="F81" s="14">
        <v>210.57</v>
      </c>
      <c r="G81" s="15" t="s">
        <v>13</v>
      </c>
      <c r="H81" s="11">
        <v>1</v>
      </c>
      <c r="I81" s="14">
        <v>2.5299999999999998</v>
      </c>
      <c r="J81" s="11">
        <v>57.05</v>
      </c>
      <c r="K81" s="14">
        <v>144.34</v>
      </c>
    </row>
    <row r="82" spans="1:11" ht="14.5" x14ac:dyDescent="0.25">
      <c r="A82" s="10"/>
      <c r="B82" s="10"/>
      <c r="C82" s="10" t="s">
        <v>257</v>
      </c>
      <c r="D82" s="12"/>
      <c r="E82" s="11"/>
      <c r="F82" s="14">
        <v>0.83</v>
      </c>
      <c r="G82" s="15" t="s">
        <v>13</v>
      </c>
      <c r="H82" s="11">
        <v>1</v>
      </c>
      <c r="I82" s="14">
        <v>0.01</v>
      </c>
      <c r="J82" s="11">
        <v>17.47</v>
      </c>
      <c r="K82" s="14">
        <v>0.17</v>
      </c>
    </row>
    <row r="83" spans="1:11" ht="28" x14ac:dyDescent="0.25">
      <c r="A83" s="10" t="s">
        <v>1039</v>
      </c>
      <c r="B83" s="10" t="s">
        <v>1064</v>
      </c>
      <c r="C83" s="10" t="s">
        <v>1040</v>
      </c>
      <c r="D83" s="12" t="s">
        <v>38</v>
      </c>
      <c r="E83" s="11">
        <v>1</v>
      </c>
      <c r="F83" s="14">
        <v>3.16</v>
      </c>
      <c r="G83" s="15" t="s">
        <v>1</v>
      </c>
      <c r="H83" s="11">
        <v>1</v>
      </c>
      <c r="I83" s="14">
        <v>3.16</v>
      </c>
      <c r="J83" s="11">
        <v>28.28</v>
      </c>
      <c r="K83" s="14">
        <v>89.36</v>
      </c>
    </row>
    <row r="84" spans="1:11" ht="14.5" x14ac:dyDescent="0.25">
      <c r="A84" s="10"/>
      <c r="B84" s="10"/>
      <c r="C84" s="10" t="s">
        <v>260</v>
      </c>
      <c r="D84" s="12" t="s">
        <v>261</v>
      </c>
      <c r="E84" s="11">
        <v>97</v>
      </c>
      <c r="F84" s="14"/>
      <c r="G84" s="13"/>
      <c r="H84" s="11"/>
      <c r="I84" s="14">
        <v>2.4500000000000002</v>
      </c>
      <c r="J84" s="11">
        <v>97</v>
      </c>
      <c r="K84" s="14">
        <v>140.01</v>
      </c>
    </row>
    <row r="85" spans="1:11" ht="14.5" x14ac:dyDescent="0.25">
      <c r="A85" s="10"/>
      <c r="B85" s="10"/>
      <c r="C85" s="10" t="s">
        <v>262</v>
      </c>
      <c r="D85" s="12" t="s">
        <v>261</v>
      </c>
      <c r="E85" s="11">
        <v>51</v>
      </c>
      <c r="F85" s="14"/>
      <c r="G85" s="13"/>
      <c r="H85" s="11"/>
      <c r="I85" s="14">
        <v>1.29</v>
      </c>
      <c r="J85" s="11">
        <v>51</v>
      </c>
      <c r="K85" s="14">
        <v>73.61</v>
      </c>
    </row>
    <row r="86" spans="1:11" ht="14.5" x14ac:dyDescent="0.25">
      <c r="A86" s="17"/>
      <c r="B86" s="17"/>
      <c r="C86" s="17" t="s">
        <v>263</v>
      </c>
      <c r="D86" s="18" t="s">
        <v>264</v>
      </c>
      <c r="E86" s="19">
        <v>18.84</v>
      </c>
      <c r="F86" s="20"/>
      <c r="G86" s="21" t="s">
        <v>13</v>
      </c>
      <c r="H86" s="19">
        <v>1</v>
      </c>
      <c r="I86" s="20">
        <v>0.23</v>
      </c>
      <c r="J86" s="19"/>
      <c r="K86" s="20"/>
    </row>
    <row r="87" spans="1:11" ht="14" x14ac:dyDescent="0.25">
      <c r="C87" s="22" t="s">
        <v>265</v>
      </c>
      <c r="H87" s="143">
        <v>9.44</v>
      </c>
      <c r="I87" s="143"/>
      <c r="J87" s="143">
        <v>447.49</v>
      </c>
      <c r="K87" s="143"/>
    </row>
    <row r="88" spans="1:11" ht="14" x14ac:dyDescent="0.25">
      <c r="C88" s="22" t="s">
        <v>267</v>
      </c>
      <c r="H88" s="141">
        <v>9.44</v>
      </c>
      <c r="I88" s="141"/>
      <c r="J88" s="141">
        <v>447.49</v>
      </c>
      <c r="K88" s="141"/>
    </row>
    <row r="90" spans="1:11" ht="42" x14ac:dyDescent="0.25">
      <c r="A90" s="17">
        <v>11</v>
      </c>
      <c r="B90" s="17" t="s">
        <v>1065</v>
      </c>
      <c r="C90" s="17" t="s">
        <v>1041</v>
      </c>
      <c r="D90" s="18" t="s">
        <v>38</v>
      </c>
      <c r="E90" s="19">
        <v>1</v>
      </c>
      <c r="F90" s="20">
        <v>29.6</v>
      </c>
      <c r="G90" s="21" t="s">
        <v>1</v>
      </c>
      <c r="H90" s="19">
        <v>1</v>
      </c>
      <c r="I90" s="20">
        <v>29.6</v>
      </c>
      <c r="J90" s="19">
        <v>6.17</v>
      </c>
      <c r="K90" s="20">
        <v>182.63</v>
      </c>
    </row>
    <row r="91" spans="1:11" ht="14" x14ac:dyDescent="0.25">
      <c r="C91" s="22" t="s">
        <v>267</v>
      </c>
      <c r="H91" s="143">
        <v>29.6</v>
      </c>
      <c r="I91" s="143"/>
      <c r="J91" s="143">
        <v>182.63</v>
      </c>
      <c r="K91" s="143"/>
    </row>
    <row r="93" spans="1:11" ht="79" x14ac:dyDescent="0.25">
      <c r="A93" s="10">
        <v>12</v>
      </c>
      <c r="B93" s="10" t="s">
        <v>1042</v>
      </c>
      <c r="C93" s="10" t="s">
        <v>1043</v>
      </c>
      <c r="D93" s="12" t="s">
        <v>1066</v>
      </c>
      <c r="E93" s="11">
        <v>5.1000000000000004E-3</v>
      </c>
      <c r="F93" s="14"/>
      <c r="G93" s="13"/>
      <c r="H93" s="11"/>
      <c r="I93" s="14"/>
      <c r="J93" s="11"/>
      <c r="K93" s="14"/>
    </row>
    <row r="94" spans="1:11" ht="14.5" x14ac:dyDescent="0.25">
      <c r="A94" s="10"/>
      <c r="B94" s="10"/>
      <c r="C94" s="10" t="s">
        <v>256</v>
      </c>
      <c r="D94" s="12"/>
      <c r="E94" s="11"/>
      <c r="F94" s="14">
        <v>434.24</v>
      </c>
      <c r="G94" s="15" t="s">
        <v>13</v>
      </c>
      <c r="H94" s="11">
        <v>1</v>
      </c>
      <c r="I94" s="14">
        <v>2.66</v>
      </c>
      <c r="J94" s="11">
        <v>57.05</v>
      </c>
      <c r="K94" s="14">
        <v>151.75</v>
      </c>
    </row>
    <row r="95" spans="1:11" ht="14.5" x14ac:dyDescent="0.25">
      <c r="A95" s="10"/>
      <c r="B95" s="10"/>
      <c r="C95" s="10" t="s">
        <v>257</v>
      </c>
      <c r="D95" s="12"/>
      <c r="E95" s="11"/>
      <c r="F95" s="14">
        <v>1.94</v>
      </c>
      <c r="G95" s="15" t="s">
        <v>13</v>
      </c>
      <c r="H95" s="11">
        <v>1</v>
      </c>
      <c r="I95" s="14">
        <v>0.01</v>
      </c>
      <c r="J95" s="11">
        <v>10.37</v>
      </c>
      <c r="K95" s="14">
        <v>0.1</v>
      </c>
    </row>
    <row r="96" spans="1:11" ht="14.5" x14ac:dyDescent="0.25">
      <c r="A96" s="10"/>
      <c r="B96" s="10"/>
      <c r="C96" s="10" t="s">
        <v>259</v>
      </c>
      <c r="D96" s="12"/>
      <c r="E96" s="11"/>
      <c r="F96" s="14">
        <v>108.97</v>
      </c>
      <c r="G96" s="15" t="s">
        <v>1</v>
      </c>
      <c r="H96" s="11">
        <v>1</v>
      </c>
      <c r="I96" s="14">
        <v>0.56000000000000005</v>
      </c>
      <c r="J96" s="11">
        <v>4.46</v>
      </c>
      <c r="K96" s="14">
        <v>2.5</v>
      </c>
    </row>
    <row r="97" spans="1:11" ht="84" x14ac:dyDescent="0.25">
      <c r="A97" s="10" t="s">
        <v>1044</v>
      </c>
      <c r="B97" s="10" t="s">
        <v>1067</v>
      </c>
      <c r="C97" s="10" t="s">
        <v>1045</v>
      </c>
      <c r="D97" s="12" t="s">
        <v>38</v>
      </c>
      <c r="E97" s="11">
        <v>1</v>
      </c>
      <c r="F97" s="14">
        <v>342.13</v>
      </c>
      <c r="G97" s="15" t="s">
        <v>1</v>
      </c>
      <c r="H97" s="11">
        <v>1</v>
      </c>
      <c r="I97" s="14">
        <v>342.13</v>
      </c>
      <c r="J97" s="11">
        <v>13.83</v>
      </c>
      <c r="K97" s="14">
        <v>4731.66</v>
      </c>
    </row>
    <row r="98" spans="1:11" ht="14.5" x14ac:dyDescent="0.25">
      <c r="A98" s="10"/>
      <c r="B98" s="10"/>
      <c r="C98" s="10" t="s">
        <v>260</v>
      </c>
      <c r="D98" s="12" t="s">
        <v>261</v>
      </c>
      <c r="E98" s="11">
        <v>95</v>
      </c>
      <c r="F98" s="14"/>
      <c r="G98" s="13"/>
      <c r="H98" s="11"/>
      <c r="I98" s="14">
        <v>2.5299999999999998</v>
      </c>
      <c r="J98" s="11">
        <v>95</v>
      </c>
      <c r="K98" s="14">
        <v>144.16</v>
      </c>
    </row>
    <row r="99" spans="1:11" ht="14.5" x14ac:dyDescent="0.25">
      <c r="A99" s="10"/>
      <c r="B99" s="10"/>
      <c r="C99" s="10" t="s">
        <v>262</v>
      </c>
      <c r="D99" s="12" t="s">
        <v>261</v>
      </c>
      <c r="E99" s="11">
        <v>53</v>
      </c>
      <c r="F99" s="14"/>
      <c r="G99" s="13"/>
      <c r="H99" s="11"/>
      <c r="I99" s="14">
        <v>1.41</v>
      </c>
      <c r="J99" s="11">
        <v>53</v>
      </c>
      <c r="K99" s="14">
        <v>80.430000000000007</v>
      </c>
    </row>
    <row r="100" spans="1:11" ht="14.5" x14ac:dyDescent="0.25">
      <c r="A100" s="17"/>
      <c r="B100" s="17"/>
      <c r="C100" s="17" t="s">
        <v>263</v>
      </c>
      <c r="D100" s="18" t="s">
        <v>264</v>
      </c>
      <c r="E100" s="19">
        <v>32</v>
      </c>
      <c r="F100" s="20"/>
      <c r="G100" s="21" t="s">
        <v>13</v>
      </c>
      <c r="H100" s="19">
        <v>1</v>
      </c>
      <c r="I100" s="20">
        <v>0.2</v>
      </c>
      <c r="J100" s="19"/>
      <c r="K100" s="20"/>
    </row>
    <row r="101" spans="1:11" ht="14" x14ac:dyDescent="0.25">
      <c r="C101" s="22" t="s">
        <v>265</v>
      </c>
      <c r="H101" s="143">
        <v>7.17</v>
      </c>
      <c r="I101" s="143"/>
      <c r="J101" s="143">
        <v>378.94</v>
      </c>
      <c r="K101" s="143"/>
    </row>
    <row r="102" spans="1:11" ht="14" x14ac:dyDescent="0.25">
      <c r="C102" s="22" t="s">
        <v>267</v>
      </c>
      <c r="H102" s="141">
        <v>349.3</v>
      </c>
      <c r="I102" s="141"/>
      <c r="J102" s="141">
        <v>5110.6000000000004</v>
      </c>
      <c r="K102" s="141"/>
    </row>
    <row r="104" spans="1:11" ht="54" x14ac:dyDescent="0.25">
      <c r="A104" s="17">
        <v>13</v>
      </c>
      <c r="B104" s="17" t="s">
        <v>409</v>
      </c>
      <c r="C104" s="17" t="s">
        <v>2002</v>
      </c>
      <c r="D104" s="18" t="s">
        <v>11</v>
      </c>
      <c r="E104" s="19">
        <v>1</v>
      </c>
      <c r="F104" s="20">
        <v>691.39</v>
      </c>
      <c r="G104" s="21" t="s">
        <v>1</v>
      </c>
      <c r="H104" s="19">
        <v>1</v>
      </c>
      <c r="I104" s="20">
        <v>691.39</v>
      </c>
      <c r="J104" s="19">
        <v>7.54</v>
      </c>
      <c r="K104" s="20">
        <v>5213.08</v>
      </c>
    </row>
    <row r="105" spans="1:11" ht="14" x14ac:dyDescent="0.25">
      <c r="C105" s="22" t="s">
        <v>267</v>
      </c>
      <c r="H105" s="143">
        <v>691.39</v>
      </c>
      <c r="I105" s="143"/>
      <c r="J105" s="143">
        <v>5213.08</v>
      </c>
      <c r="K105" s="143"/>
    </row>
    <row r="107" spans="1:11" ht="79" x14ac:dyDescent="0.25">
      <c r="A107" s="10">
        <v>14</v>
      </c>
      <c r="B107" s="10" t="s">
        <v>1046</v>
      </c>
      <c r="C107" s="10" t="s">
        <v>1047</v>
      </c>
      <c r="D107" s="12" t="s">
        <v>213</v>
      </c>
      <c r="E107" s="11">
        <v>1</v>
      </c>
      <c r="F107" s="14"/>
      <c r="G107" s="13"/>
      <c r="H107" s="11"/>
      <c r="I107" s="14"/>
      <c r="J107" s="11"/>
      <c r="K107" s="14"/>
    </row>
    <row r="108" spans="1:11" ht="14.5" x14ac:dyDescent="0.25">
      <c r="A108" s="10"/>
      <c r="B108" s="10"/>
      <c r="C108" s="10" t="s">
        <v>256</v>
      </c>
      <c r="D108" s="12"/>
      <c r="E108" s="11"/>
      <c r="F108" s="14">
        <v>39.85</v>
      </c>
      <c r="G108" s="15" t="s">
        <v>13</v>
      </c>
      <c r="H108" s="11">
        <v>1</v>
      </c>
      <c r="I108" s="14">
        <v>47.82</v>
      </c>
      <c r="J108" s="11">
        <v>57.05</v>
      </c>
      <c r="K108" s="14">
        <v>2728.13</v>
      </c>
    </row>
    <row r="109" spans="1:11" ht="14.5" x14ac:dyDescent="0.25">
      <c r="A109" s="10"/>
      <c r="B109" s="10"/>
      <c r="C109" s="10" t="s">
        <v>259</v>
      </c>
      <c r="D109" s="12"/>
      <c r="E109" s="11"/>
      <c r="F109" s="14">
        <v>0.18</v>
      </c>
      <c r="G109" s="15" t="s">
        <v>1</v>
      </c>
      <c r="H109" s="11">
        <v>1</v>
      </c>
      <c r="I109" s="14">
        <v>0.18</v>
      </c>
      <c r="J109" s="11">
        <v>5.61</v>
      </c>
      <c r="K109" s="14">
        <v>1.01</v>
      </c>
    </row>
    <row r="110" spans="1:11" ht="14.5" x14ac:dyDescent="0.25">
      <c r="A110" s="10"/>
      <c r="B110" s="10"/>
      <c r="C110" s="10" t="s">
        <v>260</v>
      </c>
      <c r="D110" s="12" t="s">
        <v>261</v>
      </c>
      <c r="E110" s="11">
        <v>95</v>
      </c>
      <c r="F110" s="14"/>
      <c r="G110" s="13"/>
      <c r="H110" s="11"/>
      <c r="I110" s="14">
        <v>45.43</v>
      </c>
      <c r="J110" s="11">
        <v>95</v>
      </c>
      <c r="K110" s="14">
        <v>2591.7199999999998</v>
      </c>
    </row>
    <row r="111" spans="1:11" ht="14.5" x14ac:dyDescent="0.25">
      <c r="A111" s="10"/>
      <c r="B111" s="10"/>
      <c r="C111" s="10" t="s">
        <v>262</v>
      </c>
      <c r="D111" s="12" t="s">
        <v>261</v>
      </c>
      <c r="E111" s="11">
        <v>53</v>
      </c>
      <c r="F111" s="14"/>
      <c r="G111" s="13"/>
      <c r="H111" s="11"/>
      <c r="I111" s="14">
        <v>25.34</v>
      </c>
      <c r="J111" s="11">
        <v>53</v>
      </c>
      <c r="K111" s="14">
        <v>1445.91</v>
      </c>
    </row>
    <row r="112" spans="1:11" ht="14.5" x14ac:dyDescent="0.25">
      <c r="A112" s="17"/>
      <c r="B112" s="17"/>
      <c r="C112" s="17" t="s">
        <v>263</v>
      </c>
      <c r="D112" s="18" t="s">
        <v>264</v>
      </c>
      <c r="E112" s="19">
        <v>2.77</v>
      </c>
      <c r="F112" s="20"/>
      <c r="G112" s="21" t="s">
        <v>13</v>
      </c>
      <c r="H112" s="19">
        <v>1</v>
      </c>
      <c r="I112" s="20">
        <v>3.32</v>
      </c>
      <c r="J112" s="19"/>
      <c r="K112" s="20"/>
    </row>
    <row r="113" spans="1:11" ht="14" x14ac:dyDescent="0.25">
      <c r="C113" s="22" t="s">
        <v>265</v>
      </c>
      <c r="H113" s="143">
        <v>118.77</v>
      </c>
      <c r="I113" s="143"/>
      <c r="J113" s="143">
        <v>6766.77</v>
      </c>
      <c r="K113" s="143"/>
    </row>
    <row r="114" spans="1:11" ht="14" x14ac:dyDescent="0.25">
      <c r="C114" s="22" t="s">
        <v>267</v>
      </c>
      <c r="H114" s="141">
        <v>118.77</v>
      </c>
      <c r="I114" s="141"/>
      <c r="J114" s="141">
        <v>6766.77</v>
      </c>
      <c r="K114" s="141"/>
    </row>
    <row r="116" spans="1:11" ht="54" x14ac:dyDescent="0.25">
      <c r="A116" s="17">
        <v>15</v>
      </c>
      <c r="B116" s="17" t="s">
        <v>409</v>
      </c>
      <c r="C116" s="17" t="s">
        <v>2003</v>
      </c>
      <c r="D116" s="18" t="s">
        <v>11</v>
      </c>
      <c r="E116" s="19">
        <v>1</v>
      </c>
      <c r="F116" s="20">
        <v>1269.1300000000001</v>
      </c>
      <c r="G116" s="21" t="s">
        <v>1</v>
      </c>
      <c r="H116" s="19">
        <v>1</v>
      </c>
      <c r="I116" s="20">
        <v>1269.1300000000001</v>
      </c>
      <c r="J116" s="19">
        <v>7.54</v>
      </c>
      <c r="K116" s="20">
        <v>9569.24</v>
      </c>
    </row>
    <row r="117" spans="1:11" ht="14" x14ac:dyDescent="0.25">
      <c r="C117" s="22" t="s">
        <v>267</v>
      </c>
      <c r="H117" s="143">
        <v>1269.1300000000001</v>
      </c>
      <c r="I117" s="143"/>
      <c r="J117" s="143">
        <v>9569.24</v>
      </c>
      <c r="K117" s="143"/>
    </row>
    <row r="119" spans="1:11" ht="79" x14ac:dyDescent="0.25">
      <c r="A119" s="10">
        <v>16</v>
      </c>
      <c r="B119" s="10" t="s">
        <v>1048</v>
      </c>
      <c r="C119" s="10" t="s">
        <v>1049</v>
      </c>
      <c r="D119" s="12" t="s">
        <v>213</v>
      </c>
      <c r="E119" s="11">
        <v>1</v>
      </c>
      <c r="F119" s="14"/>
      <c r="G119" s="13"/>
      <c r="H119" s="11"/>
      <c r="I119" s="14"/>
      <c r="J119" s="11"/>
      <c r="K119" s="14"/>
    </row>
    <row r="120" spans="1:11" ht="14.5" x14ac:dyDescent="0.25">
      <c r="A120" s="10"/>
      <c r="B120" s="10"/>
      <c r="C120" s="10" t="s">
        <v>256</v>
      </c>
      <c r="D120" s="12"/>
      <c r="E120" s="11"/>
      <c r="F120" s="14">
        <v>76.150000000000006</v>
      </c>
      <c r="G120" s="15" t="s">
        <v>13</v>
      </c>
      <c r="H120" s="11">
        <v>1</v>
      </c>
      <c r="I120" s="14">
        <v>91.38</v>
      </c>
      <c r="J120" s="11">
        <v>57.05</v>
      </c>
      <c r="K120" s="14">
        <v>5213.2299999999996</v>
      </c>
    </row>
    <row r="121" spans="1:11" ht="14.5" x14ac:dyDescent="0.25">
      <c r="A121" s="10"/>
      <c r="B121" s="10"/>
      <c r="C121" s="10" t="s">
        <v>259</v>
      </c>
      <c r="D121" s="12"/>
      <c r="E121" s="11"/>
      <c r="F121" s="14">
        <v>0.37</v>
      </c>
      <c r="G121" s="15" t="s">
        <v>1</v>
      </c>
      <c r="H121" s="11">
        <v>1</v>
      </c>
      <c r="I121" s="14">
        <v>0.37</v>
      </c>
      <c r="J121" s="11">
        <v>5.46</v>
      </c>
      <c r="K121" s="14">
        <v>2.02</v>
      </c>
    </row>
    <row r="122" spans="1:11" ht="14.5" x14ac:dyDescent="0.25">
      <c r="A122" s="10"/>
      <c r="B122" s="10"/>
      <c r="C122" s="10" t="s">
        <v>260</v>
      </c>
      <c r="D122" s="12" t="s">
        <v>261</v>
      </c>
      <c r="E122" s="11">
        <v>95</v>
      </c>
      <c r="F122" s="14"/>
      <c r="G122" s="13"/>
      <c r="H122" s="11"/>
      <c r="I122" s="14">
        <v>86.81</v>
      </c>
      <c r="J122" s="11">
        <v>95</v>
      </c>
      <c r="K122" s="14">
        <v>4952.57</v>
      </c>
    </row>
    <row r="123" spans="1:11" ht="14.5" x14ac:dyDescent="0.25">
      <c r="A123" s="10"/>
      <c r="B123" s="10"/>
      <c r="C123" s="10" t="s">
        <v>262</v>
      </c>
      <c r="D123" s="12" t="s">
        <v>261</v>
      </c>
      <c r="E123" s="11">
        <v>53</v>
      </c>
      <c r="F123" s="14"/>
      <c r="G123" s="13"/>
      <c r="H123" s="11"/>
      <c r="I123" s="14">
        <v>48.43</v>
      </c>
      <c r="J123" s="11">
        <v>53</v>
      </c>
      <c r="K123" s="14">
        <v>2763.01</v>
      </c>
    </row>
    <row r="124" spans="1:11" ht="14.5" x14ac:dyDescent="0.25">
      <c r="A124" s="17"/>
      <c r="B124" s="17"/>
      <c r="C124" s="17" t="s">
        <v>263</v>
      </c>
      <c r="D124" s="18" t="s">
        <v>264</v>
      </c>
      <c r="E124" s="19">
        <v>5.37</v>
      </c>
      <c r="F124" s="20"/>
      <c r="G124" s="21" t="s">
        <v>13</v>
      </c>
      <c r="H124" s="19">
        <v>1</v>
      </c>
      <c r="I124" s="20">
        <v>6.44</v>
      </c>
      <c r="J124" s="19"/>
      <c r="K124" s="20"/>
    </row>
    <row r="125" spans="1:11" ht="14" x14ac:dyDescent="0.25">
      <c r="C125" s="22" t="s">
        <v>265</v>
      </c>
      <c r="H125" s="143">
        <v>226.99</v>
      </c>
      <c r="I125" s="143"/>
      <c r="J125" s="143">
        <v>12930.83</v>
      </c>
      <c r="K125" s="143"/>
    </row>
    <row r="126" spans="1:11" ht="14" x14ac:dyDescent="0.25">
      <c r="C126" s="22" t="s">
        <v>267</v>
      </c>
      <c r="H126" s="141">
        <v>226.99</v>
      </c>
      <c r="I126" s="141"/>
      <c r="J126" s="141">
        <v>12930.83</v>
      </c>
      <c r="K126" s="141"/>
    </row>
    <row r="128" spans="1:11" ht="54" x14ac:dyDescent="0.25">
      <c r="A128" s="17">
        <v>17</v>
      </c>
      <c r="B128" s="17" t="s">
        <v>409</v>
      </c>
      <c r="C128" s="17" t="s">
        <v>2005</v>
      </c>
      <c r="D128" s="18" t="s">
        <v>11</v>
      </c>
      <c r="E128" s="19">
        <v>1</v>
      </c>
      <c r="F128" s="20">
        <v>1383.12</v>
      </c>
      <c r="G128" s="21" t="s">
        <v>1</v>
      </c>
      <c r="H128" s="19">
        <v>1</v>
      </c>
      <c r="I128" s="20">
        <v>1383.12</v>
      </c>
      <c r="J128" s="19">
        <v>7.54</v>
      </c>
      <c r="K128" s="20">
        <v>10428.719999999999</v>
      </c>
    </row>
    <row r="129" spans="1:11" ht="14" x14ac:dyDescent="0.25">
      <c r="C129" s="22" t="s">
        <v>267</v>
      </c>
      <c r="H129" s="143">
        <v>1383.12</v>
      </c>
      <c r="I129" s="143"/>
      <c r="J129" s="143">
        <v>10428.719999999999</v>
      </c>
      <c r="K129" s="143"/>
    </row>
    <row r="131" spans="1:11" ht="54" x14ac:dyDescent="0.25">
      <c r="A131" s="17">
        <v>18</v>
      </c>
      <c r="B131" s="17" t="s">
        <v>409</v>
      </c>
      <c r="C131" s="17" t="s">
        <v>2004</v>
      </c>
      <c r="D131" s="18" t="s">
        <v>11</v>
      </c>
      <c r="E131" s="19">
        <v>1</v>
      </c>
      <c r="F131" s="20">
        <v>328.62</v>
      </c>
      <c r="G131" s="21" t="s">
        <v>1</v>
      </c>
      <c r="H131" s="19">
        <v>1</v>
      </c>
      <c r="I131" s="20">
        <v>328.62</v>
      </c>
      <c r="J131" s="19">
        <v>7.54</v>
      </c>
      <c r="K131" s="20">
        <v>2477.79</v>
      </c>
    </row>
    <row r="132" spans="1:11" ht="14" x14ac:dyDescent="0.25">
      <c r="C132" s="22" t="s">
        <v>267</v>
      </c>
      <c r="H132" s="143">
        <v>328.62</v>
      </c>
      <c r="I132" s="143"/>
      <c r="J132" s="143">
        <v>2477.79</v>
      </c>
      <c r="K132" s="143"/>
    </row>
    <row r="134" spans="1:11" ht="79" x14ac:dyDescent="0.25">
      <c r="A134" s="10">
        <v>19</v>
      </c>
      <c r="B134" s="10" t="s">
        <v>1050</v>
      </c>
      <c r="C134" s="10" t="s">
        <v>1051</v>
      </c>
      <c r="D134" s="12" t="s">
        <v>24</v>
      </c>
      <c r="E134" s="11">
        <v>1</v>
      </c>
      <c r="F134" s="14"/>
      <c r="G134" s="13"/>
      <c r="H134" s="11"/>
      <c r="I134" s="14"/>
      <c r="J134" s="11"/>
      <c r="K134" s="14"/>
    </row>
    <row r="135" spans="1:11" ht="14.5" x14ac:dyDescent="0.25">
      <c r="A135" s="10"/>
      <c r="B135" s="10"/>
      <c r="C135" s="10" t="s">
        <v>256</v>
      </c>
      <c r="D135" s="12"/>
      <c r="E135" s="11"/>
      <c r="F135" s="14">
        <v>11.02</v>
      </c>
      <c r="G135" s="15" t="s">
        <v>13</v>
      </c>
      <c r="H135" s="11">
        <v>1</v>
      </c>
      <c r="I135" s="14">
        <v>13.22</v>
      </c>
      <c r="J135" s="11">
        <v>57.05</v>
      </c>
      <c r="K135" s="14">
        <v>754.2</v>
      </c>
    </row>
    <row r="136" spans="1:11" ht="14.5" x14ac:dyDescent="0.25">
      <c r="A136" s="10"/>
      <c r="B136" s="10"/>
      <c r="C136" s="10" t="s">
        <v>259</v>
      </c>
      <c r="D136" s="12"/>
      <c r="E136" s="11"/>
      <c r="F136" s="14">
        <v>0.3</v>
      </c>
      <c r="G136" s="15" t="s">
        <v>1</v>
      </c>
      <c r="H136" s="11">
        <v>1</v>
      </c>
      <c r="I136" s="14">
        <v>0.3</v>
      </c>
      <c r="J136" s="11">
        <v>7.37</v>
      </c>
      <c r="K136" s="14">
        <v>2.21</v>
      </c>
    </row>
    <row r="137" spans="1:11" ht="14.5" x14ac:dyDescent="0.25">
      <c r="A137" s="10"/>
      <c r="B137" s="10"/>
      <c r="C137" s="10" t="s">
        <v>260</v>
      </c>
      <c r="D137" s="12" t="s">
        <v>261</v>
      </c>
      <c r="E137" s="11">
        <v>95</v>
      </c>
      <c r="F137" s="14"/>
      <c r="G137" s="13"/>
      <c r="H137" s="11"/>
      <c r="I137" s="14">
        <v>12.56</v>
      </c>
      <c r="J137" s="11">
        <v>95</v>
      </c>
      <c r="K137" s="14">
        <v>716.49</v>
      </c>
    </row>
    <row r="138" spans="1:11" ht="14.5" x14ac:dyDescent="0.25">
      <c r="A138" s="10"/>
      <c r="B138" s="10"/>
      <c r="C138" s="10" t="s">
        <v>262</v>
      </c>
      <c r="D138" s="12" t="s">
        <v>261</v>
      </c>
      <c r="E138" s="11">
        <v>53</v>
      </c>
      <c r="F138" s="14"/>
      <c r="G138" s="13"/>
      <c r="H138" s="11"/>
      <c r="I138" s="14">
        <v>7.01</v>
      </c>
      <c r="J138" s="11">
        <v>53</v>
      </c>
      <c r="K138" s="14">
        <v>399.73</v>
      </c>
    </row>
    <row r="139" spans="1:11" ht="14.5" x14ac:dyDescent="0.25">
      <c r="A139" s="17"/>
      <c r="B139" s="17"/>
      <c r="C139" s="17" t="s">
        <v>263</v>
      </c>
      <c r="D139" s="18" t="s">
        <v>264</v>
      </c>
      <c r="E139" s="19">
        <v>0.8</v>
      </c>
      <c r="F139" s="20"/>
      <c r="G139" s="21" t="s">
        <v>13</v>
      </c>
      <c r="H139" s="19">
        <v>1</v>
      </c>
      <c r="I139" s="20">
        <v>0.96</v>
      </c>
      <c r="J139" s="19"/>
      <c r="K139" s="20"/>
    </row>
    <row r="140" spans="1:11" ht="14" x14ac:dyDescent="0.25">
      <c r="C140" s="22" t="s">
        <v>265</v>
      </c>
      <c r="H140" s="143">
        <v>33.090000000000003</v>
      </c>
      <c r="I140" s="143"/>
      <c r="J140" s="143">
        <v>1872.63</v>
      </c>
      <c r="K140" s="143"/>
    </row>
    <row r="141" spans="1:11" ht="14" x14ac:dyDescent="0.25">
      <c r="C141" s="22" t="s">
        <v>267</v>
      </c>
      <c r="H141" s="141">
        <v>33.090000000000003</v>
      </c>
      <c r="I141" s="141"/>
      <c r="J141" s="141">
        <v>1872.63</v>
      </c>
      <c r="K141" s="141"/>
    </row>
    <row r="143" spans="1:11" ht="54" x14ac:dyDescent="0.25">
      <c r="A143" s="17">
        <v>20</v>
      </c>
      <c r="B143" s="17" t="s">
        <v>409</v>
      </c>
      <c r="C143" s="17" t="s">
        <v>2006</v>
      </c>
      <c r="D143" s="18" t="s">
        <v>11</v>
      </c>
      <c r="E143" s="19">
        <v>1</v>
      </c>
      <c r="F143" s="20">
        <v>768.27</v>
      </c>
      <c r="G143" s="21" t="s">
        <v>1</v>
      </c>
      <c r="H143" s="19">
        <v>1</v>
      </c>
      <c r="I143" s="20">
        <v>768.27</v>
      </c>
      <c r="J143" s="19">
        <v>7.54</v>
      </c>
      <c r="K143" s="20">
        <v>5792.76</v>
      </c>
    </row>
    <row r="144" spans="1:11" ht="14" x14ac:dyDescent="0.25">
      <c r="C144" s="22" t="s">
        <v>267</v>
      </c>
      <c r="H144" s="143">
        <v>768.27</v>
      </c>
      <c r="I144" s="143"/>
      <c r="J144" s="143">
        <v>5792.76</v>
      </c>
      <c r="K144" s="143"/>
    </row>
    <row r="146" spans="1:11" ht="54" x14ac:dyDescent="0.25">
      <c r="A146" s="17">
        <v>21</v>
      </c>
      <c r="B146" s="17" t="s">
        <v>409</v>
      </c>
      <c r="C146" s="17" t="s">
        <v>2007</v>
      </c>
      <c r="D146" s="18" t="s">
        <v>11</v>
      </c>
      <c r="E146" s="19">
        <v>1</v>
      </c>
      <c r="F146" s="20">
        <v>585.84</v>
      </c>
      <c r="G146" s="21" t="s">
        <v>1</v>
      </c>
      <c r="H146" s="19">
        <v>1</v>
      </c>
      <c r="I146" s="20">
        <v>585.84</v>
      </c>
      <c r="J146" s="19">
        <v>7.54</v>
      </c>
      <c r="K146" s="20">
        <v>4417.2299999999996</v>
      </c>
    </row>
    <row r="147" spans="1:11" ht="14" x14ac:dyDescent="0.25">
      <c r="C147" s="22" t="s">
        <v>267</v>
      </c>
      <c r="H147" s="143">
        <v>585.84</v>
      </c>
      <c r="I147" s="143"/>
      <c r="J147" s="143">
        <v>4417.2299999999996</v>
      </c>
      <c r="K147" s="143"/>
    </row>
    <row r="149" spans="1:11" ht="28" x14ac:dyDescent="0.25">
      <c r="A149" s="17">
        <v>22</v>
      </c>
      <c r="B149" s="17" t="s">
        <v>1068</v>
      </c>
      <c r="C149" s="17" t="s">
        <v>1052</v>
      </c>
      <c r="D149" s="18" t="s">
        <v>38</v>
      </c>
      <c r="E149" s="19">
        <v>10</v>
      </c>
      <c r="F149" s="20">
        <v>30.69</v>
      </c>
      <c r="G149" s="21" t="s">
        <v>1</v>
      </c>
      <c r="H149" s="19">
        <v>1</v>
      </c>
      <c r="I149" s="20">
        <v>306.89999999999998</v>
      </c>
      <c r="J149" s="19">
        <v>5.76</v>
      </c>
      <c r="K149" s="20">
        <v>1767.74</v>
      </c>
    </row>
    <row r="150" spans="1:11" ht="14" x14ac:dyDescent="0.25">
      <c r="C150" s="22" t="s">
        <v>267</v>
      </c>
      <c r="H150" s="143">
        <v>306.89999999999998</v>
      </c>
      <c r="I150" s="143"/>
      <c r="J150" s="143">
        <v>1767.74</v>
      </c>
      <c r="K150" s="143"/>
    </row>
    <row r="152" spans="1:11" ht="70" x14ac:dyDescent="0.25">
      <c r="A152" s="10">
        <v>23</v>
      </c>
      <c r="B152" s="10" t="s">
        <v>1069</v>
      </c>
      <c r="C152" s="10" t="s">
        <v>2076</v>
      </c>
      <c r="D152" s="12" t="s">
        <v>38</v>
      </c>
      <c r="E152" s="11">
        <v>4</v>
      </c>
      <c r="F152" s="14">
        <v>42.99</v>
      </c>
      <c r="G152" s="15" t="s">
        <v>1</v>
      </c>
      <c r="H152" s="11">
        <v>1</v>
      </c>
      <c r="I152" s="14">
        <v>171.96</v>
      </c>
      <c r="J152" s="11">
        <v>5.76</v>
      </c>
      <c r="K152" s="14">
        <v>990.49</v>
      </c>
    </row>
    <row r="153" spans="1:11" x14ac:dyDescent="0.25">
      <c r="A153" s="28"/>
      <c r="B153" s="28"/>
      <c r="C153" s="25" t="s">
        <v>1070</v>
      </c>
      <c r="D153" s="28"/>
      <c r="E153" s="28"/>
      <c r="F153" s="28"/>
      <c r="G153" s="28"/>
      <c r="H153" s="28"/>
      <c r="I153" s="28"/>
      <c r="J153" s="28"/>
      <c r="K153" s="28"/>
    </row>
    <row r="154" spans="1:11" ht="14" x14ac:dyDescent="0.25">
      <c r="C154" s="22" t="s">
        <v>267</v>
      </c>
      <c r="H154" s="143">
        <v>171.96</v>
      </c>
      <c r="I154" s="143"/>
      <c r="J154" s="143">
        <v>990.49</v>
      </c>
      <c r="K154" s="143"/>
    </row>
    <row r="156" spans="1:11" ht="42" x14ac:dyDescent="0.25">
      <c r="A156" s="10">
        <v>24</v>
      </c>
      <c r="B156" s="10" t="s">
        <v>1071</v>
      </c>
      <c r="C156" s="10" t="s">
        <v>1053</v>
      </c>
      <c r="D156" s="12" t="s">
        <v>34</v>
      </c>
      <c r="E156" s="11">
        <v>0.04</v>
      </c>
      <c r="F156" s="14">
        <v>35.4</v>
      </c>
      <c r="G156" s="15" t="s">
        <v>1</v>
      </c>
      <c r="H156" s="11">
        <v>1</v>
      </c>
      <c r="I156" s="14">
        <v>1.42</v>
      </c>
      <c r="J156" s="11">
        <v>13.21</v>
      </c>
      <c r="K156" s="14">
        <v>18.760000000000002</v>
      </c>
    </row>
    <row r="157" spans="1:11" x14ac:dyDescent="0.25">
      <c r="A157" s="28"/>
      <c r="B157" s="28"/>
      <c r="C157" s="25" t="s">
        <v>393</v>
      </c>
      <c r="D157" s="28"/>
      <c r="E157" s="28"/>
      <c r="F157" s="28"/>
      <c r="G157" s="28"/>
      <c r="H157" s="28"/>
      <c r="I157" s="28"/>
      <c r="J157" s="28"/>
      <c r="K157" s="28"/>
    </row>
    <row r="158" spans="1:11" ht="14" x14ac:dyDescent="0.25">
      <c r="C158" s="22" t="s">
        <v>267</v>
      </c>
      <c r="H158" s="143">
        <v>1.42</v>
      </c>
      <c r="I158" s="143"/>
      <c r="J158" s="143">
        <v>18.760000000000002</v>
      </c>
      <c r="K158" s="143"/>
    </row>
    <row r="161" spans="1:11" ht="14" x14ac:dyDescent="0.3">
      <c r="A161" s="140" t="s">
        <v>1072</v>
      </c>
      <c r="B161" s="140"/>
      <c r="C161" s="140"/>
      <c r="D161" s="140"/>
      <c r="E161" s="140"/>
      <c r="F161" s="140"/>
      <c r="G161" s="140"/>
      <c r="H161" s="141">
        <v>6273.84</v>
      </c>
      <c r="I161" s="142"/>
      <c r="J161" s="141">
        <v>67986.759999999995</v>
      </c>
      <c r="K161" s="142"/>
    </row>
    <row r="163" spans="1:11" ht="16.5" x14ac:dyDescent="0.25">
      <c r="A163" s="144" t="s">
        <v>1073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</row>
    <row r="164" spans="1:11" ht="79" x14ac:dyDescent="0.25">
      <c r="A164" s="10">
        <v>25</v>
      </c>
      <c r="B164" s="10" t="s">
        <v>287</v>
      </c>
      <c r="C164" s="10" t="s">
        <v>91</v>
      </c>
      <c r="D164" s="12" t="s">
        <v>50</v>
      </c>
      <c r="E164" s="11">
        <v>0.15</v>
      </c>
      <c r="F164" s="14"/>
      <c r="G164" s="13"/>
      <c r="H164" s="11"/>
      <c r="I164" s="14"/>
      <c r="J164" s="11"/>
      <c r="K164" s="14"/>
    </row>
    <row r="165" spans="1:11" x14ac:dyDescent="0.25">
      <c r="C165" s="23" t="s">
        <v>1074</v>
      </c>
    </row>
    <row r="166" spans="1:11" ht="14.5" x14ac:dyDescent="0.25">
      <c r="A166" s="10"/>
      <c r="B166" s="10"/>
      <c r="C166" s="10" t="s">
        <v>256</v>
      </c>
      <c r="D166" s="12"/>
      <c r="E166" s="11"/>
      <c r="F166" s="14">
        <v>192.26</v>
      </c>
      <c r="G166" s="15" t="s">
        <v>13</v>
      </c>
      <c r="H166" s="11">
        <v>1</v>
      </c>
      <c r="I166" s="14">
        <v>34.61</v>
      </c>
      <c r="J166" s="11">
        <v>57.05</v>
      </c>
      <c r="K166" s="14">
        <v>1974.5</v>
      </c>
    </row>
    <row r="167" spans="1:11" ht="14.5" x14ac:dyDescent="0.25">
      <c r="A167" s="10"/>
      <c r="B167" s="10"/>
      <c r="C167" s="10" t="s">
        <v>257</v>
      </c>
      <c r="D167" s="12"/>
      <c r="E167" s="11"/>
      <c r="F167" s="14">
        <v>32.869999999999997</v>
      </c>
      <c r="G167" s="15" t="s">
        <v>13</v>
      </c>
      <c r="H167" s="11">
        <v>1</v>
      </c>
      <c r="I167" s="14">
        <v>5.92</v>
      </c>
      <c r="J167" s="11">
        <v>19.239999999999998</v>
      </c>
      <c r="K167" s="14">
        <v>113.9</v>
      </c>
    </row>
    <row r="168" spans="1:11" ht="14.5" x14ac:dyDescent="0.25">
      <c r="A168" s="10"/>
      <c r="B168" s="10"/>
      <c r="C168" s="10" t="s">
        <v>258</v>
      </c>
      <c r="D168" s="12"/>
      <c r="E168" s="11"/>
      <c r="F168" s="14">
        <v>5.71</v>
      </c>
      <c r="G168" s="15" t="s">
        <v>13</v>
      </c>
      <c r="H168" s="11">
        <v>1</v>
      </c>
      <c r="I168" s="16">
        <v>1.03</v>
      </c>
      <c r="J168" s="11">
        <v>57.05</v>
      </c>
      <c r="K168" s="16">
        <v>58.76</v>
      </c>
    </row>
    <row r="169" spans="1:11" ht="14.5" x14ac:dyDescent="0.25">
      <c r="A169" s="10"/>
      <c r="B169" s="10"/>
      <c r="C169" s="10" t="s">
        <v>259</v>
      </c>
      <c r="D169" s="12"/>
      <c r="E169" s="11"/>
      <c r="F169" s="14">
        <v>314.29000000000002</v>
      </c>
      <c r="G169" s="15" t="s">
        <v>1</v>
      </c>
      <c r="H169" s="11">
        <v>1</v>
      </c>
      <c r="I169" s="14">
        <v>47.14</v>
      </c>
      <c r="J169" s="11">
        <v>10.18</v>
      </c>
      <c r="K169" s="14">
        <v>479.89</v>
      </c>
    </row>
    <row r="170" spans="1:11" ht="42" x14ac:dyDescent="0.25">
      <c r="A170" s="10" t="s">
        <v>1054</v>
      </c>
      <c r="B170" s="10" t="s">
        <v>93</v>
      </c>
      <c r="C170" s="10" t="s">
        <v>94</v>
      </c>
      <c r="D170" s="12" t="s">
        <v>52</v>
      </c>
      <c r="E170" s="11">
        <v>15.3</v>
      </c>
      <c r="F170" s="14">
        <v>3.45</v>
      </c>
      <c r="G170" s="15" t="s">
        <v>1</v>
      </c>
      <c r="H170" s="11">
        <v>1</v>
      </c>
      <c r="I170" s="14">
        <v>52.79</v>
      </c>
      <c r="J170" s="11">
        <v>3.85</v>
      </c>
      <c r="K170" s="14">
        <v>203.24</v>
      </c>
    </row>
    <row r="171" spans="1:11" ht="28" x14ac:dyDescent="0.25">
      <c r="A171" s="10" t="s">
        <v>1055</v>
      </c>
      <c r="B171" s="10" t="s">
        <v>1075</v>
      </c>
      <c r="C171" s="10" t="s">
        <v>1056</v>
      </c>
      <c r="D171" s="12" t="s">
        <v>88</v>
      </c>
      <c r="E171" s="11">
        <v>1E-3</v>
      </c>
      <c r="F171" s="14">
        <v>1681.33</v>
      </c>
      <c r="G171" s="15" t="s">
        <v>1</v>
      </c>
      <c r="H171" s="11">
        <v>1</v>
      </c>
      <c r="I171" s="14">
        <v>1.68</v>
      </c>
      <c r="J171" s="11">
        <v>13.11</v>
      </c>
      <c r="K171" s="14">
        <v>22.02</v>
      </c>
    </row>
    <row r="172" spans="1:11" ht="14.5" x14ac:dyDescent="0.25">
      <c r="A172" s="10"/>
      <c r="B172" s="10"/>
      <c r="C172" s="10" t="s">
        <v>260</v>
      </c>
      <c r="D172" s="12" t="s">
        <v>261</v>
      </c>
      <c r="E172" s="11">
        <v>97</v>
      </c>
      <c r="F172" s="14"/>
      <c r="G172" s="13"/>
      <c r="H172" s="11"/>
      <c r="I172" s="14">
        <v>34.57</v>
      </c>
      <c r="J172" s="11">
        <v>97</v>
      </c>
      <c r="K172" s="14">
        <v>1972.26</v>
      </c>
    </row>
    <row r="173" spans="1:11" ht="14.5" x14ac:dyDescent="0.25">
      <c r="A173" s="10"/>
      <c r="B173" s="10"/>
      <c r="C173" s="10" t="s">
        <v>262</v>
      </c>
      <c r="D173" s="12" t="s">
        <v>261</v>
      </c>
      <c r="E173" s="11">
        <v>51</v>
      </c>
      <c r="F173" s="14"/>
      <c r="G173" s="13"/>
      <c r="H173" s="11"/>
      <c r="I173" s="14">
        <v>18.18</v>
      </c>
      <c r="J173" s="11">
        <v>51</v>
      </c>
      <c r="K173" s="14">
        <v>1036.96</v>
      </c>
    </row>
    <row r="174" spans="1:11" ht="14.5" x14ac:dyDescent="0.25">
      <c r="A174" s="17"/>
      <c r="B174" s="17"/>
      <c r="C174" s="17" t="s">
        <v>263</v>
      </c>
      <c r="D174" s="18" t="s">
        <v>264</v>
      </c>
      <c r="E174" s="19">
        <v>15</v>
      </c>
      <c r="F174" s="20"/>
      <c r="G174" s="21" t="s">
        <v>13</v>
      </c>
      <c r="H174" s="19">
        <v>1</v>
      </c>
      <c r="I174" s="20">
        <v>2.7</v>
      </c>
      <c r="J174" s="19"/>
      <c r="K174" s="20"/>
    </row>
    <row r="175" spans="1:11" ht="14" x14ac:dyDescent="0.25">
      <c r="C175" s="22" t="s">
        <v>265</v>
      </c>
      <c r="H175" s="143">
        <v>194.89</v>
      </c>
      <c r="I175" s="143"/>
      <c r="J175" s="143">
        <v>5802.77</v>
      </c>
      <c r="K175" s="143"/>
    </row>
    <row r="176" spans="1:11" ht="14" x14ac:dyDescent="0.25">
      <c r="C176" s="22" t="s">
        <v>267</v>
      </c>
      <c r="H176" s="141">
        <v>194.89</v>
      </c>
      <c r="I176" s="141"/>
      <c r="J176" s="141">
        <v>5802.77</v>
      </c>
      <c r="K176" s="141"/>
    </row>
    <row r="178" spans="1:11" ht="79" x14ac:dyDescent="0.25">
      <c r="A178" s="10">
        <v>26</v>
      </c>
      <c r="B178" s="10" t="s">
        <v>1057</v>
      </c>
      <c r="C178" s="10" t="s">
        <v>1058</v>
      </c>
      <c r="D178" s="12" t="s">
        <v>50</v>
      </c>
      <c r="E178" s="11">
        <v>0.3</v>
      </c>
      <c r="F178" s="14"/>
      <c r="G178" s="13"/>
      <c r="H178" s="11"/>
      <c r="I178" s="14"/>
      <c r="J178" s="11"/>
      <c r="K178" s="14"/>
    </row>
    <row r="179" spans="1:11" x14ac:dyDescent="0.25">
      <c r="C179" s="23" t="s">
        <v>1076</v>
      </c>
    </row>
    <row r="180" spans="1:11" ht="14.5" x14ac:dyDescent="0.25">
      <c r="A180" s="10"/>
      <c r="B180" s="10"/>
      <c r="C180" s="10" t="s">
        <v>256</v>
      </c>
      <c r="D180" s="12"/>
      <c r="E180" s="11"/>
      <c r="F180" s="14">
        <v>368.37</v>
      </c>
      <c r="G180" s="15" t="s">
        <v>13</v>
      </c>
      <c r="H180" s="11">
        <v>1</v>
      </c>
      <c r="I180" s="14">
        <v>132.61000000000001</v>
      </c>
      <c r="J180" s="11">
        <v>57.05</v>
      </c>
      <c r="K180" s="14">
        <v>7565.4</v>
      </c>
    </row>
    <row r="181" spans="1:11" ht="14.5" x14ac:dyDescent="0.25">
      <c r="A181" s="10"/>
      <c r="B181" s="10"/>
      <c r="C181" s="10" t="s">
        <v>257</v>
      </c>
      <c r="D181" s="12"/>
      <c r="E181" s="11"/>
      <c r="F181" s="14">
        <v>129.06</v>
      </c>
      <c r="G181" s="15" t="s">
        <v>13</v>
      </c>
      <c r="H181" s="11">
        <v>1</v>
      </c>
      <c r="I181" s="14">
        <v>46.46</v>
      </c>
      <c r="J181" s="11">
        <v>13.4</v>
      </c>
      <c r="K181" s="14">
        <v>622.55999999999995</v>
      </c>
    </row>
    <row r="182" spans="1:11" ht="14.5" x14ac:dyDescent="0.25">
      <c r="A182" s="10"/>
      <c r="B182" s="10"/>
      <c r="C182" s="10" t="s">
        <v>258</v>
      </c>
      <c r="D182" s="12"/>
      <c r="E182" s="11"/>
      <c r="F182" s="14">
        <v>2.52</v>
      </c>
      <c r="G182" s="15" t="s">
        <v>13</v>
      </c>
      <c r="H182" s="11">
        <v>1</v>
      </c>
      <c r="I182" s="16">
        <v>0.91</v>
      </c>
      <c r="J182" s="11">
        <v>57.05</v>
      </c>
      <c r="K182" s="16">
        <v>51.92</v>
      </c>
    </row>
    <row r="183" spans="1:11" ht="14.5" x14ac:dyDescent="0.25">
      <c r="A183" s="10"/>
      <c r="B183" s="10"/>
      <c r="C183" s="10" t="s">
        <v>259</v>
      </c>
      <c r="D183" s="12"/>
      <c r="E183" s="11"/>
      <c r="F183" s="14">
        <v>1763.74</v>
      </c>
      <c r="G183" s="15" t="s">
        <v>1</v>
      </c>
      <c r="H183" s="11">
        <v>1</v>
      </c>
      <c r="I183" s="14">
        <v>529.12</v>
      </c>
      <c r="J183" s="11">
        <v>3.89</v>
      </c>
      <c r="K183" s="14">
        <v>2058.2800000000002</v>
      </c>
    </row>
    <row r="184" spans="1:11" ht="98" x14ac:dyDescent="0.25">
      <c r="A184" s="10" t="s">
        <v>917</v>
      </c>
      <c r="B184" s="10" t="s">
        <v>1077</v>
      </c>
      <c r="C184" s="10" t="s">
        <v>1059</v>
      </c>
      <c r="D184" s="12" t="s">
        <v>52</v>
      </c>
      <c r="E184" s="11">
        <v>30.9</v>
      </c>
      <c r="F184" s="14">
        <v>32.32</v>
      </c>
      <c r="G184" s="15" t="s">
        <v>1</v>
      </c>
      <c r="H184" s="11">
        <v>1</v>
      </c>
      <c r="I184" s="14">
        <v>998.69</v>
      </c>
      <c r="J184" s="11">
        <v>6.56</v>
      </c>
      <c r="K184" s="14">
        <v>6551.41</v>
      </c>
    </row>
    <row r="185" spans="1:11" ht="14.5" x14ac:dyDescent="0.25">
      <c r="A185" s="10"/>
      <c r="B185" s="10"/>
      <c r="C185" s="10" t="s">
        <v>260</v>
      </c>
      <c r="D185" s="12" t="s">
        <v>261</v>
      </c>
      <c r="E185" s="11">
        <v>97</v>
      </c>
      <c r="F185" s="14"/>
      <c r="G185" s="13"/>
      <c r="H185" s="11"/>
      <c r="I185" s="14">
        <v>129.51</v>
      </c>
      <c r="J185" s="11">
        <v>97</v>
      </c>
      <c r="K185" s="14">
        <v>7388.8</v>
      </c>
    </row>
    <row r="186" spans="1:11" ht="14.5" x14ac:dyDescent="0.25">
      <c r="A186" s="10"/>
      <c r="B186" s="10"/>
      <c r="C186" s="10" t="s">
        <v>262</v>
      </c>
      <c r="D186" s="12" t="s">
        <v>261</v>
      </c>
      <c r="E186" s="11">
        <v>51</v>
      </c>
      <c r="F186" s="14"/>
      <c r="G186" s="13"/>
      <c r="H186" s="11"/>
      <c r="I186" s="14">
        <v>68.099999999999994</v>
      </c>
      <c r="J186" s="11">
        <v>51</v>
      </c>
      <c r="K186" s="14">
        <v>3884.83</v>
      </c>
    </row>
    <row r="187" spans="1:11" ht="14.5" x14ac:dyDescent="0.25">
      <c r="A187" s="17"/>
      <c r="B187" s="17"/>
      <c r="C187" s="17" t="s">
        <v>263</v>
      </c>
      <c r="D187" s="18" t="s">
        <v>264</v>
      </c>
      <c r="E187" s="19">
        <v>29.9</v>
      </c>
      <c r="F187" s="20"/>
      <c r="G187" s="21" t="s">
        <v>13</v>
      </c>
      <c r="H187" s="19">
        <v>1</v>
      </c>
      <c r="I187" s="20">
        <v>10.76</v>
      </c>
      <c r="J187" s="19"/>
      <c r="K187" s="20"/>
    </row>
    <row r="188" spans="1:11" ht="14" x14ac:dyDescent="0.25">
      <c r="C188" s="22" t="s">
        <v>265</v>
      </c>
      <c r="H188" s="143">
        <v>1904.49</v>
      </c>
      <c r="I188" s="143"/>
      <c r="J188" s="143">
        <v>28071.279999999999</v>
      </c>
      <c r="K188" s="143"/>
    </row>
    <row r="189" spans="1:11" ht="14" x14ac:dyDescent="0.25">
      <c r="C189" s="22" t="s">
        <v>267</v>
      </c>
      <c r="H189" s="141">
        <v>1904.49</v>
      </c>
      <c r="I189" s="141"/>
      <c r="J189" s="141">
        <v>28071.279999999999</v>
      </c>
      <c r="K189" s="141"/>
    </row>
    <row r="191" spans="1:11" ht="79" x14ac:dyDescent="0.25">
      <c r="A191" s="10">
        <v>27</v>
      </c>
      <c r="B191" s="10" t="s">
        <v>280</v>
      </c>
      <c r="C191" s="10" t="s">
        <v>58</v>
      </c>
      <c r="D191" s="12" t="s">
        <v>50</v>
      </c>
      <c r="E191" s="11">
        <v>0.35</v>
      </c>
      <c r="F191" s="14"/>
      <c r="G191" s="13"/>
      <c r="H191" s="11"/>
      <c r="I191" s="14"/>
      <c r="J191" s="11"/>
      <c r="K191" s="14"/>
    </row>
    <row r="192" spans="1:11" x14ac:dyDescent="0.25">
      <c r="C192" s="23" t="s">
        <v>1078</v>
      </c>
    </row>
    <row r="193" spans="1:11" ht="14.5" x14ac:dyDescent="0.25">
      <c r="A193" s="10"/>
      <c r="B193" s="10"/>
      <c r="C193" s="10" t="s">
        <v>256</v>
      </c>
      <c r="D193" s="12"/>
      <c r="E193" s="11"/>
      <c r="F193" s="14">
        <v>55.23</v>
      </c>
      <c r="G193" s="15" t="s">
        <v>13</v>
      </c>
      <c r="H193" s="11">
        <v>1</v>
      </c>
      <c r="I193" s="14">
        <v>23.2</v>
      </c>
      <c r="J193" s="11">
        <v>57.05</v>
      </c>
      <c r="K193" s="14">
        <v>1323.56</v>
      </c>
    </row>
    <row r="194" spans="1:11" ht="14.5" x14ac:dyDescent="0.25">
      <c r="A194" s="10"/>
      <c r="B194" s="10"/>
      <c r="C194" s="10" t="s">
        <v>257</v>
      </c>
      <c r="D194" s="12"/>
      <c r="E194" s="11"/>
      <c r="F194" s="14">
        <v>2.62</v>
      </c>
      <c r="G194" s="15" t="s">
        <v>13</v>
      </c>
      <c r="H194" s="11">
        <v>1</v>
      </c>
      <c r="I194" s="14">
        <v>1.1000000000000001</v>
      </c>
      <c r="J194" s="11">
        <v>15.96</v>
      </c>
      <c r="K194" s="14">
        <v>17.559999999999999</v>
      </c>
    </row>
    <row r="195" spans="1:11" ht="14.5" x14ac:dyDescent="0.25">
      <c r="A195" s="10"/>
      <c r="B195" s="10"/>
      <c r="C195" s="10" t="s">
        <v>258</v>
      </c>
      <c r="D195" s="12"/>
      <c r="E195" s="11"/>
      <c r="F195" s="14">
        <v>0.3</v>
      </c>
      <c r="G195" s="15" t="s">
        <v>13</v>
      </c>
      <c r="H195" s="11">
        <v>1</v>
      </c>
      <c r="I195" s="16">
        <v>0.13</v>
      </c>
      <c r="J195" s="11">
        <v>57.05</v>
      </c>
      <c r="K195" s="16">
        <v>7.42</v>
      </c>
    </row>
    <row r="196" spans="1:11" ht="14.5" x14ac:dyDescent="0.25">
      <c r="A196" s="10"/>
      <c r="B196" s="10"/>
      <c r="C196" s="10" t="s">
        <v>259</v>
      </c>
      <c r="D196" s="12"/>
      <c r="E196" s="11"/>
      <c r="F196" s="14">
        <v>58.15</v>
      </c>
      <c r="G196" s="15" t="s">
        <v>1</v>
      </c>
      <c r="H196" s="11">
        <v>1</v>
      </c>
      <c r="I196" s="14">
        <v>20.350000000000001</v>
      </c>
      <c r="J196" s="11">
        <v>3.64</v>
      </c>
      <c r="K196" s="14">
        <v>74.069999999999993</v>
      </c>
    </row>
    <row r="197" spans="1:11" ht="14.5" x14ac:dyDescent="0.25">
      <c r="A197" s="10"/>
      <c r="B197" s="10"/>
      <c r="C197" s="10" t="s">
        <v>260</v>
      </c>
      <c r="D197" s="12" t="s">
        <v>261</v>
      </c>
      <c r="E197" s="11">
        <v>97</v>
      </c>
      <c r="F197" s="14"/>
      <c r="G197" s="13"/>
      <c r="H197" s="11"/>
      <c r="I197" s="14">
        <v>22.63</v>
      </c>
      <c r="J197" s="11">
        <v>97</v>
      </c>
      <c r="K197" s="14">
        <v>1291.05</v>
      </c>
    </row>
    <row r="198" spans="1:11" ht="14.5" x14ac:dyDescent="0.25">
      <c r="A198" s="10"/>
      <c r="B198" s="10"/>
      <c r="C198" s="10" t="s">
        <v>262</v>
      </c>
      <c r="D198" s="12" t="s">
        <v>261</v>
      </c>
      <c r="E198" s="11">
        <v>51</v>
      </c>
      <c r="F198" s="14"/>
      <c r="G198" s="13"/>
      <c r="H198" s="11"/>
      <c r="I198" s="14">
        <v>11.9</v>
      </c>
      <c r="J198" s="11">
        <v>51</v>
      </c>
      <c r="K198" s="14">
        <v>678.8</v>
      </c>
    </row>
    <row r="199" spans="1:11" ht="14.5" x14ac:dyDescent="0.25">
      <c r="A199" s="17"/>
      <c r="B199" s="17"/>
      <c r="C199" s="17" t="s">
        <v>263</v>
      </c>
      <c r="D199" s="18" t="s">
        <v>264</v>
      </c>
      <c r="E199" s="19">
        <v>4.49</v>
      </c>
      <c r="F199" s="20"/>
      <c r="G199" s="21" t="s">
        <v>13</v>
      </c>
      <c r="H199" s="19">
        <v>1</v>
      </c>
      <c r="I199" s="20">
        <v>1.89</v>
      </c>
      <c r="J199" s="19"/>
      <c r="K199" s="20"/>
    </row>
    <row r="200" spans="1:11" ht="14" x14ac:dyDescent="0.25">
      <c r="C200" s="22" t="s">
        <v>265</v>
      </c>
      <c r="H200" s="143">
        <v>79.180000000000007</v>
      </c>
      <c r="I200" s="143"/>
      <c r="J200" s="143">
        <v>3385.04</v>
      </c>
      <c r="K200" s="143"/>
    </row>
    <row r="201" spans="1:11" ht="14" x14ac:dyDescent="0.25">
      <c r="C201" s="22" t="s">
        <v>267</v>
      </c>
      <c r="H201" s="141">
        <v>79.180000000000007</v>
      </c>
      <c r="I201" s="141"/>
      <c r="J201" s="141">
        <v>3385.04</v>
      </c>
      <c r="K201" s="141"/>
    </row>
    <row r="203" spans="1:11" ht="79" x14ac:dyDescent="0.25">
      <c r="A203" s="10">
        <v>28</v>
      </c>
      <c r="B203" s="10" t="s">
        <v>281</v>
      </c>
      <c r="C203" s="10" t="s">
        <v>62</v>
      </c>
      <c r="D203" s="12" t="s">
        <v>50</v>
      </c>
      <c r="E203" s="11">
        <v>0.1</v>
      </c>
      <c r="F203" s="14"/>
      <c r="G203" s="13"/>
      <c r="H203" s="11"/>
      <c r="I203" s="14"/>
      <c r="J203" s="11"/>
      <c r="K203" s="14"/>
    </row>
    <row r="204" spans="1:11" x14ac:dyDescent="0.25">
      <c r="C204" s="23" t="s">
        <v>817</v>
      </c>
    </row>
    <row r="205" spans="1:11" ht="14.5" x14ac:dyDescent="0.25">
      <c r="A205" s="10"/>
      <c r="B205" s="10"/>
      <c r="C205" s="10" t="s">
        <v>256</v>
      </c>
      <c r="D205" s="12"/>
      <c r="E205" s="11"/>
      <c r="F205" s="14">
        <v>66.3</v>
      </c>
      <c r="G205" s="15" t="s">
        <v>13</v>
      </c>
      <c r="H205" s="11">
        <v>1</v>
      </c>
      <c r="I205" s="14">
        <v>7.96</v>
      </c>
      <c r="J205" s="11">
        <v>57.05</v>
      </c>
      <c r="K205" s="14">
        <v>454.12</v>
      </c>
    </row>
    <row r="206" spans="1:11" ht="14.5" x14ac:dyDescent="0.25">
      <c r="A206" s="10"/>
      <c r="B206" s="10"/>
      <c r="C206" s="10" t="s">
        <v>257</v>
      </c>
      <c r="D206" s="12"/>
      <c r="E206" s="11"/>
      <c r="F206" s="14">
        <v>5.25</v>
      </c>
      <c r="G206" s="15" t="s">
        <v>13</v>
      </c>
      <c r="H206" s="11">
        <v>1</v>
      </c>
      <c r="I206" s="14">
        <v>0.63</v>
      </c>
      <c r="J206" s="11">
        <v>15.93</v>
      </c>
      <c r="K206" s="14">
        <v>10.039999999999999</v>
      </c>
    </row>
    <row r="207" spans="1:11" ht="14.5" x14ac:dyDescent="0.25">
      <c r="A207" s="10"/>
      <c r="B207" s="10"/>
      <c r="C207" s="10" t="s">
        <v>258</v>
      </c>
      <c r="D207" s="12"/>
      <c r="E207" s="11"/>
      <c r="F207" s="14">
        <v>0.59</v>
      </c>
      <c r="G207" s="15" t="s">
        <v>13</v>
      </c>
      <c r="H207" s="11">
        <v>1</v>
      </c>
      <c r="I207" s="16">
        <v>7.0000000000000007E-2</v>
      </c>
      <c r="J207" s="11">
        <v>57.05</v>
      </c>
      <c r="K207" s="16">
        <v>3.99</v>
      </c>
    </row>
    <row r="208" spans="1:11" ht="14.5" x14ac:dyDescent="0.25">
      <c r="A208" s="10"/>
      <c r="B208" s="10"/>
      <c r="C208" s="10" t="s">
        <v>259</v>
      </c>
      <c r="D208" s="12"/>
      <c r="E208" s="11"/>
      <c r="F208" s="14">
        <v>61.98</v>
      </c>
      <c r="G208" s="15" t="s">
        <v>1</v>
      </c>
      <c r="H208" s="11">
        <v>1</v>
      </c>
      <c r="I208" s="14">
        <v>6.2</v>
      </c>
      <c r="J208" s="11">
        <v>4.5</v>
      </c>
      <c r="K208" s="14">
        <v>27.9</v>
      </c>
    </row>
    <row r="209" spans="1:11" ht="14.5" x14ac:dyDescent="0.25">
      <c r="A209" s="10"/>
      <c r="B209" s="10"/>
      <c r="C209" s="10" t="s">
        <v>260</v>
      </c>
      <c r="D209" s="12" t="s">
        <v>261</v>
      </c>
      <c r="E209" s="11">
        <v>97</v>
      </c>
      <c r="F209" s="14"/>
      <c r="G209" s="13"/>
      <c r="H209" s="11"/>
      <c r="I209" s="14">
        <v>7.79</v>
      </c>
      <c r="J209" s="11">
        <v>97</v>
      </c>
      <c r="K209" s="14">
        <v>444.37</v>
      </c>
    </row>
    <row r="210" spans="1:11" ht="14.5" x14ac:dyDescent="0.25">
      <c r="A210" s="10"/>
      <c r="B210" s="10"/>
      <c r="C210" s="10" t="s">
        <v>262</v>
      </c>
      <c r="D210" s="12" t="s">
        <v>261</v>
      </c>
      <c r="E210" s="11">
        <v>51</v>
      </c>
      <c r="F210" s="14"/>
      <c r="G210" s="13"/>
      <c r="H210" s="11"/>
      <c r="I210" s="14">
        <v>4.0999999999999996</v>
      </c>
      <c r="J210" s="11">
        <v>51</v>
      </c>
      <c r="K210" s="14">
        <v>233.64</v>
      </c>
    </row>
    <row r="211" spans="1:11" ht="14.5" x14ac:dyDescent="0.25">
      <c r="A211" s="17"/>
      <c r="B211" s="17"/>
      <c r="C211" s="17" t="s">
        <v>263</v>
      </c>
      <c r="D211" s="18" t="s">
        <v>264</v>
      </c>
      <c r="E211" s="19">
        <v>5.39</v>
      </c>
      <c r="F211" s="20"/>
      <c r="G211" s="21" t="s">
        <v>13</v>
      </c>
      <c r="H211" s="19">
        <v>1</v>
      </c>
      <c r="I211" s="20">
        <v>0.65</v>
      </c>
      <c r="J211" s="19"/>
      <c r="K211" s="20"/>
    </row>
    <row r="212" spans="1:11" ht="14" x14ac:dyDescent="0.25">
      <c r="C212" s="22" t="s">
        <v>265</v>
      </c>
      <c r="H212" s="143">
        <v>26.68</v>
      </c>
      <c r="I212" s="143"/>
      <c r="J212" s="143">
        <v>1170.07</v>
      </c>
      <c r="K212" s="143"/>
    </row>
    <row r="213" spans="1:11" ht="14" x14ac:dyDescent="0.25">
      <c r="C213" s="22" t="s">
        <v>267</v>
      </c>
      <c r="H213" s="141">
        <v>26.68</v>
      </c>
      <c r="I213" s="141"/>
      <c r="J213" s="141">
        <v>1170.07</v>
      </c>
      <c r="K213" s="141"/>
    </row>
    <row r="215" spans="1:11" ht="98" x14ac:dyDescent="0.25">
      <c r="A215" s="10">
        <v>29</v>
      </c>
      <c r="B215" s="10" t="s">
        <v>1014</v>
      </c>
      <c r="C215" s="10" t="s">
        <v>1015</v>
      </c>
      <c r="D215" s="12" t="s">
        <v>50</v>
      </c>
      <c r="E215" s="11">
        <v>1.1000000000000001</v>
      </c>
      <c r="F215" s="14"/>
      <c r="G215" s="13"/>
      <c r="H215" s="11"/>
      <c r="I215" s="14"/>
      <c r="J215" s="11"/>
      <c r="K215" s="14"/>
    </row>
    <row r="216" spans="1:11" x14ac:dyDescent="0.25">
      <c r="C216" s="23" t="s">
        <v>1079</v>
      </c>
    </row>
    <row r="217" spans="1:11" ht="14.5" x14ac:dyDescent="0.25">
      <c r="A217" s="10"/>
      <c r="B217" s="10"/>
      <c r="C217" s="10" t="s">
        <v>256</v>
      </c>
      <c r="D217" s="12"/>
      <c r="E217" s="11"/>
      <c r="F217" s="14">
        <v>22.51</v>
      </c>
      <c r="G217" s="15" t="s">
        <v>13</v>
      </c>
      <c r="H217" s="11">
        <v>1</v>
      </c>
      <c r="I217" s="14">
        <v>29.71</v>
      </c>
      <c r="J217" s="11">
        <v>57.05</v>
      </c>
      <c r="K217" s="14">
        <v>1694.96</v>
      </c>
    </row>
    <row r="218" spans="1:11" ht="14.5" x14ac:dyDescent="0.25">
      <c r="A218" s="10"/>
      <c r="B218" s="10"/>
      <c r="C218" s="10" t="s">
        <v>257</v>
      </c>
      <c r="D218" s="12"/>
      <c r="E218" s="11"/>
      <c r="F218" s="14">
        <v>2.62</v>
      </c>
      <c r="G218" s="15" t="s">
        <v>13</v>
      </c>
      <c r="H218" s="11">
        <v>1</v>
      </c>
      <c r="I218" s="14">
        <v>3.46</v>
      </c>
      <c r="J218" s="11">
        <v>15.96</v>
      </c>
      <c r="K218" s="14">
        <v>55.22</v>
      </c>
    </row>
    <row r="219" spans="1:11" ht="14.5" x14ac:dyDescent="0.25">
      <c r="A219" s="10"/>
      <c r="B219" s="10"/>
      <c r="C219" s="10" t="s">
        <v>258</v>
      </c>
      <c r="D219" s="12"/>
      <c r="E219" s="11"/>
      <c r="F219" s="14">
        <v>0.3</v>
      </c>
      <c r="G219" s="15" t="s">
        <v>13</v>
      </c>
      <c r="H219" s="11">
        <v>1</v>
      </c>
      <c r="I219" s="16">
        <v>0.4</v>
      </c>
      <c r="J219" s="11">
        <v>57.05</v>
      </c>
      <c r="K219" s="16">
        <v>22.82</v>
      </c>
    </row>
    <row r="220" spans="1:11" ht="14.5" x14ac:dyDescent="0.25">
      <c r="A220" s="10"/>
      <c r="B220" s="10"/>
      <c r="C220" s="10" t="s">
        <v>259</v>
      </c>
      <c r="D220" s="12"/>
      <c r="E220" s="11"/>
      <c r="F220" s="14">
        <v>55.47</v>
      </c>
      <c r="G220" s="15" t="s">
        <v>1</v>
      </c>
      <c r="H220" s="11">
        <v>1</v>
      </c>
      <c r="I220" s="14">
        <v>61.02</v>
      </c>
      <c r="J220" s="11">
        <v>3.04</v>
      </c>
      <c r="K220" s="14">
        <v>185.5</v>
      </c>
    </row>
    <row r="221" spans="1:11" ht="14.5" x14ac:dyDescent="0.25">
      <c r="A221" s="10"/>
      <c r="B221" s="10"/>
      <c r="C221" s="10" t="s">
        <v>260</v>
      </c>
      <c r="D221" s="12" t="s">
        <v>261</v>
      </c>
      <c r="E221" s="11">
        <v>97</v>
      </c>
      <c r="F221" s="14"/>
      <c r="G221" s="13"/>
      <c r="H221" s="11"/>
      <c r="I221" s="14">
        <v>29.21</v>
      </c>
      <c r="J221" s="11">
        <v>97</v>
      </c>
      <c r="K221" s="14">
        <v>1666.25</v>
      </c>
    </row>
    <row r="222" spans="1:11" ht="14.5" x14ac:dyDescent="0.25">
      <c r="A222" s="10"/>
      <c r="B222" s="10"/>
      <c r="C222" s="10" t="s">
        <v>262</v>
      </c>
      <c r="D222" s="12" t="s">
        <v>261</v>
      </c>
      <c r="E222" s="11">
        <v>51</v>
      </c>
      <c r="F222" s="14"/>
      <c r="G222" s="13"/>
      <c r="H222" s="11"/>
      <c r="I222" s="14">
        <v>15.36</v>
      </c>
      <c r="J222" s="11">
        <v>51</v>
      </c>
      <c r="K222" s="14">
        <v>876.07</v>
      </c>
    </row>
    <row r="223" spans="1:11" ht="14.5" x14ac:dyDescent="0.25">
      <c r="A223" s="17"/>
      <c r="B223" s="17"/>
      <c r="C223" s="17" t="s">
        <v>263</v>
      </c>
      <c r="D223" s="18" t="s">
        <v>264</v>
      </c>
      <c r="E223" s="19">
        <v>1.83</v>
      </c>
      <c r="F223" s="20"/>
      <c r="G223" s="21" t="s">
        <v>13</v>
      </c>
      <c r="H223" s="19">
        <v>1</v>
      </c>
      <c r="I223" s="20">
        <v>2.42</v>
      </c>
      <c r="J223" s="19"/>
      <c r="K223" s="20"/>
    </row>
    <row r="224" spans="1:11" ht="14" x14ac:dyDescent="0.25">
      <c r="C224" s="22" t="s">
        <v>265</v>
      </c>
      <c r="H224" s="143">
        <v>138.76</v>
      </c>
      <c r="I224" s="143"/>
      <c r="J224" s="143">
        <v>4478</v>
      </c>
      <c r="K224" s="143"/>
    </row>
    <row r="225" spans="1:11" ht="14" x14ac:dyDescent="0.25">
      <c r="C225" s="22" t="s">
        <v>267</v>
      </c>
      <c r="H225" s="141">
        <v>138.76</v>
      </c>
      <c r="I225" s="141"/>
      <c r="J225" s="141">
        <v>4478</v>
      </c>
      <c r="K225" s="141"/>
    </row>
    <row r="227" spans="1:11" ht="41" x14ac:dyDescent="0.25">
      <c r="A227" s="17">
        <v>30</v>
      </c>
      <c r="B227" s="17" t="s">
        <v>409</v>
      </c>
      <c r="C227" s="17" t="s">
        <v>2077</v>
      </c>
      <c r="D227" s="18" t="s">
        <v>52</v>
      </c>
      <c r="E227" s="19">
        <v>20.399999999999999</v>
      </c>
      <c r="F227" s="20">
        <v>7.03</v>
      </c>
      <c r="G227" s="21" t="s">
        <v>1</v>
      </c>
      <c r="H227" s="19">
        <v>1</v>
      </c>
      <c r="I227" s="20">
        <v>143.41</v>
      </c>
      <c r="J227" s="19">
        <v>10.18</v>
      </c>
      <c r="K227" s="20">
        <v>1459.91</v>
      </c>
    </row>
    <row r="228" spans="1:11" ht="14" x14ac:dyDescent="0.25">
      <c r="C228" s="22" t="s">
        <v>267</v>
      </c>
      <c r="H228" s="143">
        <v>143.41</v>
      </c>
      <c r="I228" s="143"/>
      <c r="J228" s="143">
        <v>1459.91</v>
      </c>
      <c r="K228" s="143"/>
    </row>
    <row r="230" spans="1:11" ht="41" x14ac:dyDescent="0.25">
      <c r="A230" s="17">
        <v>31</v>
      </c>
      <c r="B230" s="17" t="s">
        <v>409</v>
      </c>
      <c r="C230" s="17" t="s">
        <v>2078</v>
      </c>
      <c r="D230" s="18" t="s">
        <v>52</v>
      </c>
      <c r="E230" s="19">
        <v>15.3</v>
      </c>
      <c r="F230" s="20">
        <v>3.09</v>
      </c>
      <c r="G230" s="21" t="s">
        <v>1</v>
      </c>
      <c r="H230" s="19">
        <v>1</v>
      </c>
      <c r="I230" s="20">
        <v>47.28</v>
      </c>
      <c r="J230" s="19">
        <v>10.18</v>
      </c>
      <c r="K230" s="20">
        <v>481.31</v>
      </c>
    </row>
    <row r="231" spans="1:11" ht="14" x14ac:dyDescent="0.25">
      <c r="C231" s="22" t="s">
        <v>267</v>
      </c>
      <c r="H231" s="143">
        <v>47.28</v>
      </c>
      <c r="I231" s="143"/>
      <c r="J231" s="143">
        <v>481.31</v>
      </c>
      <c r="K231" s="143"/>
    </row>
    <row r="233" spans="1:11" ht="41" x14ac:dyDescent="0.25">
      <c r="A233" s="17">
        <v>32</v>
      </c>
      <c r="B233" s="17" t="s">
        <v>409</v>
      </c>
      <c r="C233" s="17" t="s">
        <v>1083</v>
      </c>
      <c r="D233" s="18" t="s">
        <v>52</v>
      </c>
      <c r="E233" s="19">
        <v>10.199999999999999</v>
      </c>
      <c r="F233" s="20">
        <v>7.76</v>
      </c>
      <c r="G233" s="21" t="s">
        <v>1</v>
      </c>
      <c r="H233" s="19">
        <v>1</v>
      </c>
      <c r="I233" s="20">
        <v>79.150000000000006</v>
      </c>
      <c r="J233" s="19">
        <v>10.18</v>
      </c>
      <c r="K233" s="20">
        <v>805.75</v>
      </c>
    </row>
    <row r="234" spans="1:11" ht="14" x14ac:dyDescent="0.25">
      <c r="C234" s="22" t="s">
        <v>267</v>
      </c>
      <c r="H234" s="143">
        <v>79.150000000000006</v>
      </c>
      <c r="I234" s="143"/>
      <c r="J234" s="143">
        <v>805.75</v>
      </c>
      <c r="K234" s="143"/>
    </row>
    <row r="236" spans="1:11" ht="41" x14ac:dyDescent="0.25">
      <c r="A236" s="17">
        <v>33</v>
      </c>
      <c r="B236" s="17" t="s">
        <v>409</v>
      </c>
      <c r="C236" s="17" t="s">
        <v>1084</v>
      </c>
      <c r="D236" s="18" t="s">
        <v>52</v>
      </c>
      <c r="E236" s="19">
        <v>30.6</v>
      </c>
      <c r="F236" s="20">
        <v>10.6</v>
      </c>
      <c r="G236" s="21" t="s">
        <v>1</v>
      </c>
      <c r="H236" s="19">
        <v>1</v>
      </c>
      <c r="I236" s="20">
        <v>324.36</v>
      </c>
      <c r="J236" s="19">
        <v>10.18</v>
      </c>
      <c r="K236" s="20">
        <v>3301.98</v>
      </c>
    </row>
    <row r="237" spans="1:11" ht="14" x14ac:dyDescent="0.25">
      <c r="C237" s="22" t="s">
        <v>267</v>
      </c>
      <c r="H237" s="143">
        <v>324.36</v>
      </c>
      <c r="I237" s="143"/>
      <c r="J237" s="143">
        <v>3301.98</v>
      </c>
      <c r="K237" s="143"/>
    </row>
    <row r="239" spans="1:11" ht="41" x14ac:dyDescent="0.25">
      <c r="A239" s="17">
        <v>34</v>
      </c>
      <c r="B239" s="17" t="s">
        <v>409</v>
      </c>
      <c r="C239" s="17" t="s">
        <v>1085</v>
      </c>
      <c r="D239" s="18" t="s">
        <v>52</v>
      </c>
      <c r="E239" s="19">
        <v>20.399999999999999</v>
      </c>
      <c r="F239" s="20">
        <v>5.01</v>
      </c>
      <c r="G239" s="21" t="s">
        <v>1</v>
      </c>
      <c r="H239" s="19">
        <v>1</v>
      </c>
      <c r="I239" s="20">
        <v>102.2</v>
      </c>
      <c r="J239" s="19">
        <v>10.18</v>
      </c>
      <c r="K239" s="20">
        <v>1040.4000000000001</v>
      </c>
    </row>
    <row r="240" spans="1:11" ht="14" x14ac:dyDescent="0.25">
      <c r="C240" s="22" t="s">
        <v>267</v>
      </c>
      <c r="H240" s="143">
        <v>102.2</v>
      </c>
      <c r="I240" s="143"/>
      <c r="J240" s="143">
        <v>1040.4000000000001</v>
      </c>
      <c r="K240" s="143"/>
    </row>
    <row r="242" spans="1:11" ht="41" x14ac:dyDescent="0.25">
      <c r="A242" s="17">
        <v>35</v>
      </c>
      <c r="B242" s="17" t="s">
        <v>409</v>
      </c>
      <c r="C242" s="17" t="s">
        <v>1086</v>
      </c>
      <c r="D242" s="18" t="s">
        <v>52</v>
      </c>
      <c r="E242" s="19">
        <v>30.6</v>
      </c>
      <c r="F242" s="20">
        <v>13.76</v>
      </c>
      <c r="G242" s="21" t="s">
        <v>1</v>
      </c>
      <c r="H242" s="19">
        <v>1</v>
      </c>
      <c r="I242" s="20">
        <v>421.06</v>
      </c>
      <c r="J242" s="19">
        <v>10.18</v>
      </c>
      <c r="K242" s="20">
        <v>4286.3900000000003</v>
      </c>
    </row>
    <row r="243" spans="1:11" ht="14" x14ac:dyDescent="0.25">
      <c r="C243" s="22" t="s">
        <v>267</v>
      </c>
      <c r="H243" s="143">
        <v>421.06</v>
      </c>
      <c r="I243" s="143"/>
      <c r="J243" s="143">
        <v>4286.3900000000003</v>
      </c>
      <c r="K243" s="143"/>
    </row>
    <row r="245" spans="1:11" ht="41" x14ac:dyDescent="0.25">
      <c r="A245" s="17">
        <v>36</v>
      </c>
      <c r="B245" s="17" t="s">
        <v>409</v>
      </c>
      <c r="C245" s="17" t="s">
        <v>2104</v>
      </c>
      <c r="D245" s="18" t="s">
        <v>52</v>
      </c>
      <c r="E245" s="19">
        <v>20.399999999999999</v>
      </c>
      <c r="F245" s="20">
        <v>3.69</v>
      </c>
      <c r="G245" s="21" t="s">
        <v>1</v>
      </c>
      <c r="H245" s="19">
        <v>1</v>
      </c>
      <c r="I245" s="20">
        <v>75.28</v>
      </c>
      <c r="J245" s="19">
        <v>10.18</v>
      </c>
      <c r="K245" s="20">
        <v>766.35</v>
      </c>
    </row>
    <row r="246" spans="1:11" ht="14" x14ac:dyDescent="0.25">
      <c r="C246" s="22" t="s">
        <v>267</v>
      </c>
      <c r="H246" s="143">
        <v>75.28</v>
      </c>
      <c r="I246" s="143"/>
      <c r="J246" s="143">
        <v>766.35</v>
      </c>
      <c r="K246" s="143"/>
    </row>
    <row r="248" spans="1:11" ht="41" x14ac:dyDescent="0.25">
      <c r="A248" s="17">
        <v>37</v>
      </c>
      <c r="B248" s="17" t="s">
        <v>409</v>
      </c>
      <c r="C248" s="17" t="s">
        <v>2105</v>
      </c>
      <c r="D248" s="18" t="s">
        <v>52</v>
      </c>
      <c r="E248" s="19">
        <v>10.199999999999999</v>
      </c>
      <c r="F248" s="20">
        <v>5.09</v>
      </c>
      <c r="G248" s="21" t="s">
        <v>1</v>
      </c>
      <c r="H248" s="19">
        <v>1</v>
      </c>
      <c r="I248" s="20">
        <v>51.92</v>
      </c>
      <c r="J248" s="19">
        <v>10.18</v>
      </c>
      <c r="K248" s="20">
        <v>528.54999999999995</v>
      </c>
    </row>
    <row r="249" spans="1:11" ht="14" x14ac:dyDescent="0.25">
      <c r="C249" s="22" t="s">
        <v>267</v>
      </c>
      <c r="H249" s="143">
        <v>51.92</v>
      </c>
      <c r="I249" s="143"/>
      <c r="J249" s="143">
        <v>528.54999999999995</v>
      </c>
      <c r="K249" s="143"/>
    </row>
    <row r="252" spans="1:11" ht="14" x14ac:dyDescent="0.3">
      <c r="A252" s="140" t="s">
        <v>1080</v>
      </c>
      <c r="B252" s="140"/>
      <c r="C252" s="140"/>
      <c r="D252" s="140"/>
      <c r="E252" s="140"/>
      <c r="F252" s="140"/>
      <c r="G252" s="140"/>
      <c r="H252" s="141">
        <v>3588.66</v>
      </c>
      <c r="I252" s="142"/>
      <c r="J252" s="141">
        <v>55577.8</v>
      </c>
      <c r="K252" s="142"/>
    </row>
    <row r="254" spans="1:11" ht="14" x14ac:dyDescent="0.3">
      <c r="A254" s="140" t="s">
        <v>435</v>
      </c>
      <c r="B254" s="140"/>
      <c r="C254" s="140"/>
      <c r="D254" s="140"/>
      <c r="E254" s="140"/>
      <c r="F254" s="140"/>
      <c r="G254" s="140"/>
      <c r="H254" s="141">
        <v>179190.67</v>
      </c>
      <c r="I254" s="142"/>
      <c r="J254" s="141">
        <v>1463464.31</v>
      </c>
      <c r="K254" s="142"/>
    </row>
  </sheetData>
  <mergeCells count="130">
    <mergeCell ref="E17:H17"/>
    <mergeCell ref="E18:H18"/>
    <mergeCell ref="A21:K21"/>
    <mergeCell ref="E13:H13"/>
    <mergeCell ref="E14:H14"/>
    <mergeCell ref="E15:H15"/>
    <mergeCell ref="E16:H16"/>
    <mergeCell ref="J2:K2"/>
    <mergeCell ref="A3:K3"/>
    <mergeCell ref="A4:K4"/>
    <mergeCell ref="A6:K6"/>
    <mergeCell ref="A8:K8"/>
    <mergeCell ref="A9:K9"/>
    <mergeCell ref="H34:I34"/>
    <mergeCell ref="J34:K34"/>
    <mergeCell ref="H43:I43"/>
    <mergeCell ref="J43:K43"/>
    <mergeCell ref="A24:K24"/>
    <mergeCell ref="H30:I30"/>
    <mergeCell ref="J30:K30"/>
    <mergeCell ref="H31:I31"/>
    <mergeCell ref="J31:K31"/>
    <mergeCell ref="H55:I55"/>
    <mergeCell ref="J55:K55"/>
    <mergeCell ref="H58:I58"/>
    <mergeCell ref="J58:K58"/>
    <mergeCell ref="H44:I44"/>
    <mergeCell ref="J44:K44"/>
    <mergeCell ref="H47:I47"/>
    <mergeCell ref="J47:K47"/>
    <mergeCell ref="H54:I54"/>
    <mergeCell ref="J54:K54"/>
    <mergeCell ref="H70:I70"/>
    <mergeCell ref="J70:K70"/>
    <mergeCell ref="H73:I73"/>
    <mergeCell ref="J73:K73"/>
    <mergeCell ref="A76:G76"/>
    <mergeCell ref="H76:I76"/>
    <mergeCell ref="J76:K76"/>
    <mergeCell ref="H66:I66"/>
    <mergeCell ref="J66:K66"/>
    <mergeCell ref="H67:I67"/>
    <mergeCell ref="J67:K67"/>
    <mergeCell ref="H91:I91"/>
    <mergeCell ref="J91:K91"/>
    <mergeCell ref="H101:I101"/>
    <mergeCell ref="J101:K101"/>
    <mergeCell ref="A78:K78"/>
    <mergeCell ref="H87:I87"/>
    <mergeCell ref="J87:K87"/>
    <mergeCell ref="H88:I88"/>
    <mergeCell ref="J88:K88"/>
    <mergeCell ref="H125:I125"/>
    <mergeCell ref="J125:K125"/>
    <mergeCell ref="H126:I126"/>
    <mergeCell ref="J126:K126"/>
    <mergeCell ref="H114:I114"/>
    <mergeCell ref="J114:K114"/>
    <mergeCell ref="H117:I117"/>
    <mergeCell ref="J117:K117"/>
    <mergeCell ref="H102:I102"/>
    <mergeCell ref="J102:K102"/>
    <mergeCell ref="H105:I105"/>
    <mergeCell ref="J105:K105"/>
    <mergeCell ref="H113:I113"/>
    <mergeCell ref="J113:K113"/>
    <mergeCell ref="H141:I141"/>
    <mergeCell ref="J141:K141"/>
    <mergeCell ref="H144:I144"/>
    <mergeCell ref="J144:K144"/>
    <mergeCell ref="H129:I129"/>
    <mergeCell ref="J129:K129"/>
    <mergeCell ref="H132:I132"/>
    <mergeCell ref="J132:K132"/>
    <mergeCell ref="H140:I140"/>
    <mergeCell ref="J140:K140"/>
    <mergeCell ref="A161:G161"/>
    <mergeCell ref="H161:I161"/>
    <mergeCell ref="J161:K161"/>
    <mergeCell ref="A163:K163"/>
    <mergeCell ref="H147:I147"/>
    <mergeCell ref="J147:K147"/>
    <mergeCell ref="H150:I150"/>
    <mergeCell ref="J150:K150"/>
    <mergeCell ref="H154:I154"/>
    <mergeCell ref="J154:K154"/>
    <mergeCell ref="H188:I188"/>
    <mergeCell ref="J188:K188"/>
    <mergeCell ref="H189:I189"/>
    <mergeCell ref="J189:K189"/>
    <mergeCell ref="H175:I175"/>
    <mergeCell ref="J175:K175"/>
    <mergeCell ref="H176:I176"/>
    <mergeCell ref="J176:K176"/>
    <mergeCell ref="H158:I158"/>
    <mergeCell ref="J158:K158"/>
    <mergeCell ref="H224:I224"/>
    <mergeCell ref="J224:K224"/>
    <mergeCell ref="H225:I225"/>
    <mergeCell ref="J225:K225"/>
    <mergeCell ref="H212:I212"/>
    <mergeCell ref="J212:K212"/>
    <mergeCell ref="H213:I213"/>
    <mergeCell ref="J213:K213"/>
    <mergeCell ref="H200:I200"/>
    <mergeCell ref="J200:K200"/>
    <mergeCell ref="H201:I201"/>
    <mergeCell ref="J201:K201"/>
    <mergeCell ref="H237:I237"/>
    <mergeCell ref="J237:K237"/>
    <mergeCell ref="H240:I240"/>
    <mergeCell ref="J240:K240"/>
    <mergeCell ref="H243:I243"/>
    <mergeCell ref="J243:K243"/>
    <mergeCell ref="H228:I228"/>
    <mergeCell ref="J228:K228"/>
    <mergeCell ref="H231:I231"/>
    <mergeCell ref="J231:K231"/>
    <mergeCell ref="H234:I234"/>
    <mergeCell ref="J234:K234"/>
    <mergeCell ref="A254:G254"/>
    <mergeCell ref="H254:I254"/>
    <mergeCell ref="J254:K254"/>
    <mergeCell ref="H246:I246"/>
    <mergeCell ref="J246:K246"/>
    <mergeCell ref="H249:I249"/>
    <mergeCell ref="J249:K249"/>
    <mergeCell ref="A252:G252"/>
    <mergeCell ref="H252:I252"/>
    <mergeCell ref="J252:K2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F0BF-BFF4-4C0A-8B4F-7F31FE652232}">
  <dimension ref="A1:K168"/>
  <sheetViews>
    <sheetView workbookViewId="0">
      <selection activeCell="A3" sqref="A3:K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453125" style="27" bestFit="1" customWidth="1"/>
    <col min="6" max="6" width="14.1796875" style="27" customWidth="1"/>
    <col min="7" max="7" width="8.54296875" style="27" customWidth="1"/>
    <col min="8" max="10" width="9.1796875" style="27"/>
    <col min="11" max="11" width="14.54296875" style="27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22.5" customHeight="1" x14ac:dyDescent="0.25">
      <c r="A3" s="161" t="str">
        <f>ССРСС!A11</f>
        <v>Выполнение работ по капитальному ремонту здания в Басманном районе ЦАО города Москвы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1558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1566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26.58</v>
      </c>
      <c r="J13" s="5">
        <v>331.72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0.6</v>
      </c>
      <c r="J14" s="7">
        <v>6.12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15.03</v>
      </c>
      <c r="J15" s="7">
        <v>243.07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10.95</v>
      </c>
      <c r="J16" s="7">
        <v>82.53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1.59</v>
      </c>
      <c r="J17" s="7">
        <v>90.48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111.37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0" customHeight="1" x14ac:dyDescent="0.3">
      <c r="A21" s="146" t="s">
        <v>253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1019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1543</v>
      </c>
      <c r="C25" s="10" t="s">
        <v>1544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111.68</v>
      </c>
      <c r="G26" s="15" t="s">
        <v>13</v>
      </c>
      <c r="H26" s="11">
        <v>1</v>
      </c>
      <c r="I26" s="14">
        <v>134.02000000000001</v>
      </c>
      <c r="J26" s="11">
        <v>57.05</v>
      </c>
      <c r="K26" s="14">
        <v>7645.84</v>
      </c>
    </row>
    <row r="27" spans="1:11" ht="14.5" x14ac:dyDescent="0.25">
      <c r="A27" s="10"/>
      <c r="B27" s="10"/>
      <c r="C27" s="10" t="s">
        <v>259</v>
      </c>
      <c r="D27" s="12"/>
      <c r="E27" s="11"/>
      <c r="F27" s="14">
        <v>0.3</v>
      </c>
      <c r="G27" s="15" t="s">
        <v>1</v>
      </c>
      <c r="H27" s="11">
        <v>1</v>
      </c>
      <c r="I27" s="14">
        <v>0.3</v>
      </c>
      <c r="J27" s="11">
        <v>7.37</v>
      </c>
      <c r="K27" s="14">
        <v>2.21</v>
      </c>
    </row>
    <row r="28" spans="1:11" ht="14.5" x14ac:dyDescent="0.25">
      <c r="A28" s="10"/>
      <c r="B28" s="10"/>
      <c r="C28" s="10" t="s">
        <v>260</v>
      </c>
      <c r="D28" s="12" t="s">
        <v>261</v>
      </c>
      <c r="E28" s="11">
        <v>95</v>
      </c>
      <c r="F28" s="14"/>
      <c r="G28" s="13"/>
      <c r="H28" s="11"/>
      <c r="I28" s="14">
        <v>127.32</v>
      </c>
      <c r="J28" s="11">
        <v>95</v>
      </c>
      <c r="K28" s="14">
        <v>7263.55</v>
      </c>
    </row>
    <row r="29" spans="1:11" ht="14.5" x14ac:dyDescent="0.25">
      <c r="A29" s="10"/>
      <c r="B29" s="10"/>
      <c r="C29" s="10" t="s">
        <v>262</v>
      </c>
      <c r="D29" s="12" t="s">
        <v>261</v>
      </c>
      <c r="E29" s="11">
        <v>53</v>
      </c>
      <c r="F29" s="14"/>
      <c r="G29" s="13"/>
      <c r="H29" s="11"/>
      <c r="I29" s="14">
        <v>71.03</v>
      </c>
      <c r="J29" s="11">
        <v>53</v>
      </c>
      <c r="K29" s="14">
        <v>4052.3</v>
      </c>
    </row>
    <row r="30" spans="1:11" ht="14.5" x14ac:dyDescent="0.25">
      <c r="A30" s="17"/>
      <c r="B30" s="17"/>
      <c r="C30" s="17" t="s">
        <v>263</v>
      </c>
      <c r="D30" s="18" t="s">
        <v>264</v>
      </c>
      <c r="E30" s="19">
        <v>8</v>
      </c>
      <c r="F30" s="20"/>
      <c r="G30" s="21" t="s">
        <v>13</v>
      </c>
      <c r="H30" s="19">
        <v>1</v>
      </c>
      <c r="I30" s="20">
        <v>9.6</v>
      </c>
      <c r="J30" s="19"/>
      <c r="K30" s="20"/>
    </row>
    <row r="31" spans="1:11" ht="14" x14ac:dyDescent="0.25">
      <c r="C31" s="22" t="s">
        <v>265</v>
      </c>
      <c r="H31" s="143">
        <v>332.67</v>
      </c>
      <c r="I31" s="143"/>
      <c r="J31" s="143">
        <v>18963.900000000001</v>
      </c>
      <c r="K31" s="143"/>
    </row>
    <row r="32" spans="1:11" ht="14" x14ac:dyDescent="0.25">
      <c r="C32" s="22" t="s">
        <v>267</v>
      </c>
      <c r="H32" s="141">
        <v>332.67</v>
      </c>
      <c r="I32" s="141"/>
      <c r="J32" s="141">
        <v>18963.900000000001</v>
      </c>
      <c r="K32" s="141"/>
    </row>
    <row r="34" spans="1:11" ht="54" x14ac:dyDescent="0.25">
      <c r="A34" s="17">
        <v>2</v>
      </c>
      <c r="B34" s="17" t="s">
        <v>409</v>
      </c>
      <c r="C34" s="17" t="s">
        <v>2008</v>
      </c>
      <c r="D34" s="18" t="s">
        <v>11</v>
      </c>
      <c r="E34" s="19">
        <v>1</v>
      </c>
      <c r="F34" s="20">
        <v>9396.4500000000007</v>
      </c>
      <c r="G34" s="21" t="s">
        <v>1</v>
      </c>
      <c r="H34" s="19">
        <v>1</v>
      </c>
      <c r="I34" s="20">
        <v>9396.4500000000007</v>
      </c>
      <c r="J34" s="19">
        <v>7.54</v>
      </c>
      <c r="K34" s="20">
        <v>70849.23</v>
      </c>
    </row>
    <row r="35" spans="1:11" ht="14" x14ac:dyDescent="0.25">
      <c r="C35" s="22" t="s">
        <v>267</v>
      </c>
      <c r="H35" s="143">
        <v>9396.4500000000007</v>
      </c>
      <c r="I35" s="143"/>
      <c r="J35" s="143">
        <v>70849.23</v>
      </c>
      <c r="K35" s="143"/>
    </row>
    <row r="37" spans="1:11" ht="79" x14ac:dyDescent="0.25">
      <c r="A37" s="10">
        <v>3</v>
      </c>
      <c r="B37" s="10" t="s">
        <v>1545</v>
      </c>
      <c r="C37" s="10" t="s">
        <v>1546</v>
      </c>
      <c r="D37" s="12" t="s">
        <v>24</v>
      </c>
      <c r="E37" s="11">
        <v>1</v>
      </c>
      <c r="F37" s="14"/>
      <c r="G37" s="13"/>
      <c r="H37" s="11"/>
      <c r="I37" s="14"/>
      <c r="J37" s="11"/>
      <c r="K37" s="14"/>
    </row>
    <row r="38" spans="1:11" ht="14.5" x14ac:dyDescent="0.25">
      <c r="A38" s="10"/>
      <c r="B38" s="10"/>
      <c r="C38" s="10" t="s">
        <v>256</v>
      </c>
      <c r="D38" s="12"/>
      <c r="E38" s="11"/>
      <c r="F38" s="14">
        <v>25.78</v>
      </c>
      <c r="G38" s="15" t="s">
        <v>13</v>
      </c>
      <c r="H38" s="11">
        <v>1</v>
      </c>
      <c r="I38" s="14">
        <v>30.94</v>
      </c>
      <c r="J38" s="11">
        <v>57.05</v>
      </c>
      <c r="K38" s="14">
        <v>1765.13</v>
      </c>
    </row>
    <row r="39" spans="1:11" ht="14.5" x14ac:dyDescent="0.25">
      <c r="A39" s="10"/>
      <c r="B39" s="10"/>
      <c r="C39" s="10" t="s">
        <v>259</v>
      </c>
      <c r="D39" s="12"/>
      <c r="E39" s="11"/>
      <c r="F39" s="14">
        <v>0.18</v>
      </c>
      <c r="G39" s="15" t="s">
        <v>1</v>
      </c>
      <c r="H39" s="11">
        <v>1</v>
      </c>
      <c r="I39" s="14">
        <v>0.18</v>
      </c>
      <c r="J39" s="11">
        <v>5.61</v>
      </c>
      <c r="K39" s="14">
        <v>1.01</v>
      </c>
    </row>
    <row r="40" spans="1:11" ht="14.5" x14ac:dyDescent="0.25">
      <c r="A40" s="10"/>
      <c r="B40" s="10"/>
      <c r="C40" s="10" t="s">
        <v>260</v>
      </c>
      <c r="D40" s="12" t="s">
        <v>261</v>
      </c>
      <c r="E40" s="11">
        <v>95</v>
      </c>
      <c r="F40" s="14"/>
      <c r="G40" s="13"/>
      <c r="H40" s="11"/>
      <c r="I40" s="14">
        <v>29.39</v>
      </c>
      <c r="J40" s="11">
        <v>95</v>
      </c>
      <c r="K40" s="14">
        <v>1676.87</v>
      </c>
    </row>
    <row r="41" spans="1:11" ht="14.5" x14ac:dyDescent="0.25">
      <c r="A41" s="10"/>
      <c r="B41" s="10"/>
      <c r="C41" s="10" t="s">
        <v>262</v>
      </c>
      <c r="D41" s="12" t="s">
        <v>261</v>
      </c>
      <c r="E41" s="11">
        <v>53</v>
      </c>
      <c r="F41" s="14"/>
      <c r="G41" s="13"/>
      <c r="H41" s="11"/>
      <c r="I41" s="14">
        <v>16.399999999999999</v>
      </c>
      <c r="J41" s="11">
        <v>53</v>
      </c>
      <c r="K41" s="14">
        <v>935.52</v>
      </c>
    </row>
    <row r="42" spans="1:11" ht="14.5" x14ac:dyDescent="0.25">
      <c r="A42" s="17"/>
      <c r="B42" s="17"/>
      <c r="C42" s="17" t="s">
        <v>263</v>
      </c>
      <c r="D42" s="18" t="s">
        <v>264</v>
      </c>
      <c r="E42" s="19">
        <v>1.9</v>
      </c>
      <c r="F42" s="20"/>
      <c r="G42" s="21" t="s">
        <v>13</v>
      </c>
      <c r="H42" s="19">
        <v>1</v>
      </c>
      <c r="I42" s="20">
        <v>2.2799999999999998</v>
      </c>
      <c r="J42" s="19"/>
      <c r="K42" s="20"/>
    </row>
    <row r="43" spans="1:11" ht="14" x14ac:dyDescent="0.25">
      <c r="C43" s="22" t="s">
        <v>265</v>
      </c>
      <c r="H43" s="143">
        <v>76.91</v>
      </c>
      <c r="I43" s="143"/>
      <c r="J43" s="143">
        <v>4378.53</v>
      </c>
      <c r="K43" s="143"/>
    </row>
    <row r="44" spans="1:11" ht="14" x14ac:dyDescent="0.25">
      <c r="C44" s="22" t="s">
        <v>267</v>
      </c>
      <c r="H44" s="141">
        <v>76.91</v>
      </c>
      <c r="I44" s="141"/>
      <c r="J44" s="141">
        <v>4378.53</v>
      </c>
      <c r="K44" s="141"/>
    </row>
    <row r="46" spans="1:11" ht="54" x14ac:dyDescent="0.25">
      <c r="A46" s="38">
        <v>4</v>
      </c>
      <c r="B46" s="38" t="s">
        <v>409</v>
      </c>
      <c r="C46" s="38" t="s">
        <v>2009</v>
      </c>
      <c r="D46" s="39" t="s">
        <v>11</v>
      </c>
      <c r="E46" s="40">
        <v>1</v>
      </c>
      <c r="F46" s="41">
        <v>237.96</v>
      </c>
      <c r="G46" s="42" t="s">
        <v>1</v>
      </c>
      <c r="H46" s="40">
        <v>1</v>
      </c>
      <c r="I46" s="41">
        <v>237.96</v>
      </c>
      <c r="J46" s="40">
        <v>7.54</v>
      </c>
      <c r="K46" s="41">
        <v>1794.22</v>
      </c>
    </row>
    <row r="47" spans="1:11" ht="14" x14ac:dyDescent="0.25">
      <c r="A47" s="43"/>
      <c r="B47" s="43"/>
      <c r="C47" s="44" t="s">
        <v>267</v>
      </c>
      <c r="D47" s="43"/>
      <c r="E47" s="43"/>
      <c r="F47" s="43"/>
      <c r="G47" s="43"/>
      <c r="H47" s="156">
        <v>237.96</v>
      </c>
      <c r="I47" s="156"/>
      <c r="J47" s="156">
        <v>1794.22</v>
      </c>
      <c r="K47" s="156"/>
    </row>
    <row r="49" spans="1:11" ht="79" x14ac:dyDescent="0.25">
      <c r="A49" s="10">
        <v>5</v>
      </c>
      <c r="B49" s="10" t="s">
        <v>1050</v>
      </c>
      <c r="C49" s="10" t="s">
        <v>1051</v>
      </c>
      <c r="D49" s="12" t="s">
        <v>24</v>
      </c>
      <c r="E49" s="11">
        <v>1</v>
      </c>
      <c r="F49" s="14"/>
      <c r="G49" s="13"/>
      <c r="H49" s="11"/>
      <c r="I49" s="14"/>
      <c r="J49" s="11"/>
      <c r="K49" s="14"/>
    </row>
    <row r="50" spans="1:11" ht="14.5" x14ac:dyDescent="0.25">
      <c r="A50" s="10"/>
      <c r="B50" s="10"/>
      <c r="C50" s="10" t="s">
        <v>256</v>
      </c>
      <c r="D50" s="12"/>
      <c r="E50" s="11"/>
      <c r="F50" s="14">
        <v>11.02</v>
      </c>
      <c r="G50" s="15" t="s">
        <v>13</v>
      </c>
      <c r="H50" s="11">
        <v>1</v>
      </c>
      <c r="I50" s="14">
        <v>13.22</v>
      </c>
      <c r="J50" s="11">
        <v>57.05</v>
      </c>
      <c r="K50" s="14">
        <v>754.2</v>
      </c>
    </row>
    <row r="51" spans="1:11" ht="14.5" x14ac:dyDescent="0.25">
      <c r="A51" s="10"/>
      <c r="B51" s="10"/>
      <c r="C51" s="10" t="s">
        <v>259</v>
      </c>
      <c r="D51" s="12"/>
      <c r="E51" s="11"/>
      <c r="F51" s="14">
        <v>0.3</v>
      </c>
      <c r="G51" s="15" t="s">
        <v>1</v>
      </c>
      <c r="H51" s="11">
        <v>1</v>
      </c>
      <c r="I51" s="14">
        <v>0.3</v>
      </c>
      <c r="J51" s="11">
        <v>7.37</v>
      </c>
      <c r="K51" s="14">
        <v>2.21</v>
      </c>
    </row>
    <row r="52" spans="1:11" ht="28" x14ac:dyDescent="0.25">
      <c r="A52" s="10" t="s">
        <v>19</v>
      </c>
      <c r="B52" s="10" t="s">
        <v>1559</v>
      </c>
      <c r="C52" s="10" t="s">
        <v>2079</v>
      </c>
      <c r="D52" s="12" t="s">
        <v>38</v>
      </c>
      <c r="E52" s="11">
        <v>1</v>
      </c>
      <c r="F52" s="14">
        <v>330.92</v>
      </c>
      <c r="G52" s="15" t="s">
        <v>1</v>
      </c>
      <c r="H52" s="11">
        <v>1</v>
      </c>
      <c r="I52" s="14">
        <v>330.92</v>
      </c>
      <c r="J52" s="11">
        <v>0.71</v>
      </c>
      <c r="K52" s="14">
        <v>234.95</v>
      </c>
    </row>
    <row r="53" spans="1:11" ht="14.5" x14ac:dyDescent="0.25">
      <c r="A53" s="10"/>
      <c r="B53" s="10"/>
      <c r="C53" s="10" t="s">
        <v>260</v>
      </c>
      <c r="D53" s="12" t="s">
        <v>261</v>
      </c>
      <c r="E53" s="11">
        <v>95</v>
      </c>
      <c r="F53" s="14"/>
      <c r="G53" s="13"/>
      <c r="H53" s="11"/>
      <c r="I53" s="14">
        <v>12.56</v>
      </c>
      <c r="J53" s="11">
        <v>95</v>
      </c>
      <c r="K53" s="14">
        <v>716.49</v>
      </c>
    </row>
    <row r="54" spans="1:11" ht="14.5" x14ac:dyDescent="0.25">
      <c r="A54" s="10"/>
      <c r="B54" s="10"/>
      <c r="C54" s="10" t="s">
        <v>262</v>
      </c>
      <c r="D54" s="12" t="s">
        <v>261</v>
      </c>
      <c r="E54" s="11">
        <v>53</v>
      </c>
      <c r="F54" s="14"/>
      <c r="G54" s="13"/>
      <c r="H54" s="11"/>
      <c r="I54" s="14">
        <v>7.01</v>
      </c>
      <c r="J54" s="11">
        <v>53</v>
      </c>
      <c r="K54" s="14">
        <v>399.73</v>
      </c>
    </row>
    <row r="55" spans="1:11" ht="14.5" x14ac:dyDescent="0.25">
      <c r="A55" s="17"/>
      <c r="B55" s="17"/>
      <c r="C55" s="17" t="s">
        <v>263</v>
      </c>
      <c r="D55" s="18" t="s">
        <v>264</v>
      </c>
      <c r="E55" s="19">
        <v>0.8</v>
      </c>
      <c r="F55" s="20"/>
      <c r="G55" s="21" t="s">
        <v>13</v>
      </c>
      <c r="H55" s="19">
        <v>1</v>
      </c>
      <c r="I55" s="20">
        <v>0.96</v>
      </c>
      <c r="J55" s="19"/>
      <c r="K55" s="20"/>
    </row>
    <row r="56" spans="1:11" ht="14" x14ac:dyDescent="0.25">
      <c r="C56" s="22" t="s">
        <v>265</v>
      </c>
      <c r="H56" s="143">
        <v>364.01</v>
      </c>
      <c r="I56" s="143"/>
      <c r="J56" s="143">
        <v>2107.58</v>
      </c>
      <c r="K56" s="143"/>
    </row>
    <row r="57" spans="1:11" ht="14" x14ac:dyDescent="0.25">
      <c r="C57" s="22" t="s">
        <v>267</v>
      </c>
      <c r="H57" s="141">
        <v>364.01</v>
      </c>
      <c r="I57" s="141"/>
      <c r="J57" s="141">
        <v>2107.58</v>
      </c>
      <c r="K57" s="141"/>
    </row>
    <row r="59" spans="1:11" ht="79" x14ac:dyDescent="0.25">
      <c r="A59" s="10">
        <v>6</v>
      </c>
      <c r="B59" s="10" t="s">
        <v>1048</v>
      </c>
      <c r="C59" s="10" t="s">
        <v>1049</v>
      </c>
      <c r="D59" s="12" t="s">
        <v>213</v>
      </c>
      <c r="E59" s="11">
        <v>1</v>
      </c>
      <c r="F59" s="14"/>
      <c r="G59" s="13"/>
      <c r="H59" s="11"/>
      <c r="I59" s="14"/>
      <c r="J59" s="11"/>
      <c r="K59" s="14"/>
    </row>
    <row r="60" spans="1:11" ht="14.5" x14ac:dyDescent="0.25">
      <c r="A60" s="10"/>
      <c r="B60" s="10"/>
      <c r="C60" s="10" t="s">
        <v>256</v>
      </c>
      <c r="D60" s="12"/>
      <c r="E60" s="11"/>
      <c r="F60" s="14">
        <v>76.150000000000006</v>
      </c>
      <c r="G60" s="15" t="s">
        <v>13</v>
      </c>
      <c r="H60" s="11">
        <v>1</v>
      </c>
      <c r="I60" s="14">
        <v>91.38</v>
      </c>
      <c r="J60" s="11">
        <v>57.05</v>
      </c>
      <c r="K60" s="14">
        <v>5213.2299999999996</v>
      </c>
    </row>
    <row r="61" spans="1:11" ht="14.5" x14ac:dyDescent="0.25">
      <c r="A61" s="10"/>
      <c r="B61" s="10"/>
      <c r="C61" s="10" t="s">
        <v>259</v>
      </c>
      <c r="D61" s="12"/>
      <c r="E61" s="11"/>
      <c r="F61" s="14">
        <v>0.37</v>
      </c>
      <c r="G61" s="15" t="s">
        <v>1</v>
      </c>
      <c r="H61" s="11">
        <v>1</v>
      </c>
      <c r="I61" s="14">
        <v>0.37</v>
      </c>
      <c r="J61" s="11">
        <v>5.46</v>
      </c>
      <c r="K61" s="14">
        <v>2.02</v>
      </c>
    </row>
    <row r="62" spans="1:11" ht="14.5" x14ac:dyDescent="0.25">
      <c r="A62" s="10"/>
      <c r="B62" s="10"/>
      <c r="C62" s="10" t="s">
        <v>260</v>
      </c>
      <c r="D62" s="12" t="s">
        <v>261</v>
      </c>
      <c r="E62" s="11">
        <v>95</v>
      </c>
      <c r="F62" s="14"/>
      <c r="G62" s="13"/>
      <c r="H62" s="11"/>
      <c r="I62" s="14">
        <v>86.81</v>
      </c>
      <c r="J62" s="11">
        <v>95</v>
      </c>
      <c r="K62" s="14">
        <v>4952.57</v>
      </c>
    </row>
    <row r="63" spans="1:11" ht="14.5" x14ac:dyDescent="0.25">
      <c r="A63" s="10"/>
      <c r="B63" s="10"/>
      <c r="C63" s="10" t="s">
        <v>262</v>
      </c>
      <c r="D63" s="12" t="s">
        <v>261</v>
      </c>
      <c r="E63" s="11">
        <v>53</v>
      </c>
      <c r="F63" s="14"/>
      <c r="G63" s="13"/>
      <c r="H63" s="11"/>
      <c r="I63" s="14">
        <v>48.43</v>
      </c>
      <c r="J63" s="11">
        <v>53</v>
      </c>
      <c r="K63" s="14">
        <v>2763.01</v>
      </c>
    </row>
    <row r="64" spans="1:11" ht="14.5" x14ac:dyDescent="0.25">
      <c r="A64" s="17"/>
      <c r="B64" s="17"/>
      <c r="C64" s="17" t="s">
        <v>263</v>
      </c>
      <c r="D64" s="18" t="s">
        <v>264</v>
      </c>
      <c r="E64" s="19">
        <v>5.37</v>
      </c>
      <c r="F64" s="20"/>
      <c r="G64" s="21" t="s">
        <v>13</v>
      </c>
      <c r="H64" s="19">
        <v>1</v>
      </c>
      <c r="I64" s="20">
        <v>6.44</v>
      </c>
      <c r="J64" s="19"/>
      <c r="K64" s="20"/>
    </row>
    <row r="65" spans="1:11" ht="14" x14ac:dyDescent="0.25">
      <c r="C65" s="22" t="s">
        <v>265</v>
      </c>
      <c r="H65" s="143">
        <v>226.99</v>
      </c>
      <c r="I65" s="143"/>
      <c r="J65" s="143">
        <v>12930.83</v>
      </c>
      <c r="K65" s="143"/>
    </row>
    <row r="66" spans="1:11" ht="14" x14ac:dyDescent="0.25">
      <c r="C66" s="22" t="s">
        <v>267</v>
      </c>
      <c r="H66" s="141">
        <v>226.99</v>
      </c>
      <c r="I66" s="141"/>
      <c r="J66" s="141">
        <v>12930.83</v>
      </c>
      <c r="K66" s="141"/>
    </row>
    <row r="68" spans="1:11" ht="54" x14ac:dyDescent="0.25">
      <c r="A68" s="38">
        <v>7</v>
      </c>
      <c r="B68" s="38" t="s">
        <v>409</v>
      </c>
      <c r="C68" s="38" t="s">
        <v>2010</v>
      </c>
      <c r="D68" s="39" t="s">
        <v>11</v>
      </c>
      <c r="E68" s="40">
        <v>1</v>
      </c>
      <c r="F68" s="41">
        <v>623.23</v>
      </c>
      <c r="G68" s="42" t="s">
        <v>1</v>
      </c>
      <c r="H68" s="40">
        <v>1</v>
      </c>
      <c r="I68" s="41">
        <v>623.23</v>
      </c>
      <c r="J68" s="40">
        <v>7.54</v>
      </c>
      <c r="K68" s="41">
        <v>4699.1499999999996</v>
      </c>
    </row>
    <row r="69" spans="1:11" ht="14" x14ac:dyDescent="0.25">
      <c r="A69" s="43"/>
      <c r="B69" s="43"/>
      <c r="C69" s="44" t="s">
        <v>267</v>
      </c>
      <c r="D69" s="43"/>
      <c r="E69" s="43"/>
      <c r="F69" s="43"/>
      <c r="G69" s="43"/>
      <c r="H69" s="156">
        <v>623.23</v>
      </c>
      <c r="I69" s="156"/>
      <c r="J69" s="156">
        <v>4699.1499999999996</v>
      </c>
      <c r="K69" s="156"/>
    </row>
    <row r="71" spans="1:11" ht="79" x14ac:dyDescent="0.25">
      <c r="A71" s="10">
        <v>8</v>
      </c>
      <c r="B71" s="10" t="s">
        <v>1050</v>
      </c>
      <c r="C71" s="10" t="s">
        <v>1051</v>
      </c>
      <c r="D71" s="12" t="s">
        <v>24</v>
      </c>
      <c r="E71" s="11">
        <v>1</v>
      </c>
      <c r="F71" s="14"/>
      <c r="G71" s="13"/>
      <c r="H71" s="11"/>
      <c r="I71" s="14"/>
      <c r="J71" s="11"/>
      <c r="K71" s="14"/>
    </row>
    <row r="72" spans="1:11" ht="14.5" x14ac:dyDescent="0.25">
      <c r="A72" s="10"/>
      <c r="B72" s="10"/>
      <c r="C72" s="10" t="s">
        <v>256</v>
      </c>
      <c r="D72" s="12"/>
      <c r="E72" s="11"/>
      <c r="F72" s="14">
        <v>11.02</v>
      </c>
      <c r="G72" s="15" t="s">
        <v>13</v>
      </c>
      <c r="H72" s="11">
        <v>1</v>
      </c>
      <c r="I72" s="14">
        <v>13.22</v>
      </c>
      <c r="J72" s="11">
        <v>57.05</v>
      </c>
      <c r="K72" s="14">
        <v>754.2</v>
      </c>
    </row>
    <row r="73" spans="1:11" ht="14.5" x14ac:dyDescent="0.25">
      <c r="A73" s="10"/>
      <c r="B73" s="10"/>
      <c r="C73" s="10" t="s">
        <v>259</v>
      </c>
      <c r="D73" s="12"/>
      <c r="E73" s="11"/>
      <c r="F73" s="14">
        <v>0.3</v>
      </c>
      <c r="G73" s="15" t="s">
        <v>1</v>
      </c>
      <c r="H73" s="11">
        <v>1</v>
      </c>
      <c r="I73" s="14">
        <v>0.3</v>
      </c>
      <c r="J73" s="11">
        <v>7.37</v>
      </c>
      <c r="K73" s="14">
        <v>2.21</v>
      </c>
    </row>
    <row r="74" spans="1:11" ht="14.5" x14ac:dyDescent="0.25">
      <c r="A74" s="10"/>
      <c r="B74" s="10"/>
      <c r="C74" s="10" t="s">
        <v>260</v>
      </c>
      <c r="D74" s="12" t="s">
        <v>261</v>
      </c>
      <c r="E74" s="11">
        <v>95</v>
      </c>
      <c r="F74" s="14"/>
      <c r="G74" s="13"/>
      <c r="H74" s="11"/>
      <c r="I74" s="14">
        <v>12.56</v>
      </c>
      <c r="J74" s="11">
        <v>95</v>
      </c>
      <c r="K74" s="14">
        <v>716.49</v>
      </c>
    </row>
    <row r="75" spans="1:11" ht="14.5" x14ac:dyDescent="0.25">
      <c r="A75" s="10"/>
      <c r="B75" s="10"/>
      <c r="C75" s="10" t="s">
        <v>262</v>
      </c>
      <c r="D75" s="12" t="s">
        <v>261</v>
      </c>
      <c r="E75" s="11">
        <v>53</v>
      </c>
      <c r="F75" s="14"/>
      <c r="G75" s="13"/>
      <c r="H75" s="11"/>
      <c r="I75" s="14">
        <v>7.01</v>
      </c>
      <c r="J75" s="11">
        <v>53</v>
      </c>
      <c r="K75" s="14">
        <v>399.73</v>
      </c>
    </row>
    <row r="76" spans="1:11" ht="14.5" x14ac:dyDescent="0.25">
      <c r="A76" s="17"/>
      <c r="B76" s="17"/>
      <c r="C76" s="17" t="s">
        <v>263</v>
      </c>
      <c r="D76" s="18" t="s">
        <v>264</v>
      </c>
      <c r="E76" s="19">
        <v>0.8</v>
      </c>
      <c r="F76" s="20"/>
      <c r="G76" s="21" t="s">
        <v>13</v>
      </c>
      <c r="H76" s="19">
        <v>1</v>
      </c>
      <c r="I76" s="20">
        <v>0.96</v>
      </c>
      <c r="J76" s="19"/>
      <c r="K76" s="20"/>
    </row>
    <row r="77" spans="1:11" ht="14" x14ac:dyDescent="0.25">
      <c r="C77" s="22" t="s">
        <v>265</v>
      </c>
      <c r="H77" s="143">
        <v>33.090000000000003</v>
      </c>
      <c r="I77" s="143"/>
      <c r="J77" s="143">
        <v>1872.63</v>
      </c>
      <c r="K77" s="143"/>
    </row>
    <row r="78" spans="1:11" ht="14" x14ac:dyDescent="0.25">
      <c r="C78" s="22" t="s">
        <v>267</v>
      </c>
      <c r="H78" s="141">
        <v>33.090000000000003</v>
      </c>
      <c r="I78" s="141"/>
      <c r="J78" s="141">
        <v>1872.63</v>
      </c>
      <c r="K78" s="141"/>
    </row>
    <row r="80" spans="1:11" ht="54" x14ac:dyDescent="0.25">
      <c r="A80" s="17">
        <v>9</v>
      </c>
      <c r="B80" s="17" t="s">
        <v>409</v>
      </c>
      <c r="C80" s="17" t="s">
        <v>2011</v>
      </c>
      <c r="D80" s="18" t="s">
        <v>11</v>
      </c>
      <c r="E80" s="19">
        <v>1</v>
      </c>
      <c r="F80" s="20">
        <v>687.94</v>
      </c>
      <c r="G80" s="21" t="s">
        <v>1</v>
      </c>
      <c r="H80" s="19">
        <v>1</v>
      </c>
      <c r="I80" s="20">
        <v>687.94</v>
      </c>
      <c r="J80" s="19">
        <v>7.54</v>
      </c>
      <c r="K80" s="20">
        <v>5187.07</v>
      </c>
    </row>
    <row r="81" spans="1:11" ht="14" x14ac:dyDescent="0.25">
      <c r="C81" s="22" t="s">
        <v>267</v>
      </c>
      <c r="H81" s="143">
        <v>687.94</v>
      </c>
      <c r="I81" s="143"/>
      <c r="J81" s="143">
        <v>5187.07</v>
      </c>
      <c r="K81" s="143"/>
    </row>
    <row r="83" spans="1:11" ht="79" x14ac:dyDescent="0.25">
      <c r="A83" s="10">
        <v>10</v>
      </c>
      <c r="B83" s="10" t="s">
        <v>1547</v>
      </c>
      <c r="C83" s="10" t="s">
        <v>1548</v>
      </c>
      <c r="D83" s="12" t="s">
        <v>24</v>
      </c>
      <c r="E83" s="11">
        <v>64</v>
      </c>
      <c r="F83" s="14"/>
      <c r="G83" s="13"/>
      <c r="H83" s="11"/>
      <c r="I83" s="14"/>
      <c r="J83" s="11"/>
      <c r="K83" s="14"/>
    </row>
    <row r="84" spans="1:11" x14ac:dyDescent="0.25">
      <c r="C84" s="23" t="s">
        <v>1560</v>
      </c>
    </row>
    <row r="85" spans="1:11" ht="14.5" x14ac:dyDescent="0.25">
      <c r="A85" s="10"/>
      <c r="B85" s="10"/>
      <c r="C85" s="10" t="s">
        <v>256</v>
      </c>
      <c r="D85" s="12"/>
      <c r="E85" s="11"/>
      <c r="F85" s="14">
        <v>14.98</v>
      </c>
      <c r="G85" s="15" t="s">
        <v>13</v>
      </c>
      <c r="H85" s="11">
        <v>1</v>
      </c>
      <c r="I85" s="14">
        <v>1150.46</v>
      </c>
      <c r="J85" s="11">
        <v>57.05</v>
      </c>
      <c r="K85" s="14">
        <v>65633.740000000005</v>
      </c>
    </row>
    <row r="86" spans="1:11" ht="14.5" x14ac:dyDescent="0.25">
      <c r="A86" s="10"/>
      <c r="B86" s="10"/>
      <c r="C86" s="10" t="s">
        <v>259</v>
      </c>
      <c r="D86" s="12"/>
      <c r="E86" s="11"/>
      <c r="F86" s="14">
        <v>4.92</v>
      </c>
      <c r="G86" s="15" t="s">
        <v>1</v>
      </c>
      <c r="H86" s="11">
        <v>1</v>
      </c>
      <c r="I86" s="14">
        <v>314.88</v>
      </c>
      <c r="J86" s="11">
        <v>6.84</v>
      </c>
      <c r="K86" s="14">
        <v>2153.7800000000002</v>
      </c>
    </row>
    <row r="87" spans="1:11" ht="28" x14ac:dyDescent="0.25">
      <c r="A87" s="10" t="s">
        <v>1039</v>
      </c>
      <c r="B87" s="10" t="s">
        <v>1068</v>
      </c>
      <c r="C87" s="10" t="s">
        <v>1052</v>
      </c>
      <c r="D87" s="12" t="s">
        <v>38</v>
      </c>
      <c r="E87" s="11">
        <v>20</v>
      </c>
      <c r="F87" s="14">
        <v>30.69</v>
      </c>
      <c r="G87" s="15" t="s">
        <v>1</v>
      </c>
      <c r="H87" s="11">
        <v>1</v>
      </c>
      <c r="I87" s="14">
        <v>613.79999999999995</v>
      </c>
      <c r="J87" s="11">
        <v>5.76</v>
      </c>
      <c r="K87" s="14">
        <v>3535.49</v>
      </c>
    </row>
    <row r="88" spans="1:11" ht="28" x14ac:dyDescent="0.25">
      <c r="A88" s="10" t="s">
        <v>1549</v>
      </c>
      <c r="B88" s="10" t="s">
        <v>1561</v>
      </c>
      <c r="C88" s="10" t="s">
        <v>1550</v>
      </c>
      <c r="D88" s="12" t="s">
        <v>38</v>
      </c>
      <c r="E88" s="11">
        <v>15</v>
      </c>
      <c r="F88" s="14">
        <v>9.1199999999999992</v>
      </c>
      <c r="G88" s="15" t="s">
        <v>1</v>
      </c>
      <c r="H88" s="11">
        <v>1</v>
      </c>
      <c r="I88" s="14">
        <v>136.80000000000001</v>
      </c>
      <c r="J88" s="11">
        <v>2.74</v>
      </c>
      <c r="K88" s="14">
        <v>374.83</v>
      </c>
    </row>
    <row r="89" spans="1:11" ht="56" x14ac:dyDescent="0.25">
      <c r="A89" s="10" t="s">
        <v>1551</v>
      </c>
      <c r="B89" s="10" t="s">
        <v>1562</v>
      </c>
      <c r="C89" s="10" t="s">
        <v>1552</v>
      </c>
      <c r="D89" s="12" t="s">
        <v>38</v>
      </c>
      <c r="E89" s="11">
        <v>29</v>
      </c>
      <c r="F89" s="14">
        <v>15.9</v>
      </c>
      <c r="G89" s="15" t="s">
        <v>1</v>
      </c>
      <c r="H89" s="11">
        <v>1</v>
      </c>
      <c r="I89" s="14">
        <v>461.1</v>
      </c>
      <c r="J89" s="11">
        <v>3.69</v>
      </c>
      <c r="K89" s="14">
        <v>1701.46</v>
      </c>
    </row>
    <row r="90" spans="1:11" ht="14.5" x14ac:dyDescent="0.25">
      <c r="A90" s="10"/>
      <c r="B90" s="10"/>
      <c r="C90" s="10" t="s">
        <v>260</v>
      </c>
      <c r="D90" s="12" t="s">
        <v>261</v>
      </c>
      <c r="E90" s="11">
        <v>90</v>
      </c>
      <c r="F90" s="14"/>
      <c r="G90" s="13"/>
      <c r="H90" s="11"/>
      <c r="I90" s="14">
        <v>1035.4100000000001</v>
      </c>
      <c r="J90" s="11">
        <v>90</v>
      </c>
      <c r="K90" s="14">
        <v>59070.37</v>
      </c>
    </row>
    <row r="91" spans="1:11" ht="14.5" x14ac:dyDescent="0.25">
      <c r="A91" s="10"/>
      <c r="B91" s="10"/>
      <c r="C91" s="10" t="s">
        <v>262</v>
      </c>
      <c r="D91" s="12" t="s">
        <v>261</v>
      </c>
      <c r="E91" s="11">
        <v>46</v>
      </c>
      <c r="F91" s="14"/>
      <c r="G91" s="13"/>
      <c r="H91" s="11"/>
      <c r="I91" s="14">
        <v>529.21</v>
      </c>
      <c r="J91" s="11">
        <v>46</v>
      </c>
      <c r="K91" s="14">
        <v>30191.52</v>
      </c>
    </row>
    <row r="92" spans="1:11" ht="14.5" x14ac:dyDescent="0.25">
      <c r="A92" s="17"/>
      <c r="B92" s="17"/>
      <c r="C92" s="17" t="s">
        <v>263</v>
      </c>
      <c r="D92" s="18" t="s">
        <v>264</v>
      </c>
      <c r="E92" s="19">
        <v>1.03</v>
      </c>
      <c r="F92" s="20"/>
      <c r="G92" s="21" t="s">
        <v>13</v>
      </c>
      <c r="H92" s="19">
        <v>1</v>
      </c>
      <c r="I92" s="20">
        <v>79.099999999999994</v>
      </c>
      <c r="J92" s="19"/>
      <c r="K92" s="20"/>
    </row>
    <row r="93" spans="1:11" ht="14" x14ac:dyDescent="0.25">
      <c r="C93" s="22" t="s">
        <v>265</v>
      </c>
      <c r="H93" s="143">
        <v>4241.66</v>
      </c>
      <c r="I93" s="143"/>
      <c r="J93" s="143">
        <v>162661.19</v>
      </c>
      <c r="K93" s="143"/>
    </row>
    <row r="94" spans="1:11" ht="14" x14ac:dyDescent="0.25">
      <c r="C94" s="22" t="s">
        <v>267</v>
      </c>
      <c r="H94" s="141">
        <v>4241.66</v>
      </c>
      <c r="I94" s="141"/>
      <c r="J94" s="141">
        <v>162661.19</v>
      </c>
      <c r="K94" s="141"/>
    </row>
    <row r="96" spans="1:11" ht="79" x14ac:dyDescent="0.25">
      <c r="A96" s="10">
        <v>11</v>
      </c>
      <c r="B96" s="10" t="s">
        <v>1037</v>
      </c>
      <c r="C96" s="10" t="s">
        <v>1038</v>
      </c>
      <c r="D96" s="12" t="s">
        <v>34</v>
      </c>
      <c r="E96" s="11">
        <v>0.02</v>
      </c>
      <c r="F96" s="14"/>
      <c r="G96" s="13"/>
      <c r="H96" s="11"/>
      <c r="I96" s="14"/>
      <c r="J96" s="11"/>
      <c r="K96" s="14"/>
    </row>
    <row r="97" spans="1:11" x14ac:dyDescent="0.25">
      <c r="C97" s="23" t="s">
        <v>371</v>
      </c>
    </row>
    <row r="98" spans="1:11" ht="14.5" x14ac:dyDescent="0.25">
      <c r="A98" s="10"/>
      <c r="B98" s="10"/>
      <c r="C98" s="10" t="s">
        <v>256</v>
      </c>
      <c r="D98" s="12"/>
      <c r="E98" s="11"/>
      <c r="F98" s="14">
        <v>210.57</v>
      </c>
      <c r="G98" s="15" t="s">
        <v>13</v>
      </c>
      <c r="H98" s="11">
        <v>1</v>
      </c>
      <c r="I98" s="14">
        <v>5.05</v>
      </c>
      <c r="J98" s="11">
        <v>57.05</v>
      </c>
      <c r="K98" s="14">
        <v>288.10000000000002</v>
      </c>
    </row>
    <row r="99" spans="1:11" ht="14.5" x14ac:dyDescent="0.25">
      <c r="A99" s="10"/>
      <c r="B99" s="10"/>
      <c r="C99" s="10" t="s">
        <v>257</v>
      </c>
      <c r="D99" s="12"/>
      <c r="E99" s="11"/>
      <c r="F99" s="14">
        <v>0.83</v>
      </c>
      <c r="G99" s="15" t="s">
        <v>13</v>
      </c>
      <c r="H99" s="11">
        <v>1</v>
      </c>
      <c r="I99" s="14">
        <v>0.02</v>
      </c>
      <c r="J99" s="11">
        <v>17.47</v>
      </c>
      <c r="K99" s="14">
        <v>0.35</v>
      </c>
    </row>
    <row r="100" spans="1:11" ht="14.5" x14ac:dyDescent="0.25">
      <c r="A100" s="10"/>
      <c r="B100" s="10"/>
      <c r="C100" s="10" t="s">
        <v>260</v>
      </c>
      <c r="D100" s="12" t="s">
        <v>261</v>
      </c>
      <c r="E100" s="11">
        <v>97</v>
      </c>
      <c r="F100" s="14"/>
      <c r="G100" s="13"/>
      <c r="H100" s="11"/>
      <c r="I100" s="14">
        <v>4.9000000000000004</v>
      </c>
      <c r="J100" s="11">
        <v>97</v>
      </c>
      <c r="K100" s="14">
        <v>279.45999999999998</v>
      </c>
    </row>
    <row r="101" spans="1:11" ht="14.5" x14ac:dyDescent="0.25">
      <c r="A101" s="10"/>
      <c r="B101" s="10"/>
      <c r="C101" s="10" t="s">
        <v>262</v>
      </c>
      <c r="D101" s="12" t="s">
        <v>261</v>
      </c>
      <c r="E101" s="11">
        <v>51</v>
      </c>
      <c r="F101" s="14"/>
      <c r="G101" s="13"/>
      <c r="H101" s="11"/>
      <c r="I101" s="14">
        <v>2.58</v>
      </c>
      <c r="J101" s="11">
        <v>51</v>
      </c>
      <c r="K101" s="14">
        <v>146.93</v>
      </c>
    </row>
    <row r="102" spans="1:11" ht="14.5" x14ac:dyDescent="0.25">
      <c r="A102" s="17"/>
      <c r="B102" s="17"/>
      <c r="C102" s="17" t="s">
        <v>263</v>
      </c>
      <c r="D102" s="18" t="s">
        <v>264</v>
      </c>
      <c r="E102" s="19">
        <v>18.84</v>
      </c>
      <c r="F102" s="20"/>
      <c r="G102" s="21" t="s">
        <v>13</v>
      </c>
      <c r="H102" s="19">
        <v>1</v>
      </c>
      <c r="I102" s="20">
        <v>0.45</v>
      </c>
      <c r="J102" s="19"/>
      <c r="K102" s="20"/>
    </row>
    <row r="103" spans="1:11" ht="14" x14ac:dyDescent="0.25">
      <c r="C103" s="22" t="s">
        <v>265</v>
      </c>
      <c r="H103" s="143">
        <v>12.55</v>
      </c>
      <c r="I103" s="143"/>
      <c r="J103" s="143">
        <v>714.84</v>
      </c>
      <c r="K103" s="143"/>
    </row>
    <row r="104" spans="1:11" ht="14" x14ac:dyDescent="0.25">
      <c r="C104" s="22" t="s">
        <v>267</v>
      </c>
      <c r="H104" s="141">
        <v>12.55</v>
      </c>
      <c r="I104" s="141"/>
      <c r="J104" s="141">
        <v>714.84</v>
      </c>
      <c r="K104" s="141"/>
    </row>
    <row r="106" spans="1:11" ht="27" x14ac:dyDescent="0.25">
      <c r="A106" s="17">
        <v>12</v>
      </c>
      <c r="B106" s="17" t="s">
        <v>409</v>
      </c>
      <c r="C106" s="17" t="s">
        <v>1553</v>
      </c>
      <c r="D106" s="18" t="s">
        <v>11</v>
      </c>
      <c r="E106" s="19">
        <v>2</v>
      </c>
      <c r="F106" s="20">
        <v>47.8</v>
      </c>
      <c r="G106" s="21" t="s">
        <v>1</v>
      </c>
      <c r="H106" s="19">
        <v>1</v>
      </c>
      <c r="I106" s="20">
        <v>95.6</v>
      </c>
      <c r="J106" s="19">
        <v>10.18</v>
      </c>
      <c r="K106" s="20">
        <v>973.21</v>
      </c>
    </row>
    <row r="107" spans="1:11" ht="14" x14ac:dyDescent="0.25">
      <c r="C107" s="22" t="s">
        <v>267</v>
      </c>
      <c r="H107" s="143">
        <v>95.6</v>
      </c>
      <c r="I107" s="143"/>
      <c r="J107" s="143">
        <v>973.21</v>
      </c>
      <c r="K107" s="143"/>
    </row>
    <row r="109" spans="1:11" ht="27" x14ac:dyDescent="0.25">
      <c r="A109" s="17">
        <v>13</v>
      </c>
      <c r="B109" s="17" t="s">
        <v>409</v>
      </c>
      <c r="C109" s="17" t="s">
        <v>1567</v>
      </c>
      <c r="D109" s="18" t="s">
        <v>11</v>
      </c>
      <c r="E109" s="19">
        <v>1</v>
      </c>
      <c r="F109" s="20">
        <v>0.69</v>
      </c>
      <c r="G109" s="21" t="s">
        <v>1</v>
      </c>
      <c r="H109" s="19">
        <v>1</v>
      </c>
      <c r="I109" s="20">
        <v>0.69</v>
      </c>
      <c r="J109" s="19">
        <v>10.18</v>
      </c>
      <c r="K109" s="20">
        <v>7.02</v>
      </c>
    </row>
    <row r="110" spans="1:11" ht="14" x14ac:dyDescent="0.25">
      <c r="C110" s="22" t="s">
        <v>267</v>
      </c>
      <c r="H110" s="143">
        <v>0.69</v>
      </c>
      <c r="I110" s="143"/>
      <c r="J110" s="143">
        <v>7.02</v>
      </c>
      <c r="K110" s="143"/>
    </row>
    <row r="113" spans="1:11" ht="14" x14ac:dyDescent="0.3">
      <c r="A113" s="140" t="s">
        <v>1023</v>
      </c>
      <c r="B113" s="140"/>
      <c r="C113" s="140"/>
      <c r="D113" s="140"/>
      <c r="E113" s="140"/>
      <c r="F113" s="140"/>
      <c r="G113" s="140"/>
      <c r="H113" s="141">
        <v>16329.75</v>
      </c>
      <c r="I113" s="142"/>
      <c r="J113" s="141">
        <v>287139.40000000002</v>
      </c>
      <c r="K113" s="142"/>
    </row>
    <row r="115" spans="1:11" ht="16.5" x14ac:dyDescent="0.25">
      <c r="A115" s="144" t="s">
        <v>951</v>
      </c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</row>
    <row r="116" spans="1:11" ht="79" x14ac:dyDescent="0.25">
      <c r="A116" s="10">
        <v>14</v>
      </c>
      <c r="B116" s="10" t="s">
        <v>280</v>
      </c>
      <c r="C116" s="10" t="s">
        <v>58</v>
      </c>
      <c r="D116" s="12" t="s">
        <v>50</v>
      </c>
      <c r="E116" s="11">
        <v>0.48</v>
      </c>
      <c r="F116" s="14"/>
      <c r="G116" s="13"/>
      <c r="H116" s="11"/>
      <c r="I116" s="14"/>
      <c r="J116" s="11"/>
      <c r="K116" s="14"/>
    </row>
    <row r="117" spans="1:11" x14ac:dyDescent="0.25">
      <c r="C117" s="23" t="s">
        <v>1563</v>
      </c>
    </row>
    <row r="118" spans="1:11" ht="14.5" x14ac:dyDescent="0.25">
      <c r="A118" s="10"/>
      <c r="B118" s="10"/>
      <c r="C118" s="10" t="s">
        <v>256</v>
      </c>
      <c r="D118" s="12"/>
      <c r="E118" s="11"/>
      <c r="F118" s="14">
        <v>55.23</v>
      </c>
      <c r="G118" s="15" t="s">
        <v>13</v>
      </c>
      <c r="H118" s="11">
        <v>1</v>
      </c>
      <c r="I118" s="14">
        <v>31.81</v>
      </c>
      <c r="J118" s="11">
        <v>57.05</v>
      </c>
      <c r="K118" s="14">
        <v>1814.76</v>
      </c>
    </row>
    <row r="119" spans="1:11" ht="14.5" x14ac:dyDescent="0.25">
      <c r="A119" s="10"/>
      <c r="B119" s="10"/>
      <c r="C119" s="10" t="s">
        <v>257</v>
      </c>
      <c r="D119" s="12"/>
      <c r="E119" s="11"/>
      <c r="F119" s="14">
        <v>2.62</v>
      </c>
      <c r="G119" s="15" t="s">
        <v>13</v>
      </c>
      <c r="H119" s="11">
        <v>1</v>
      </c>
      <c r="I119" s="14">
        <v>1.51</v>
      </c>
      <c r="J119" s="11">
        <v>15.96</v>
      </c>
      <c r="K119" s="14">
        <v>24.1</v>
      </c>
    </row>
    <row r="120" spans="1:11" ht="14.5" x14ac:dyDescent="0.25">
      <c r="A120" s="10"/>
      <c r="B120" s="10"/>
      <c r="C120" s="10" t="s">
        <v>258</v>
      </c>
      <c r="D120" s="12"/>
      <c r="E120" s="11"/>
      <c r="F120" s="14">
        <v>0.3</v>
      </c>
      <c r="G120" s="15" t="s">
        <v>13</v>
      </c>
      <c r="H120" s="11">
        <v>1</v>
      </c>
      <c r="I120" s="16">
        <v>0.17</v>
      </c>
      <c r="J120" s="11">
        <v>57.05</v>
      </c>
      <c r="K120" s="16">
        <v>9.6999999999999993</v>
      </c>
    </row>
    <row r="121" spans="1:11" ht="14.5" x14ac:dyDescent="0.25">
      <c r="A121" s="10"/>
      <c r="B121" s="10"/>
      <c r="C121" s="10" t="s">
        <v>259</v>
      </c>
      <c r="D121" s="12"/>
      <c r="E121" s="11"/>
      <c r="F121" s="14">
        <v>58.15</v>
      </c>
      <c r="G121" s="15" t="s">
        <v>1</v>
      </c>
      <c r="H121" s="11">
        <v>1</v>
      </c>
      <c r="I121" s="14">
        <v>27.91</v>
      </c>
      <c r="J121" s="11">
        <v>3.64</v>
      </c>
      <c r="K121" s="14">
        <v>101.59</v>
      </c>
    </row>
    <row r="122" spans="1:11" ht="14.5" x14ac:dyDescent="0.25">
      <c r="A122" s="10"/>
      <c r="B122" s="10"/>
      <c r="C122" s="10" t="s">
        <v>260</v>
      </c>
      <c r="D122" s="12" t="s">
        <v>261</v>
      </c>
      <c r="E122" s="11">
        <v>97</v>
      </c>
      <c r="F122" s="14"/>
      <c r="G122" s="13"/>
      <c r="H122" s="11"/>
      <c r="I122" s="14">
        <v>31.02</v>
      </c>
      <c r="J122" s="11">
        <v>97</v>
      </c>
      <c r="K122" s="14">
        <v>1769.73</v>
      </c>
    </row>
    <row r="123" spans="1:11" ht="14.5" x14ac:dyDescent="0.25">
      <c r="A123" s="10"/>
      <c r="B123" s="10"/>
      <c r="C123" s="10" t="s">
        <v>262</v>
      </c>
      <c r="D123" s="12" t="s">
        <v>261</v>
      </c>
      <c r="E123" s="11">
        <v>51</v>
      </c>
      <c r="F123" s="14"/>
      <c r="G123" s="13"/>
      <c r="H123" s="11"/>
      <c r="I123" s="14">
        <v>16.309999999999999</v>
      </c>
      <c r="J123" s="11">
        <v>51</v>
      </c>
      <c r="K123" s="14">
        <v>930.47</v>
      </c>
    </row>
    <row r="124" spans="1:11" ht="14.5" x14ac:dyDescent="0.25">
      <c r="A124" s="17"/>
      <c r="B124" s="17"/>
      <c r="C124" s="17" t="s">
        <v>263</v>
      </c>
      <c r="D124" s="18" t="s">
        <v>264</v>
      </c>
      <c r="E124" s="19">
        <v>4.49</v>
      </c>
      <c r="F124" s="20"/>
      <c r="G124" s="21" t="s">
        <v>13</v>
      </c>
      <c r="H124" s="19">
        <v>1</v>
      </c>
      <c r="I124" s="20">
        <v>2.59</v>
      </c>
      <c r="J124" s="19"/>
      <c r="K124" s="20"/>
    </row>
    <row r="125" spans="1:11" ht="14" x14ac:dyDescent="0.25">
      <c r="C125" s="22" t="s">
        <v>265</v>
      </c>
      <c r="H125" s="143">
        <v>108.56</v>
      </c>
      <c r="I125" s="143"/>
      <c r="J125" s="143">
        <v>4640.6499999999996</v>
      </c>
      <c r="K125" s="143"/>
    </row>
    <row r="126" spans="1:11" ht="14" x14ac:dyDescent="0.25">
      <c r="C126" s="22" t="s">
        <v>267</v>
      </c>
      <c r="H126" s="141">
        <v>108.56</v>
      </c>
      <c r="I126" s="141"/>
      <c r="J126" s="141">
        <v>4640.6499999999996</v>
      </c>
      <c r="K126" s="141"/>
    </row>
    <row r="128" spans="1:11" ht="41" x14ac:dyDescent="0.25">
      <c r="A128" s="17">
        <v>15</v>
      </c>
      <c r="B128" s="17" t="s">
        <v>409</v>
      </c>
      <c r="C128" s="17" t="s">
        <v>1568</v>
      </c>
      <c r="D128" s="18" t="s">
        <v>52</v>
      </c>
      <c r="E128" s="19">
        <v>20.399999999999999</v>
      </c>
      <c r="F128" s="20">
        <v>12.44</v>
      </c>
      <c r="G128" s="21" t="s">
        <v>1</v>
      </c>
      <c r="H128" s="19">
        <v>1</v>
      </c>
      <c r="I128" s="20">
        <v>253.78</v>
      </c>
      <c r="J128" s="19">
        <v>10.18</v>
      </c>
      <c r="K128" s="20">
        <v>2583.48</v>
      </c>
    </row>
    <row r="129" spans="1:11" ht="14" x14ac:dyDescent="0.25">
      <c r="C129" s="22" t="s">
        <v>267</v>
      </c>
      <c r="H129" s="143">
        <v>253.78</v>
      </c>
      <c r="I129" s="143"/>
      <c r="J129" s="143">
        <v>2583.48</v>
      </c>
      <c r="K129" s="143"/>
    </row>
    <row r="131" spans="1:11" ht="41" x14ac:dyDescent="0.25">
      <c r="A131" s="17">
        <v>16</v>
      </c>
      <c r="B131" s="17" t="s">
        <v>409</v>
      </c>
      <c r="C131" s="17" t="s">
        <v>1569</v>
      </c>
      <c r="D131" s="18" t="s">
        <v>52</v>
      </c>
      <c r="E131" s="19">
        <v>28.56</v>
      </c>
      <c r="F131" s="20">
        <v>8.7899999999999991</v>
      </c>
      <c r="G131" s="21" t="s">
        <v>1</v>
      </c>
      <c r="H131" s="19">
        <v>1</v>
      </c>
      <c r="I131" s="20">
        <v>251.04</v>
      </c>
      <c r="J131" s="19">
        <v>10.18</v>
      </c>
      <c r="K131" s="20">
        <v>2555.59</v>
      </c>
    </row>
    <row r="132" spans="1:11" ht="14" x14ac:dyDescent="0.25">
      <c r="C132" s="22" t="s">
        <v>267</v>
      </c>
      <c r="H132" s="143">
        <v>251.04</v>
      </c>
      <c r="I132" s="143"/>
      <c r="J132" s="143">
        <v>2555.59</v>
      </c>
      <c r="K132" s="143"/>
    </row>
    <row r="135" spans="1:11" ht="14" x14ac:dyDescent="0.3">
      <c r="A135" s="140" t="s">
        <v>957</v>
      </c>
      <c r="B135" s="140"/>
      <c r="C135" s="140"/>
      <c r="D135" s="140"/>
      <c r="E135" s="140"/>
      <c r="F135" s="140"/>
      <c r="G135" s="140"/>
      <c r="H135" s="141">
        <v>613.38</v>
      </c>
      <c r="I135" s="142"/>
      <c r="J135" s="141">
        <v>9779.7199999999993</v>
      </c>
      <c r="K135" s="142"/>
    </row>
    <row r="137" spans="1:11" ht="16.5" x14ac:dyDescent="0.25">
      <c r="A137" s="144" t="s">
        <v>962</v>
      </c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</row>
    <row r="138" spans="1:11" ht="79" x14ac:dyDescent="0.25">
      <c r="A138" s="10">
        <v>17</v>
      </c>
      <c r="B138" s="10" t="s">
        <v>287</v>
      </c>
      <c r="C138" s="10" t="s">
        <v>91</v>
      </c>
      <c r="D138" s="12" t="s">
        <v>50</v>
      </c>
      <c r="E138" s="11">
        <v>0.3</v>
      </c>
      <c r="F138" s="14"/>
      <c r="G138" s="13"/>
      <c r="H138" s="11"/>
      <c r="I138" s="14"/>
      <c r="J138" s="11"/>
      <c r="K138" s="14"/>
    </row>
    <row r="139" spans="1:11" x14ac:dyDescent="0.25">
      <c r="C139" s="23" t="s">
        <v>1076</v>
      </c>
    </row>
    <row r="140" spans="1:11" ht="14.5" x14ac:dyDescent="0.25">
      <c r="A140" s="10"/>
      <c r="B140" s="10"/>
      <c r="C140" s="10" t="s">
        <v>256</v>
      </c>
      <c r="D140" s="12"/>
      <c r="E140" s="11"/>
      <c r="F140" s="14">
        <v>192.26</v>
      </c>
      <c r="G140" s="15" t="s">
        <v>13</v>
      </c>
      <c r="H140" s="11">
        <v>1</v>
      </c>
      <c r="I140" s="14">
        <v>69.209999999999994</v>
      </c>
      <c r="J140" s="11">
        <v>57.05</v>
      </c>
      <c r="K140" s="14">
        <v>3948.43</v>
      </c>
    </row>
    <row r="141" spans="1:11" ht="14.5" x14ac:dyDescent="0.25">
      <c r="A141" s="10"/>
      <c r="B141" s="10"/>
      <c r="C141" s="10" t="s">
        <v>257</v>
      </c>
      <c r="D141" s="12"/>
      <c r="E141" s="11"/>
      <c r="F141" s="14">
        <v>32.869999999999997</v>
      </c>
      <c r="G141" s="15" t="s">
        <v>13</v>
      </c>
      <c r="H141" s="11">
        <v>1</v>
      </c>
      <c r="I141" s="14">
        <v>11.83</v>
      </c>
      <c r="J141" s="11">
        <v>19.239999999999998</v>
      </c>
      <c r="K141" s="14">
        <v>227.61</v>
      </c>
    </row>
    <row r="142" spans="1:11" ht="14.5" x14ac:dyDescent="0.25">
      <c r="A142" s="10"/>
      <c r="B142" s="10"/>
      <c r="C142" s="10" t="s">
        <v>258</v>
      </c>
      <c r="D142" s="12"/>
      <c r="E142" s="11"/>
      <c r="F142" s="14">
        <v>5.71</v>
      </c>
      <c r="G142" s="15" t="s">
        <v>13</v>
      </c>
      <c r="H142" s="11">
        <v>1</v>
      </c>
      <c r="I142" s="16">
        <v>2.06</v>
      </c>
      <c r="J142" s="11">
        <v>57.05</v>
      </c>
      <c r="K142" s="16">
        <v>117.52</v>
      </c>
    </row>
    <row r="143" spans="1:11" ht="14.5" x14ac:dyDescent="0.25">
      <c r="A143" s="10"/>
      <c r="B143" s="10"/>
      <c r="C143" s="10" t="s">
        <v>259</v>
      </c>
      <c r="D143" s="12"/>
      <c r="E143" s="11"/>
      <c r="F143" s="14">
        <v>314.29000000000002</v>
      </c>
      <c r="G143" s="15" t="s">
        <v>1</v>
      </c>
      <c r="H143" s="11">
        <v>1</v>
      </c>
      <c r="I143" s="14">
        <v>94.29</v>
      </c>
      <c r="J143" s="11">
        <v>10.18</v>
      </c>
      <c r="K143" s="14">
        <v>959.87</v>
      </c>
    </row>
    <row r="144" spans="1:11" ht="42" x14ac:dyDescent="0.25">
      <c r="A144" s="10" t="s">
        <v>1554</v>
      </c>
      <c r="B144" s="10" t="s">
        <v>93</v>
      </c>
      <c r="C144" s="10" t="s">
        <v>94</v>
      </c>
      <c r="D144" s="12" t="s">
        <v>52</v>
      </c>
      <c r="E144" s="11">
        <v>30.6</v>
      </c>
      <c r="F144" s="14">
        <v>3.45</v>
      </c>
      <c r="G144" s="15" t="s">
        <v>1</v>
      </c>
      <c r="H144" s="11">
        <v>1</v>
      </c>
      <c r="I144" s="14">
        <v>105.57</v>
      </c>
      <c r="J144" s="11">
        <v>3.85</v>
      </c>
      <c r="K144" s="14">
        <v>406.44</v>
      </c>
    </row>
    <row r="145" spans="1:11" ht="42" x14ac:dyDescent="0.25">
      <c r="A145" s="10" t="s">
        <v>1555</v>
      </c>
      <c r="B145" s="10" t="s">
        <v>1564</v>
      </c>
      <c r="C145" s="10" t="s">
        <v>1556</v>
      </c>
      <c r="D145" s="12" t="s">
        <v>34</v>
      </c>
      <c r="E145" s="11">
        <v>60</v>
      </c>
      <c r="F145" s="14">
        <v>146.88999999999999</v>
      </c>
      <c r="G145" s="15" t="s">
        <v>1</v>
      </c>
      <c r="H145" s="11">
        <v>1</v>
      </c>
      <c r="I145" s="14">
        <v>8813.4</v>
      </c>
      <c r="J145" s="11">
        <v>1.77</v>
      </c>
      <c r="K145" s="14">
        <v>15599.72</v>
      </c>
    </row>
    <row r="146" spans="1:11" ht="14.5" x14ac:dyDescent="0.25">
      <c r="A146" s="10"/>
      <c r="B146" s="10"/>
      <c r="C146" s="10" t="s">
        <v>260</v>
      </c>
      <c r="D146" s="12" t="s">
        <v>261</v>
      </c>
      <c r="E146" s="11">
        <v>97</v>
      </c>
      <c r="F146" s="14"/>
      <c r="G146" s="13"/>
      <c r="H146" s="11"/>
      <c r="I146" s="14">
        <v>69.13</v>
      </c>
      <c r="J146" s="11">
        <v>97</v>
      </c>
      <c r="K146" s="14">
        <v>3943.97</v>
      </c>
    </row>
    <row r="147" spans="1:11" ht="14.5" x14ac:dyDescent="0.25">
      <c r="A147" s="10"/>
      <c r="B147" s="10"/>
      <c r="C147" s="10" t="s">
        <v>262</v>
      </c>
      <c r="D147" s="12" t="s">
        <v>261</v>
      </c>
      <c r="E147" s="11">
        <v>51</v>
      </c>
      <c r="F147" s="14"/>
      <c r="G147" s="13"/>
      <c r="H147" s="11"/>
      <c r="I147" s="14">
        <v>36.35</v>
      </c>
      <c r="J147" s="11">
        <v>51</v>
      </c>
      <c r="K147" s="14">
        <v>2073.63</v>
      </c>
    </row>
    <row r="148" spans="1:11" ht="14.5" x14ac:dyDescent="0.25">
      <c r="A148" s="17"/>
      <c r="B148" s="17"/>
      <c r="C148" s="17" t="s">
        <v>263</v>
      </c>
      <c r="D148" s="18" t="s">
        <v>264</v>
      </c>
      <c r="E148" s="19">
        <v>15</v>
      </c>
      <c r="F148" s="20"/>
      <c r="G148" s="21" t="s">
        <v>13</v>
      </c>
      <c r="H148" s="19">
        <v>1</v>
      </c>
      <c r="I148" s="20">
        <v>5.4</v>
      </c>
      <c r="J148" s="19"/>
      <c r="K148" s="20"/>
    </row>
    <row r="149" spans="1:11" ht="14" x14ac:dyDescent="0.25">
      <c r="C149" s="22" t="s">
        <v>265</v>
      </c>
      <c r="H149" s="143">
        <v>9199.7800000000007</v>
      </c>
      <c r="I149" s="143"/>
      <c r="J149" s="143">
        <v>27159.67</v>
      </c>
      <c r="K149" s="143"/>
    </row>
    <row r="150" spans="1:11" ht="14" x14ac:dyDescent="0.25">
      <c r="C150" s="22" t="s">
        <v>267</v>
      </c>
      <c r="H150" s="141">
        <v>9199.7800000000007</v>
      </c>
      <c r="I150" s="141"/>
      <c r="J150" s="141">
        <v>27159.67</v>
      </c>
      <c r="K150" s="141"/>
    </row>
    <row r="152" spans="1:11" ht="79" x14ac:dyDescent="0.25">
      <c r="A152" s="10">
        <v>18</v>
      </c>
      <c r="B152" s="10" t="s">
        <v>1057</v>
      </c>
      <c r="C152" s="10" t="s">
        <v>1058</v>
      </c>
      <c r="D152" s="12" t="s">
        <v>50</v>
      </c>
      <c r="E152" s="11">
        <v>0.1</v>
      </c>
      <c r="F152" s="14"/>
      <c r="G152" s="13"/>
      <c r="H152" s="11"/>
      <c r="I152" s="14"/>
      <c r="J152" s="11"/>
      <c r="K152" s="14"/>
    </row>
    <row r="153" spans="1:11" x14ac:dyDescent="0.25">
      <c r="C153" s="23" t="s">
        <v>817</v>
      </c>
    </row>
    <row r="154" spans="1:11" ht="14.5" x14ac:dyDescent="0.25">
      <c r="A154" s="10"/>
      <c r="B154" s="10"/>
      <c r="C154" s="10" t="s">
        <v>256</v>
      </c>
      <c r="D154" s="12"/>
      <c r="E154" s="11"/>
      <c r="F154" s="14">
        <v>368.37</v>
      </c>
      <c r="G154" s="15" t="s">
        <v>13</v>
      </c>
      <c r="H154" s="11">
        <v>1</v>
      </c>
      <c r="I154" s="14">
        <v>44.2</v>
      </c>
      <c r="J154" s="11">
        <v>57.05</v>
      </c>
      <c r="K154" s="14">
        <v>2521.61</v>
      </c>
    </row>
    <row r="155" spans="1:11" ht="14.5" x14ac:dyDescent="0.25">
      <c r="A155" s="10"/>
      <c r="B155" s="10"/>
      <c r="C155" s="10" t="s">
        <v>257</v>
      </c>
      <c r="D155" s="12"/>
      <c r="E155" s="11"/>
      <c r="F155" s="14">
        <v>129.06</v>
      </c>
      <c r="G155" s="15" t="s">
        <v>13</v>
      </c>
      <c r="H155" s="11">
        <v>1</v>
      </c>
      <c r="I155" s="14">
        <v>15.49</v>
      </c>
      <c r="J155" s="11">
        <v>13.4</v>
      </c>
      <c r="K155" s="14">
        <v>207.57</v>
      </c>
    </row>
    <row r="156" spans="1:11" ht="14.5" x14ac:dyDescent="0.25">
      <c r="A156" s="10"/>
      <c r="B156" s="10"/>
      <c r="C156" s="10" t="s">
        <v>258</v>
      </c>
      <c r="D156" s="12"/>
      <c r="E156" s="11"/>
      <c r="F156" s="14">
        <v>2.52</v>
      </c>
      <c r="G156" s="15" t="s">
        <v>13</v>
      </c>
      <c r="H156" s="11">
        <v>1</v>
      </c>
      <c r="I156" s="16">
        <v>0.3</v>
      </c>
      <c r="J156" s="11">
        <v>57.05</v>
      </c>
      <c r="K156" s="16">
        <v>17.12</v>
      </c>
    </row>
    <row r="157" spans="1:11" ht="14.5" x14ac:dyDescent="0.25">
      <c r="A157" s="10"/>
      <c r="B157" s="10"/>
      <c r="C157" s="10" t="s">
        <v>259</v>
      </c>
      <c r="D157" s="12"/>
      <c r="E157" s="11"/>
      <c r="F157" s="14">
        <v>1763.74</v>
      </c>
      <c r="G157" s="15" t="s">
        <v>1</v>
      </c>
      <c r="H157" s="11">
        <v>1</v>
      </c>
      <c r="I157" s="14">
        <v>176.37</v>
      </c>
      <c r="J157" s="11">
        <v>3.89</v>
      </c>
      <c r="K157" s="14">
        <v>686.08</v>
      </c>
    </row>
    <row r="158" spans="1:11" ht="70" x14ac:dyDescent="0.25">
      <c r="A158" s="10" t="s">
        <v>483</v>
      </c>
      <c r="B158" s="10" t="s">
        <v>1565</v>
      </c>
      <c r="C158" s="10" t="s">
        <v>1557</v>
      </c>
      <c r="D158" s="12" t="s">
        <v>52</v>
      </c>
      <c r="E158" s="11">
        <v>10.3</v>
      </c>
      <c r="F158" s="14">
        <v>12.83</v>
      </c>
      <c r="G158" s="15" t="s">
        <v>1</v>
      </c>
      <c r="H158" s="11">
        <v>1</v>
      </c>
      <c r="I158" s="14">
        <v>132.15</v>
      </c>
      <c r="J158" s="11">
        <v>3.52</v>
      </c>
      <c r="K158" s="14">
        <v>465.17</v>
      </c>
    </row>
    <row r="159" spans="1:11" ht="14.5" x14ac:dyDescent="0.25">
      <c r="A159" s="10"/>
      <c r="B159" s="10"/>
      <c r="C159" s="10" t="s">
        <v>260</v>
      </c>
      <c r="D159" s="12" t="s">
        <v>261</v>
      </c>
      <c r="E159" s="11">
        <v>97</v>
      </c>
      <c r="F159" s="14"/>
      <c r="G159" s="13"/>
      <c r="H159" s="11"/>
      <c r="I159" s="14">
        <v>43.17</v>
      </c>
      <c r="J159" s="11">
        <v>97</v>
      </c>
      <c r="K159" s="14">
        <v>2462.5700000000002</v>
      </c>
    </row>
    <row r="160" spans="1:11" ht="14.5" x14ac:dyDescent="0.25">
      <c r="A160" s="10"/>
      <c r="B160" s="10"/>
      <c r="C160" s="10" t="s">
        <v>262</v>
      </c>
      <c r="D160" s="12" t="s">
        <v>261</v>
      </c>
      <c r="E160" s="11">
        <v>51</v>
      </c>
      <c r="F160" s="14"/>
      <c r="G160" s="13"/>
      <c r="H160" s="11"/>
      <c r="I160" s="14">
        <v>22.7</v>
      </c>
      <c r="J160" s="11">
        <v>51</v>
      </c>
      <c r="K160" s="14">
        <v>1294.75</v>
      </c>
    </row>
    <row r="161" spans="1:11" ht="14.5" x14ac:dyDescent="0.25">
      <c r="A161" s="17"/>
      <c r="B161" s="17"/>
      <c r="C161" s="17" t="s">
        <v>263</v>
      </c>
      <c r="D161" s="18" t="s">
        <v>264</v>
      </c>
      <c r="E161" s="19">
        <v>29.9</v>
      </c>
      <c r="F161" s="20"/>
      <c r="G161" s="21" t="s">
        <v>13</v>
      </c>
      <c r="H161" s="19">
        <v>1</v>
      </c>
      <c r="I161" s="20">
        <v>3.59</v>
      </c>
      <c r="J161" s="19"/>
      <c r="K161" s="20"/>
    </row>
    <row r="162" spans="1:11" ht="14" x14ac:dyDescent="0.25">
      <c r="C162" s="22" t="s">
        <v>265</v>
      </c>
      <c r="H162" s="143">
        <v>434.08</v>
      </c>
      <c r="I162" s="143"/>
      <c r="J162" s="143">
        <v>7637.75</v>
      </c>
      <c r="K162" s="143"/>
    </row>
    <row r="163" spans="1:11" ht="14" x14ac:dyDescent="0.25">
      <c r="C163" s="22" t="s">
        <v>267</v>
      </c>
      <c r="H163" s="141">
        <v>434.08</v>
      </c>
      <c r="I163" s="141"/>
      <c r="J163" s="141">
        <v>7637.75</v>
      </c>
      <c r="K163" s="141"/>
    </row>
    <row r="166" spans="1:11" ht="14" x14ac:dyDescent="0.3">
      <c r="A166" s="140" t="s">
        <v>966</v>
      </c>
      <c r="B166" s="140"/>
      <c r="C166" s="140"/>
      <c r="D166" s="140"/>
      <c r="E166" s="140"/>
      <c r="F166" s="140"/>
      <c r="G166" s="140"/>
      <c r="H166" s="141">
        <v>9633.86</v>
      </c>
      <c r="I166" s="142"/>
      <c r="J166" s="141">
        <v>34797.42</v>
      </c>
      <c r="K166" s="142"/>
    </row>
    <row r="168" spans="1:11" ht="14" x14ac:dyDescent="0.3">
      <c r="A168" s="140" t="s">
        <v>435</v>
      </c>
      <c r="B168" s="140"/>
      <c r="C168" s="140"/>
      <c r="D168" s="140"/>
      <c r="E168" s="140"/>
      <c r="F168" s="140"/>
      <c r="G168" s="140"/>
      <c r="H168" s="141">
        <v>26576.99</v>
      </c>
      <c r="I168" s="142"/>
      <c r="J168" s="141">
        <v>331716.53999999998</v>
      </c>
      <c r="K168" s="142"/>
    </row>
  </sheetData>
  <mergeCells count="84">
    <mergeCell ref="A9:K9"/>
    <mergeCell ref="J2:K2"/>
    <mergeCell ref="A3:K3"/>
    <mergeCell ref="A4:K4"/>
    <mergeCell ref="A6:K6"/>
    <mergeCell ref="A8:K8"/>
    <mergeCell ref="E17:H17"/>
    <mergeCell ref="E18:H18"/>
    <mergeCell ref="A21:K21"/>
    <mergeCell ref="E13:H13"/>
    <mergeCell ref="E14:H14"/>
    <mergeCell ref="E15:H15"/>
    <mergeCell ref="E16:H16"/>
    <mergeCell ref="H35:I35"/>
    <mergeCell ref="J35:K35"/>
    <mergeCell ref="H43:I43"/>
    <mergeCell ref="J43:K43"/>
    <mergeCell ref="A24:K24"/>
    <mergeCell ref="H31:I31"/>
    <mergeCell ref="J31:K31"/>
    <mergeCell ref="H32:I32"/>
    <mergeCell ref="J32:K32"/>
    <mergeCell ref="H57:I57"/>
    <mergeCell ref="J57:K57"/>
    <mergeCell ref="H65:I65"/>
    <mergeCell ref="J65:K65"/>
    <mergeCell ref="H44:I44"/>
    <mergeCell ref="J44:K44"/>
    <mergeCell ref="H47:I47"/>
    <mergeCell ref="J47:K47"/>
    <mergeCell ref="H56:I56"/>
    <mergeCell ref="J56:K56"/>
    <mergeCell ref="H77:I77"/>
    <mergeCell ref="J77:K77"/>
    <mergeCell ref="H78:I78"/>
    <mergeCell ref="J78:K78"/>
    <mergeCell ref="H66:I66"/>
    <mergeCell ref="J66:K66"/>
    <mergeCell ref="H69:I69"/>
    <mergeCell ref="J69:K69"/>
    <mergeCell ref="H94:I94"/>
    <mergeCell ref="J94:K94"/>
    <mergeCell ref="H103:I103"/>
    <mergeCell ref="J103:K103"/>
    <mergeCell ref="H81:I81"/>
    <mergeCell ref="J81:K81"/>
    <mergeCell ref="H93:I93"/>
    <mergeCell ref="J93:K93"/>
    <mergeCell ref="H104:I104"/>
    <mergeCell ref="J104:K104"/>
    <mergeCell ref="H107:I107"/>
    <mergeCell ref="J107:K107"/>
    <mergeCell ref="H110:I110"/>
    <mergeCell ref="J110:K110"/>
    <mergeCell ref="A113:G113"/>
    <mergeCell ref="H113:I113"/>
    <mergeCell ref="J113:K113"/>
    <mergeCell ref="A115:K115"/>
    <mergeCell ref="H125:I125"/>
    <mergeCell ref="J125:K125"/>
    <mergeCell ref="A137:K137"/>
    <mergeCell ref="H126:I126"/>
    <mergeCell ref="J126:K126"/>
    <mergeCell ref="H129:I129"/>
    <mergeCell ref="J129:K129"/>
    <mergeCell ref="H132:I132"/>
    <mergeCell ref="J132:K132"/>
    <mergeCell ref="A135:G135"/>
    <mergeCell ref="H135:I135"/>
    <mergeCell ref="J135:K135"/>
    <mergeCell ref="H162:I162"/>
    <mergeCell ref="J162:K162"/>
    <mergeCell ref="H163:I163"/>
    <mergeCell ref="J163:K163"/>
    <mergeCell ref="H149:I149"/>
    <mergeCell ref="J149:K149"/>
    <mergeCell ref="H150:I150"/>
    <mergeCell ref="J150:K150"/>
    <mergeCell ref="A168:G168"/>
    <mergeCell ref="H168:I168"/>
    <mergeCell ref="J168:K168"/>
    <mergeCell ref="A166:G166"/>
    <mergeCell ref="H166:I166"/>
    <mergeCell ref="J166:K16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50DC-FDA7-49AD-937A-758FB9C0AC0F}">
  <dimension ref="A1:K375"/>
  <sheetViews>
    <sheetView workbookViewId="0">
      <selection activeCell="B336" sqref="B336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0.1796875" style="27" bestFit="1" customWidth="1"/>
    <col min="7" max="7" width="8.54296875" style="27" bestFit="1" customWidth="1"/>
    <col min="8" max="8" width="9.26953125" style="27" bestFit="1" customWidth="1"/>
    <col min="9" max="9" width="11.26953125" style="27" bestFit="1" customWidth="1"/>
    <col min="10" max="10" width="9.26953125" style="27" bestFit="1" customWidth="1"/>
    <col min="11" max="11" width="13.179687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1608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1624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398.57</v>
      </c>
      <c r="J13" s="5">
        <v>3916.82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34.130000000000003</v>
      </c>
      <c r="J14" s="7">
        <v>347.43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52.48</v>
      </c>
      <c r="J15" s="7">
        <v>1217.23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311.95999999999998</v>
      </c>
      <c r="J16" s="7">
        <v>2352.16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7.81</v>
      </c>
      <c r="J17" s="7">
        <v>445.71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632.84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41.25" customHeight="1" x14ac:dyDescent="0.3">
      <c r="A21" s="146" t="s">
        <v>253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1061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1570</v>
      </c>
      <c r="C25" s="10" t="s">
        <v>1571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91.68</v>
      </c>
      <c r="G26" s="15" t="s">
        <v>13</v>
      </c>
      <c r="H26" s="11">
        <v>1</v>
      </c>
      <c r="I26" s="14">
        <v>110.02</v>
      </c>
      <c r="J26" s="11">
        <v>57.05</v>
      </c>
      <c r="K26" s="14">
        <v>6276.64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38.92</v>
      </c>
      <c r="G27" s="15" t="s">
        <v>13</v>
      </c>
      <c r="H27" s="11">
        <v>1</v>
      </c>
      <c r="I27" s="14">
        <v>46.7</v>
      </c>
      <c r="J27" s="11">
        <v>16.34</v>
      </c>
      <c r="K27" s="14">
        <v>763.08</v>
      </c>
    </row>
    <row r="28" spans="1:11" ht="14.5" x14ac:dyDescent="0.25">
      <c r="A28" s="10"/>
      <c r="B28" s="10"/>
      <c r="C28" s="10" t="s">
        <v>258</v>
      </c>
      <c r="D28" s="12"/>
      <c r="E28" s="11"/>
      <c r="F28" s="14">
        <v>4.16</v>
      </c>
      <c r="G28" s="15" t="s">
        <v>13</v>
      </c>
      <c r="H28" s="11">
        <v>1</v>
      </c>
      <c r="I28" s="16">
        <v>4.99</v>
      </c>
      <c r="J28" s="11">
        <v>57.05</v>
      </c>
      <c r="K28" s="16">
        <v>284.68</v>
      </c>
    </row>
    <row r="29" spans="1:11" ht="14.5" x14ac:dyDescent="0.25">
      <c r="A29" s="10"/>
      <c r="B29" s="10"/>
      <c r="C29" s="10" t="s">
        <v>259</v>
      </c>
      <c r="D29" s="12"/>
      <c r="E29" s="11"/>
      <c r="F29" s="14">
        <v>3.92</v>
      </c>
      <c r="G29" s="15" t="s">
        <v>1</v>
      </c>
      <c r="H29" s="11">
        <v>1</v>
      </c>
      <c r="I29" s="14">
        <v>3.92</v>
      </c>
      <c r="J29" s="11">
        <v>7.06</v>
      </c>
      <c r="K29" s="14">
        <v>27.68</v>
      </c>
    </row>
    <row r="30" spans="1:11" ht="14.5" x14ac:dyDescent="0.25">
      <c r="A30" s="10"/>
      <c r="B30" s="10"/>
      <c r="C30" s="10" t="s">
        <v>260</v>
      </c>
      <c r="D30" s="12" t="s">
        <v>261</v>
      </c>
      <c r="E30" s="11">
        <v>90</v>
      </c>
      <c r="F30" s="14"/>
      <c r="G30" s="13"/>
      <c r="H30" s="11"/>
      <c r="I30" s="14">
        <v>103.51</v>
      </c>
      <c r="J30" s="11">
        <v>90</v>
      </c>
      <c r="K30" s="14">
        <v>5905.19</v>
      </c>
    </row>
    <row r="31" spans="1:11" ht="14.5" x14ac:dyDescent="0.25">
      <c r="A31" s="10"/>
      <c r="B31" s="10"/>
      <c r="C31" s="10" t="s">
        <v>262</v>
      </c>
      <c r="D31" s="12" t="s">
        <v>261</v>
      </c>
      <c r="E31" s="11">
        <v>46</v>
      </c>
      <c r="F31" s="14"/>
      <c r="G31" s="13"/>
      <c r="H31" s="11"/>
      <c r="I31" s="14">
        <v>52.9</v>
      </c>
      <c r="J31" s="11">
        <v>46</v>
      </c>
      <c r="K31" s="14">
        <v>3018.21</v>
      </c>
    </row>
    <row r="32" spans="1:11" ht="14.5" x14ac:dyDescent="0.25">
      <c r="A32" s="17"/>
      <c r="B32" s="17"/>
      <c r="C32" s="17" t="s">
        <v>263</v>
      </c>
      <c r="D32" s="18" t="s">
        <v>264</v>
      </c>
      <c r="E32" s="19">
        <v>8.1999999999999993</v>
      </c>
      <c r="F32" s="20"/>
      <c r="G32" s="21" t="s">
        <v>13</v>
      </c>
      <c r="H32" s="19">
        <v>1</v>
      </c>
      <c r="I32" s="20">
        <v>9.84</v>
      </c>
      <c r="J32" s="19"/>
      <c r="K32" s="20"/>
    </row>
    <row r="33" spans="1:11" ht="14" x14ac:dyDescent="0.25">
      <c r="C33" s="22" t="s">
        <v>265</v>
      </c>
      <c r="H33" s="143">
        <v>317.05</v>
      </c>
      <c r="I33" s="143"/>
      <c r="J33" s="143">
        <v>15990.8</v>
      </c>
      <c r="K33" s="143"/>
    </row>
    <row r="34" spans="1:11" ht="14" x14ac:dyDescent="0.25">
      <c r="C34" s="22" t="s">
        <v>267</v>
      </c>
      <c r="H34" s="141">
        <v>317.05</v>
      </c>
      <c r="I34" s="141"/>
      <c r="J34" s="141">
        <v>15990.8</v>
      </c>
      <c r="K34" s="141"/>
    </row>
    <row r="36" spans="1:11" ht="152" x14ac:dyDescent="0.25">
      <c r="A36" s="38">
        <v>2</v>
      </c>
      <c r="B36" s="38" t="s">
        <v>409</v>
      </c>
      <c r="C36" s="38" t="s">
        <v>2012</v>
      </c>
      <c r="D36" s="39" t="s">
        <v>11</v>
      </c>
      <c r="E36" s="40">
        <v>1</v>
      </c>
      <c r="F36" s="41">
        <v>20560.41</v>
      </c>
      <c r="G36" s="42" t="s">
        <v>1</v>
      </c>
      <c r="H36" s="40">
        <v>1</v>
      </c>
      <c r="I36" s="41">
        <v>20560.41</v>
      </c>
      <c r="J36" s="40">
        <v>7.54</v>
      </c>
      <c r="K36" s="41">
        <v>155025.49</v>
      </c>
    </row>
    <row r="37" spans="1:11" ht="14" x14ac:dyDescent="0.25">
      <c r="A37" s="43"/>
      <c r="B37" s="43"/>
      <c r="C37" s="44" t="s">
        <v>267</v>
      </c>
      <c r="D37" s="43"/>
      <c r="E37" s="43"/>
      <c r="F37" s="43"/>
      <c r="G37" s="43"/>
      <c r="H37" s="156">
        <v>20560.41</v>
      </c>
      <c r="I37" s="156"/>
      <c r="J37" s="156">
        <v>155025.49</v>
      </c>
      <c r="K37" s="156"/>
    </row>
    <row r="39" spans="1:11" ht="79" x14ac:dyDescent="0.25">
      <c r="A39" s="10">
        <v>3</v>
      </c>
      <c r="B39" s="10" t="s">
        <v>1572</v>
      </c>
      <c r="C39" s="10" t="s">
        <v>1573</v>
      </c>
      <c r="D39" s="12" t="s">
        <v>1609</v>
      </c>
      <c r="E39" s="11">
        <v>1</v>
      </c>
      <c r="F39" s="14"/>
      <c r="G39" s="13"/>
      <c r="H39" s="11"/>
      <c r="I39" s="14"/>
      <c r="J39" s="11"/>
      <c r="K39" s="14"/>
    </row>
    <row r="40" spans="1:11" ht="14.5" x14ac:dyDescent="0.25">
      <c r="A40" s="10"/>
      <c r="B40" s="10"/>
      <c r="C40" s="10" t="s">
        <v>256</v>
      </c>
      <c r="D40" s="12"/>
      <c r="E40" s="11"/>
      <c r="F40" s="14">
        <v>1.45</v>
      </c>
      <c r="G40" s="15" t="s">
        <v>13</v>
      </c>
      <c r="H40" s="11">
        <v>1</v>
      </c>
      <c r="I40" s="14">
        <v>1.74</v>
      </c>
      <c r="J40" s="11">
        <v>57.05</v>
      </c>
      <c r="K40" s="14">
        <v>99.27</v>
      </c>
    </row>
    <row r="41" spans="1:11" ht="14.5" x14ac:dyDescent="0.25">
      <c r="A41" s="10"/>
      <c r="B41" s="10"/>
      <c r="C41" s="10" t="s">
        <v>260</v>
      </c>
      <c r="D41" s="12" t="s">
        <v>261</v>
      </c>
      <c r="E41" s="11">
        <v>90</v>
      </c>
      <c r="F41" s="14"/>
      <c r="G41" s="13"/>
      <c r="H41" s="11"/>
      <c r="I41" s="14">
        <v>1.57</v>
      </c>
      <c r="J41" s="11">
        <v>90</v>
      </c>
      <c r="K41" s="14">
        <v>89.34</v>
      </c>
    </row>
    <row r="42" spans="1:11" ht="14.5" x14ac:dyDescent="0.25">
      <c r="A42" s="10"/>
      <c r="B42" s="10"/>
      <c r="C42" s="10" t="s">
        <v>262</v>
      </c>
      <c r="D42" s="12" t="s">
        <v>261</v>
      </c>
      <c r="E42" s="11">
        <v>46</v>
      </c>
      <c r="F42" s="14"/>
      <c r="G42" s="13"/>
      <c r="H42" s="11"/>
      <c r="I42" s="14">
        <v>0.8</v>
      </c>
      <c r="J42" s="11">
        <v>46</v>
      </c>
      <c r="K42" s="14">
        <v>45.66</v>
      </c>
    </row>
    <row r="43" spans="1:11" ht="14.5" x14ac:dyDescent="0.25">
      <c r="A43" s="17"/>
      <c r="B43" s="17"/>
      <c r="C43" s="17" t="s">
        <v>263</v>
      </c>
      <c r="D43" s="18" t="s">
        <v>264</v>
      </c>
      <c r="E43" s="19">
        <v>0.13</v>
      </c>
      <c r="F43" s="20"/>
      <c r="G43" s="21" t="s">
        <v>13</v>
      </c>
      <c r="H43" s="19">
        <v>1</v>
      </c>
      <c r="I43" s="20">
        <v>0.16</v>
      </c>
      <c r="J43" s="19"/>
      <c r="K43" s="20"/>
    </row>
    <row r="44" spans="1:11" ht="14" x14ac:dyDescent="0.25">
      <c r="C44" s="22" t="s">
        <v>265</v>
      </c>
      <c r="H44" s="143">
        <v>4.1100000000000003</v>
      </c>
      <c r="I44" s="143"/>
      <c r="J44" s="143">
        <v>234.27</v>
      </c>
      <c r="K44" s="143"/>
    </row>
    <row r="45" spans="1:11" ht="14" x14ac:dyDescent="0.25">
      <c r="C45" s="22" t="s">
        <v>267</v>
      </c>
      <c r="H45" s="141">
        <v>4.1100000000000003</v>
      </c>
      <c r="I45" s="141"/>
      <c r="J45" s="141">
        <v>234.27</v>
      </c>
      <c r="K45" s="141"/>
    </row>
    <row r="47" spans="1:11" ht="68" x14ac:dyDescent="0.25">
      <c r="A47" s="17">
        <v>4</v>
      </c>
      <c r="B47" s="17" t="s">
        <v>409</v>
      </c>
      <c r="C47" s="17" t="s">
        <v>2020</v>
      </c>
      <c r="D47" s="18" t="s">
        <v>1610</v>
      </c>
      <c r="E47" s="19">
        <v>1</v>
      </c>
      <c r="F47" s="20">
        <v>4839.7299999999996</v>
      </c>
      <c r="G47" s="21" t="s">
        <v>1</v>
      </c>
      <c r="H47" s="19">
        <v>1</v>
      </c>
      <c r="I47" s="20">
        <v>4839.7299999999996</v>
      </c>
      <c r="J47" s="19">
        <v>7.54</v>
      </c>
      <c r="K47" s="20">
        <v>36491.56</v>
      </c>
    </row>
    <row r="48" spans="1:11" ht="14" x14ac:dyDescent="0.25">
      <c r="C48" s="22" t="s">
        <v>267</v>
      </c>
      <c r="H48" s="143">
        <v>4839.7299999999996</v>
      </c>
      <c r="I48" s="143"/>
      <c r="J48" s="143">
        <v>36491.56</v>
      </c>
      <c r="K48" s="143"/>
    </row>
    <row r="50" spans="1:11" ht="68" x14ac:dyDescent="0.25">
      <c r="A50" s="17">
        <v>5</v>
      </c>
      <c r="B50" s="17" t="s">
        <v>409</v>
      </c>
      <c r="C50" s="17" t="s">
        <v>2019</v>
      </c>
      <c r="D50" s="18" t="s">
        <v>11</v>
      </c>
      <c r="E50" s="19">
        <v>1</v>
      </c>
      <c r="F50" s="20">
        <v>494.16</v>
      </c>
      <c r="G50" s="21" t="s">
        <v>1</v>
      </c>
      <c r="H50" s="19">
        <v>1</v>
      </c>
      <c r="I50" s="20">
        <v>494.16</v>
      </c>
      <c r="J50" s="19">
        <v>7.54</v>
      </c>
      <c r="K50" s="20">
        <v>3725.97</v>
      </c>
    </row>
    <row r="51" spans="1:11" ht="14" x14ac:dyDescent="0.25">
      <c r="C51" s="22" t="s">
        <v>267</v>
      </c>
      <c r="H51" s="143">
        <v>494.16</v>
      </c>
      <c r="I51" s="143"/>
      <c r="J51" s="143">
        <v>3725.97</v>
      </c>
      <c r="K51" s="143"/>
    </row>
    <row r="53" spans="1:11" ht="68" x14ac:dyDescent="0.25">
      <c r="A53" s="17">
        <v>6</v>
      </c>
      <c r="B53" s="17" t="s">
        <v>409</v>
      </c>
      <c r="C53" s="17" t="s">
        <v>2013</v>
      </c>
      <c r="D53" s="18" t="s">
        <v>1610</v>
      </c>
      <c r="E53" s="19">
        <v>1</v>
      </c>
      <c r="F53" s="20">
        <v>93.43</v>
      </c>
      <c r="G53" s="21" t="s">
        <v>1</v>
      </c>
      <c r="H53" s="19">
        <v>1</v>
      </c>
      <c r="I53" s="20">
        <v>93.43</v>
      </c>
      <c r="J53" s="19">
        <v>7.54</v>
      </c>
      <c r="K53" s="20">
        <v>704.46</v>
      </c>
    </row>
    <row r="54" spans="1:11" ht="14" x14ac:dyDescent="0.25">
      <c r="C54" s="22" t="s">
        <v>267</v>
      </c>
      <c r="H54" s="143">
        <v>93.43</v>
      </c>
      <c r="I54" s="143"/>
      <c r="J54" s="143">
        <v>704.46</v>
      </c>
      <c r="K54" s="143"/>
    </row>
    <row r="56" spans="1:11" ht="79" x14ac:dyDescent="0.25">
      <c r="A56" s="10">
        <v>7</v>
      </c>
      <c r="B56" s="10" t="s">
        <v>1035</v>
      </c>
      <c r="C56" s="10" t="s">
        <v>1036</v>
      </c>
      <c r="D56" s="12" t="s">
        <v>24</v>
      </c>
      <c r="E56" s="11">
        <v>1</v>
      </c>
      <c r="F56" s="14"/>
      <c r="G56" s="13"/>
      <c r="H56" s="11"/>
      <c r="I56" s="14"/>
      <c r="J56" s="11"/>
      <c r="K56" s="14"/>
    </row>
    <row r="57" spans="1:11" ht="14.5" x14ac:dyDescent="0.25">
      <c r="A57" s="10"/>
      <c r="B57" s="10"/>
      <c r="C57" s="10" t="s">
        <v>256</v>
      </c>
      <c r="D57" s="12"/>
      <c r="E57" s="11"/>
      <c r="F57" s="14">
        <v>11.65</v>
      </c>
      <c r="G57" s="15" t="s">
        <v>13</v>
      </c>
      <c r="H57" s="11">
        <v>1</v>
      </c>
      <c r="I57" s="14">
        <v>13.98</v>
      </c>
      <c r="J57" s="11">
        <v>57.05</v>
      </c>
      <c r="K57" s="14">
        <v>797.56</v>
      </c>
    </row>
    <row r="58" spans="1:11" ht="14.5" x14ac:dyDescent="0.25">
      <c r="A58" s="10"/>
      <c r="B58" s="10"/>
      <c r="C58" s="10" t="s">
        <v>257</v>
      </c>
      <c r="D58" s="12"/>
      <c r="E58" s="11"/>
      <c r="F58" s="14">
        <v>0.5</v>
      </c>
      <c r="G58" s="15" t="s">
        <v>13</v>
      </c>
      <c r="H58" s="11">
        <v>1</v>
      </c>
      <c r="I58" s="14">
        <v>0.6</v>
      </c>
      <c r="J58" s="11">
        <v>17.399999999999999</v>
      </c>
      <c r="K58" s="14">
        <v>10.44</v>
      </c>
    </row>
    <row r="59" spans="1:11" ht="14.5" x14ac:dyDescent="0.25">
      <c r="A59" s="10"/>
      <c r="B59" s="10"/>
      <c r="C59" s="10" t="s">
        <v>258</v>
      </c>
      <c r="D59" s="12"/>
      <c r="E59" s="11"/>
      <c r="F59" s="14">
        <v>0.08</v>
      </c>
      <c r="G59" s="15" t="s">
        <v>13</v>
      </c>
      <c r="H59" s="11">
        <v>1</v>
      </c>
      <c r="I59" s="16">
        <v>0.1</v>
      </c>
      <c r="J59" s="11">
        <v>57.05</v>
      </c>
      <c r="K59" s="16">
        <v>5.71</v>
      </c>
    </row>
    <row r="60" spans="1:11" ht="14.5" x14ac:dyDescent="0.25">
      <c r="A60" s="10"/>
      <c r="B60" s="10"/>
      <c r="C60" s="10" t="s">
        <v>260</v>
      </c>
      <c r="D60" s="12" t="s">
        <v>261</v>
      </c>
      <c r="E60" s="11">
        <v>90</v>
      </c>
      <c r="F60" s="14"/>
      <c r="G60" s="13"/>
      <c r="H60" s="11"/>
      <c r="I60" s="14">
        <v>12.67</v>
      </c>
      <c r="J60" s="11">
        <v>90</v>
      </c>
      <c r="K60" s="14">
        <v>722.94</v>
      </c>
    </row>
    <row r="61" spans="1:11" ht="14.5" x14ac:dyDescent="0.25">
      <c r="A61" s="10"/>
      <c r="B61" s="10"/>
      <c r="C61" s="10" t="s">
        <v>262</v>
      </c>
      <c r="D61" s="12" t="s">
        <v>261</v>
      </c>
      <c r="E61" s="11">
        <v>46</v>
      </c>
      <c r="F61" s="14"/>
      <c r="G61" s="13"/>
      <c r="H61" s="11"/>
      <c r="I61" s="14">
        <v>6.48</v>
      </c>
      <c r="J61" s="11">
        <v>46</v>
      </c>
      <c r="K61" s="14">
        <v>369.5</v>
      </c>
    </row>
    <row r="62" spans="1:11" ht="14.5" x14ac:dyDescent="0.25">
      <c r="A62" s="17"/>
      <c r="B62" s="17"/>
      <c r="C62" s="17" t="s">
        <v>263</v>
      </c>
      <c r="D62" s="18" t="s">
        <v>264</v>
      </c>
      <c r="E62" s="19">
        <v>1.03</v>
      </c>
      <c r="F62" s="20"/>
      <c r="G62" s="21" t="s">
        <v>13</v>
      </c>
      <c r="H62" s="19">
        <v>1</v>
      </c>
      <c r="I62" s="20">
        <v>1.24</v>
      </c>
      <c r="J62" s="19"/>
      <c r="K62" s="20"/>
    </row>
    <row r="63" spans="1:11" ht="14" x14ac:dyDescent="0.25">
      <c r="C63" s="22" t="s">
        <v>265</v>
      </c>
      <c r="H63" s="143">
        <v>33.729999999999997</v>
      </c>
      <c r="I63" s="143"/>
      <c r="J63" s="143">
        <v>1900.44</v>
      </c>
      <c r="K63" s="143"/>
    </row>
    <row r="64" spans="1:11" ht="14" x14ac:dyDescent="0.25">
      <c r="C64" s="22" t="s">
        <v>267</v>
      </c>
      <c r="H64" s="141">
        <v>33.729999999999997</v>
      </c>
      <c r="I64" s="141"/>
      <c r="J64" s="141">
        <v>1900.44</v>
      </c>
      <c r="K64" s="141"/>
    </row>
    <row r="66" spans="1:11" ht="68" x14ac:dyDescent="0.25">
      <c r="A66" s="17">
        <v>8</v>
      </c>
      <c r="B66" s="17" t="s">
        <v>409</v>
      </c>
      <c r="C66" s="17" t="s">
        <v>2014</v>
      </c>
      <c r="D66" s="18" t="s">
        <v>11</v>
      </c>
      <c r="E66" s="19">
        <v>1</v>
      </c>
      <c r="F66" s="20">
        <v>1879.15</v>
      </c>
      <c r="G66" s="21" t="s">
        <v>1</v>
      </c>
      <c r="H66" s="19">
        <v>1</v>
      </c>
      <c r="I66" s="20">
        <v>1879.15</v>
      </c>
      <c r="J66" s="19">
        <v>7.54</v>
      </c>
      <c r="K66" s="20">
        <v>14168.79</v>
      </c>
    </row>
    <row r="67" spans="1:11" ht="14" x14ac:dyDescent="0.25">
      <c r="C67" s="22" t="s">
        <v>267</v>
      </c>
      <c r="H67" s="143">
        <v>1879.15</v>
      </c>
      <c r="I67" s="143"/>
      <c r="J67" s="143">
        <v>14168.79</v>
      </c>
      <c r="K67" s="143"/>
    </row>
    <row r="69" spans="1:11" ht="41" x14ac:dyDescent="0.25">
      <c r="A69" s="17">
        <v>9</v>
      </c>
      <c r="B69" s="17" t="s">
        <v>409</v>
      </c>
      <c r="C69" s="17" t="s">
        <v>2015</v>
      </c>
      <c r="D69" s="18" t="s">
        <v>11</v>
      </c>
      <c r="E69" s="19">
        <v>1</v>
      </c>
      <c r="F69" s="20">
        <v>17.25</v>
      </c>
      <c r="G69" s="21" t="s">
        <v>1</v>
      </c>
      <c r="H69" s="19">
        <v>1</v>
      </c>
      <c r="I69" s="20">
        <v>17.25</v>
      </c>
      <c r="J69" s="19">
        <v>10.18</v>
      </c>
      <c r="K69" s="20">
        <v>175.61</v>
      </c>
    </row>
    <row r="70" spans="1:11" ht="14" x14ac:dyDescent="0.25">
      <c r="C70" s="22" t="s">
        <v>267</v>
      </c>
      <c r="H70" s="143">
        <v>17.25</v>
      </c>
      <c r="I70" s="143"/>
      <c r="J70" s="143">
        <v>175.61</v>
      </c>
      <c r="K70" s="143"/>
    </row>
    <row r="72" spans="1:11" ht="41" x14ac:dyDescent="0.25">
      <c r="A72" s="17">
        <v>10</v>
      </c>
      <c r="B72" s="17" t="s">
        <v>409</v>
      </c>
      <c r="C72" s="17" t="s">
        <v>2016</v>
      </c>
      <c r="D72" s="18" t="s">
        <v>11</v>
      </c>
      <c r="E72" s="19">
        <v>1</v>
      </c>
      <c r="F72" s="20">
        <v>538.26</v>
      </c>
      <c r="G72" s="21" t="s">
        <v>1</v>
      </c>
      <c r="H72" s="19">
        <v>1</v>
      </c>
      <c r="I72" s="20">
        <v>538.26</v>
      </c>
      <c r="J72" s="19">
        <v>10.18</v>
      </c>
      <c r="K72" s="20">
        <v>5479.49</v>
      </c>
    </row>
    <row r="73" spans="1:11" ht="14" x14ac:dyDescent="0.25">
      <c r="C73" s="22" t="s">
        <v>267</v>
      </c>
      <c r="H73" s="143">
        <v>538.26</v>
      </c>
      <c r="I73" s="143"/>
      <c r="J73" s="143">
        <v>5479.49</v>
      </c>
      <c r="K73" s="143"/>
    </row>
    <row r="75" spans="1:11" ht="79" x14ac:dyDescent="0.25">
      <c r="A75" s="10">
        <v>11</v>
      </c>
      <c r="B75" s="10" t="s">
        <v>1574</v>
      </c>
      <c r="C75" s="10" t="s">
        <v>1575</v>
      </c>
      <c r="D75" s="12" t="s">
        <v>1609</v>
      </c>
      <c r="E75" s="11">
        <v>1</v>
      </c>
      <c r="F75" s="14"/>
      <c r="G75" s="13"/>
      <c r="H75" s="11"/>
      <c r="I75" s="14"/>
      <c r="J75" s="11"/>
      <c r="K75" s="14"/>
    </row>
    <row r="76" spans="1:11" ht="14.5" x14ac:dyDescent="0.25">
      <c r="A76" s="10"/>
      <c r="B76" s="10"/>
      <c r="C76" s="10" t="s">
        <v>256</v>
      </c>
      <c r="D76" s="12"/>
      <c r="E76" s="11"/>
      <c r="F76" s="14">
        <v>0.78</v>
      </c>
      <c r="G76" s="15" t="s">
        <v>13</v>
      </c>
      <c r="H76" s="11">
        <v>1</v>
      </c>
      <c r="I76" s="14">
        <v>0.94</v>
      </c>
      <c r="J76" s="11">
        <v>57.05</v>
      </c>
      <c r="K76" s="14">
        <v>53.63</v>
      </c>
    </row>
    <row r="77" spans="1:11" ht="14.5" x14ac:dyDescent="0.25">
      <c r="A77" s="10"/>
      <c r="B77" s="10"/>
      <c r="C77" s="10" t="s">
        <v>260</v>
      </c>
      <c r="D77" s="12" t="s">
        <v>261</v>
      </c>
      <c r="E77" s="11">
        <v>90</v>
      </c>
      <c r="F77" s="14"/>
      <c r="G77" s="13"/>
      <c r="H77" s="11"/>
      <c r="I77" s="14">
        <v>0.85</v>
      </c>
      <c r="J77" s="11">
        <v>90</v>
      </c>
      <c r="K77" s="14">
        <v>48.27</v>
      </c>
    </row>
    <row r="78" spans="1:11" ht="14.5" x14ac:dyDescent="0.25">
      <c r="A78" s="10"/>
      <c r="B78" s="10"/>
      <c r="C78" s="10" t="s">
        <v>262</v>
      </c>
      <c r="D78" s="12" t="s">
        <v>261</v>
      </c>
      <c r="E78" s="11">
        <v>46</v>
      </c>
      <c r="F78" s="14"/>
      <c r="G78" s="13"/>
      <c r="H78" s="11"/>
      <c r="I78" s="14">
        <v>0.43</v>
      </c>
      <c r="J78" s="11">
        <v>46</v>
      </c>
      <c r="K78" s="14">
        <v>24.67</v>
      </c>
    </row>
    <row r="79" spans="1:11" ht="14.5" x14ac:dyDescent="0.25">
      <c r="A79" s="17"/>
      <c r="B79" s="17"/>
      <c r="C79" s="17" t="s">
        <v>263</v>
      </c>
      <c r="D79" s="18" t="s">
        <v>264</v>
      </c>
      <c r="E79" s="19">
        <v>7.0000000000000007E-2</v>
      </c>
      <c r="F79" s="20"/>
      <c r="G79" s="21" t="s">
        <v>13</v>
      </c>
      <c r="H79" s="19">
        <v>1</v>
      </c>
      <c r="I79" s="20">
        <v>0.08</v>
      </c>
      <c r="J79" s="19"/>
      <c r="K79" s="20"/>
    </row>
    <row r="80" spans="1:11" ht="14" x14ac:dyDescent="0.25">
      <c r="C80" s="22" t="s">
        <v>265</v>
      </c>
      <c r="H80" s="143">
        <v>2.2200000000000002</v>
      </c>
      <c r="I80" s="143"/>
      <c r="J80" s="143">
        <v>126.57</v>
      </c>
      <c r="K80" s="143"/>
    </row>
    <row r="81" spans="1:11" ht="14" x14ac:dyDescent="0.25">
      <c r="C81" s="22" t="s">
        <v>267</v>
      </c>
      <c r="H81" s="141">
        <v>2.2200000000000002</v>
      </c>
      <c r="I81" s="141"/>
      <c r="J81" s="141">
        <v>126.57</v>
      </c>
      <c r="K81" s="141"/>
    </row>
    <row r="83" spans="1:11" ht="54" x14ac:dyDescent="0.25">
      <c r="A83" s="17">
        <v>12</v>
      </c>
      <c r="B83" s="17" t="s">
        <v>409</v>
      </c>
      <c r="C83" s="17" t="s">
        <v>1576</v>
      </c>
      <c r="D83" s="18" t="s">
        <v>11</v>
      </c>
      <c r="E83" s="19">
        <v>1</v>
      </c>
      <c r="F83" s="20">
        <v>315.68</v>
      </c>
      <c r="G83" s="21" t="s">
        <v>1</v>
      </c>
      <c r="H83" s="19">
        <v>1</v>
      </c>
      <c r="I83" s="20">
        <v>315.68</v>
      </c>
      <c r="J83" s="19">
        <v>10.18</v>
      </c>
      <c r="K83" s="20">
        <v>3213.62</v>
      </c>
    </row>
    <row r="84" spans="1:11" ht="14" x14ac:dyDescent="0.25">
      <c r="C84" s="22" t="s">
        <v>267</v>
      </c>
      <c r="H84" s="143">
        <v>315.68</v>
      </c>
      <c r="I84" s="143"/>
      <c r="J84" s="143">
        <v>3213.62</v>
      </c>
      <c r="K84" s="143"/>
    </row>
    <row r="86" spans="1:11" ht="54" x14ac:dyDescent="0.25">
      <c r="A86" s="17">
        <v>13</v>
      </c>
      <c r="B86" s="17" t="s">
        <v>409</v>
      </c>
      <c r="C86" s="17" t="s">
        <v>2018</v>
      </c>
      <c r="D86" s="18" t="s">
        <v>11</v>
      </c>
      <c r="E86" s="19">
        <v>1</v>
      </c>
      <c r="F86" s="20">
        <v>156.05000000000001</v>
      </c>
      <c r="G86" s="21" t="s">
        <v>1</v>
      </c>
      <c r="H86" s="19">
        <v>1</v>
      </c>
      <c r="I86" s="20">
        <v>156.05000000000001</v>
      </c>
      <c r="J86" s="19">
        <v>10.18</v>
      </c>
      <c r="K86" s="20">
        <v>1588.59</v>
      </c>
    </row>
    <row r="87" spans="1:11" ht="14" x14ac:dyDescent="0.25">
      <c r="C87" s="22" t="s">
        <v>267</v>
      </c>
      <c r="H87" s="143">
        <v>156.05000000000001</v>
      </c>
      <c r="I87" s="143"/>
      <c r="J87" s="143">
        <v>1588.59</v>
      </c>
      <c r="K87" s="143"/>
    </row>
    <row r="89" spans="1:11" ht="79" x14ac:dyDescent="0.25">
      <c r="A89" s="10">
        <v>14</v>
      </c>
      <c r="B89" s="10" t="s">
        <v>275</v>
      </c>
      <c r="C89" s="10" t="s">
        <v>46</v>
      </c>
      <c r="D89" s="12" t="s">
        <v>34</v>
      </c>
      <c r="E89" s="11">
        <v>0.01</v>
      </c>
      <c r="F89" s="14"/>
      <c r="G89" s="13"/>
      <c r="H89" s="11"/>
      <c r="I89" s="14"/>
      <c r="J89" s="11"/>
      <c r="K89" s="14"/>
    </row>
    <row r="90" spans="1:11" x14ac:dyDescent="0.25">
      <c r="C90" s="23" t="s">
        <v>591</v>
      </c>
    </row>
    <row r="91" spans="1:11" ht="14.5" x14ac:dyDescent="0.25">
      <c r="A91" s="10"/>
      <c r="B91" s="10"/>
      <c r="C91" s="10" t="s">
        <v>256</v>
      </c>
      <c r="D91" s="12"/>
      <c r="E91" s="11"/>
      <c r="F91" s="14">
        <v>1106.26</v>
      </c>
      <c r="G91" s="15" t="s">
        <v>13</v>
      </c>
      <c r="H91" s="11">
        <v>1</v>
      </c>
      <c r="I91" s="14">
        <v>13.28</v>
      </c>
      <c r="J91" s="11">
        <v>57.05</v>
      </c>
      <c r="K91" s="14">
        <v>757.62</v>
      </c>
    </row>
    <row r="92" spans="1:11" ht="14.5" x14ac:dyDescent="0.25">
      <c r="A92" s="10"/>
      <c r="B92" s="10"/>
      <c r="C92" s="10" t="s">
        <v>257</v>
      </c>
      <c r="D92" s="12"/>
      <c r="E92" s="11"/>
      <c r="F92" s="14">
        <v>52.1</v>
      </c>
      <c r="G92" s="15" t="s">
        <v>13</v>
      </c>
      <c r="H92" s="11">
        <v>1</v>
      </c>
      <c r="I92" s="14">
        <v>0.63</v>
      </c>
      <c r="J92" s="11">
        <v>16.899999999999999</v>
      </c>
      <c r="K92" s="14">
        <v>10.65</v>
      </c>
    </row>
    <row r="93" spans="1:11" ht="14.5" x14ac:dyDescent="0.25">
      <c r="A93" s="10"/>
      <c r="B93" s="10"/>
      <c r="C93" s="10" t="s">
        <v>258</v>
      </c>
      <c r="D93" s="12"/>
      <c r="E93" s="11"/>
      <c r="F93" s="14">
        <v>7.07</v>
      </c>
      <c r="G93" s="15" t="s">
        <v>13</v>
      </c>
      <c r="H93" s="11">
        <v>1</v>
      </c>
      <c r="I93" s="16">
        <v>0.08</v>
      </c>
      <c r="J93" s="11">
        <v>57.05</v>
      </c>
      <c r="K93" s="16">
        <v>4.5599999999999996</v>
      </c>
    </row>
    <row r="94" spans="1:11" ht="14.5" x14ac:dyDescent="0.25">
      <c r="A94" s="10"/>
      <c r="B94" s="10"/>
      <c r="C94" s="10" t="s">
        <v>259</v>
      </c>
      <c r="D94" s="12"/>
      <c r="E94" s="11"/>
      <c r="F94" s="14">
        <v>109.58</v>
      </c>
      <c r="G94" s="15" t="s">
        <v>1</v>
      </c>
      <c r="H94" s="11">
        <v>1</v>
      </c>
      <c r="I94" s="14">
        <v>1.1000000000000001</v>
      </c>
      <c r="J94" s="11">
        <v>3.05</v>
      </c>
      <c r="K94" s="14">
        <v>3.36</v>
      </c>
    </row>
    <row r="95" spans="1:11" ht="14.5" x14ac:dyDescent="0.25">
      <c r="A95" s="10"/>
      <c r="B95" s="10"/>
      <c r="C95" s="10" t="s">
        <v>260</v>
      </c>
      <c r="D95" s="12" t="s">
        <v>261</v>
      </c>
      <c r="E95" s="11">
        <v>97</v>
      </c>
      <c r="F95" s="14"/>
      <c r="G95" s="13"/>
      <c r="H95" s="11"/>
      <c r="I95" s="14">
        <v>12.96</v>
      </c>
      <c r="J95" s="11">
        <v>97</v>
      </c>
      <c r="K95" s="14">
        <v>739.31</v>
      </c>
    </row>
    <row r="96" spans="1:11" ht="14.5" x14ac:dyDescent="0.25">
      <c r="A96" s="10"/>
      <c r="B96" s="10"/>
      <c r="C96" s="10" t="s">
        <v>262</v>
      </c>
      <c r="D96" s="12" t="s">
        <v>261</v>
      </c>
      <c r="E96" s="11">
        <v>51</v>
      </c>
      <c r="F96" s="14"/>
      <c r="G96" s="13"/>
      <c r="H96" s="11"/>
      <c r="I96" s="14">
        <v>6.81</v>
      </c>
      <c r="J96" s="11">
        <v>51</v>
      </c>
      <c r="K96" s="14">
        <v>388.71</v>
      </c>
    </row>
    <row r="97" spans="1:11" ht="14.5" x14ac:dyDescent="0.25">
      <c r="A97" s="17"/>
      <c r="B97" s="17"/>
      <c r="C97" s="17" t="s">
        <v>263</v>
      </c>
      <c r="D97" s="18" t="s">
        <v>264</v>
      </c>
      <c r="E97" s="19">
        <v>84.74</v>
      </c>
      <c r="F97" s="20"/>
      <c r="G97" s="21" t="s">
        <v>13</v>
      </c>
      <c r="H97" s="19">
        <v>1</v>
      </c>
      <c r="I97" s="20">
        <v>1.02</v>
      </c>
      <c r="J97" s="19"/>
      <c r="K97" s="20"/>
    </row>
    <row r="98" spans="1:11" ht="14" x14ac:dyDescent="0.25">
      <c r="C98" s="22" t="s">
        <v>265</v>
      </c>
      <c r="H98" s="143">
        <v>34.78</v>
      </c>
      <c r="I98" s="143"/>
      <c r="J98" s="143">
        <v>1899.65</v>
      </c>
      <c r="K98" s="143"/>
    </row>
    <row r="99" spans="1:11" ht="14" x14ac:dyDescent="0.25">
      <c r="C99" s="22" t="s">
        <v>267</v>
      </c>
      <c r="H99" s="141">
        <v>34.78</v>
      </c>
      <c r="I99" s="141"/>
      <c r="J99" s="141">
        <v>1899.65</v>
      </c>
      <c r="K99" s="141"/>
    </row>
    <row r="101" spans="1:11" ht="68" x14ac:dyDescent="0.25">
      <c r="A101" s="17">
        <v>15</v>
      </c>
      <c r="B101" s="17" t="s">
        <v>409</v>
      </c>
      <c r="C101" s="17" t="s">
        <v>2017</v>
      </c>
      <c r="D101" s="18" t="s">
        <v>11</v>
      </c>
      <c r="E101" s="19">
        <v>1</v>
      </c>
      <c r="F101" s="20">
        <v>965.96</v>
      </c>
      <c r="G101" s="21" t="s">
        <v>1</v>
      </c>
      <c r="H101" s="19">
        <v>1</v>
      </c>
      <c r="I101" s="20">
        <v>965.96</v>
      </c>
      <c r="J101" s="19">
        <v>7.54</v>
      </c>
      <c r="K101" s="20">
        <v>7283.34</v>
      </c>
    </row>
    <row r="102" spans="1:11" ht="14" x14ac:dyDescent="0.25">
      <c r="C102" s="22" t="s">
        <v>267</v>
      </c>
      <c r="H102" s="143">
        <v>965.96</v>
      </c>
      <c r="I102" s="143"/>
      <c r="J102" s="143">
        <v>7283.34</v>
      </c>
      <c r="K102" s="143"/>
    </row>
    <row r="105" spans="1:11" ht="14" x14ac:dyDescent="0.3">
      <c r="A105" s="140" t="s">
        <v>1062</v>
      </c>
      <c r="B105" s="140"/>
      <c r="C105" s="140"/>
      <c r="D105" s="140"/>
      <c r="E105" s="140"/>
      <c r="F105" s="140"/>
      <c r="G105" s="140"/>
      <c r="H105" s="141">
        <v>30251.97</v>
      </c>
      <c r="I105" s="142"/>
      <c r="J105" s="141">
        <v>248008.65</v>
      </c>
      <c r="K105" s="142"/>
    </row>
    <row r="107" spans="1:11" ht="16.5" x14ac:dyDescent="0.25">
      <c r="A107" s="144" t="s">
        <v>1611</v>
      </c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</row>
    <row r="108" spans="1:11" ht="79" x14ac:dyDescent="0.25">
      <c r="A108" s="10">
        <v>16</v>
      </c>
      <c r="B108" s="10" t="s">
        <v>912</v>
      </c>
      <c r="C108" s="10" t="s">
        <v>913</v>
      </c>
      <c r="D108" s="12" t="s">
        <v>24</v>
      </c>
      <c r="E108" s="11">
        <v>1</v>
      </c>
      <c r="F108" s="14"/>
      <c r="G108" s="13"/>
      <c r="H108" s="11"/>
      <c r="I108" s="14"/>
      <c r="J108" s="11"/>
      <c r="K108" s="14"/>
    </row>
    <row r="109" spans="1:11" ht="14.5" x14ac:dyDescent="0.25">
      <c r="A109" s="10"/>
      <c r="B109" s="10"/>
      <c r="C109" s="10" t="s">
        <v>256</v>
      </c>
      <c r="D109" s="12"/>
      <c r="E109" s="11"/>
      <c r="F109" s="14">
        <v>40.17</v>
      </c>
      <c r="G109" s="15" t="s">
        <v>13</v>
      </c>
      <c r="H109" s="11">
        <v>1</v>
      </c>
      <c r="I109" s="14">
        <v>48.2</v>
      </c>
      <c r="J109" s="11">
        <v>57.05</v>
      </c>
      <c r="K109" s="14">
        <v>2749.81</v>
      </c>
    </row>
    <row r="110" spans="1:11" ht="14.5" x14ac:dyDescent="0.25">
      <c r="A110" s="10"/>
      <c r="B110" s="10"/>
      <c r="C110" s="10" t="s">
        <v>259</v>
      </c>
      <c r="D110" s="12"/>
      <c r="E110" s="11"/>
      <c r="F110" s="14">
        <v>2.34</v>
      </c>
      <c r="G110" s="15" t="s">
        <v>1</v>
      </c>
      <c r="H110" s="11">
        <v>1</v>
      </c>
      <c r="I110" s="14">
        <v>2.34</v>
      </c>
      <c r="J110" s="11">
        <v>9.91</v>
      </c>
      <c r="K110" s="14">
        <v>23.19</v>
      </c>
    </row>
    <row r="111" spans="1:11" ht="14.5" x14ac:dyDescent="0.25">
      <c r="A111" s="10"/>
      <c r="B111" s="10"/>
      <c r="C111" s="10" t="s">
        <v>260</v>
      </c>
      <c r="D111" s="12" t="s">
        <v>261</v>
      </c>
      <c r="E111" s="11">
        <v>90</v>
      </c>
      <c r="F111" s="14"/>
      <c r="G111" s="13"/>
      <c r="H111" s="11"/>
      <c r="I111" s="14">
        <v>43.38</v>
      </c>
      <c r="J111" s="11">
        <v>90</v>
      </c>
      <c r="K111" s="14">
        <v>2474.83</v>
      </c>
    </row>
    <row r="112" spans="1:11" ht="14.5" x14ac:dyDescent="0.25">
      <c r="A112" s="10"/>
      <c r="B112" s="10"/>
      <c r="C112" s="10" t="s">
        <v>262</v>
      </c>
      <c r="D112" s="12" t="s">
        <v>261</v>
      </c>
      <c r="E112" s="11">
        <v>46</v>
      </c>
      <c r="F112" s="14"/>
      <c r="G112" s="13"/>
      <c r="H112" s="11"/>
      <c r="I112" s="14">
        <v>22.17</v>
      </c>
      <c r="J112" s="11">
        <v>46</v>
      </c>
      <c r="K112" s="14">
        <v>1264.9100000000001</v>
      </c>
    </row>
    <row r="113" spans="1:11" ht="14.5" x14ac:dyDescent="0.25">
      <c r="A113" s="17"/>
      <c r="B113" s="17"/>
      <c r="C113" s="17" t="s">
        <v>263</v>
      </c>
      <c r="D113" s="18" t="s">
        <v>264</v>
      </c>
      <c r="E113" s="19">
        <v>3.18</v>
      </c>
      <c r="F113" s="20"/>
      <c r="G113" s="21" t="s">
        <v>13</v>
      </c>
      <c r="H113" s="19">
        <v>1</v>
      </c>
      <c r="I113" s="20">
        <v>3.82</v>
      </c>
      <c r="J113" s="19"/>
      <c r="K113" s="20"/>
    </row>
    <row r="114" spans="1:11" ht="14" x14ac:dyDescent="0.25">
      <c r="C114" s="22" t="s">
        <v>265</v>
      </c>
      <c r="H114" s="143">
        <v>116.09</v>
      </c>
      <c r="I114" s="143"/>
      <c r="J114" s="143">
        <v>6512.74</v>
      </c>
      <c r="K114" s="143"/>
    </row>
    <row r="115" spans="1:11" ht="14" x14ac:dyDescent="0.25">
      <c r="C115" s="22" t="s">
        <v>267</v>
      </c>
      <c r="H115" s="141">
        <v>116.09</v>
      </c>
      <c r="I115" s="141"/>
      <c r="J115" s="141">
        <v>6512.74</v>
      </c>
      <c r="K115" s="141"/>
    </row>
    <row r="117" spans="1:11" ht="124" x14ac:dyDescent="0.25">
      <c r="A117" s="38">
        <v>17</v>
      </c>
      <c r="B117" s="38" t="s">
        <v>409</v>
      </c>
      <c r="C117" s="38" t="s">
        <v>2021</v>
      </c>
      <c r="D117" s="39" t="s">
        <v>1610</v>
      </c>
      <c r="E117" s="40">
        <v>1</v>
      </c>
      <c r="F117" s="41">
        <v>7832.09</v>
      </c>
      <c r="G117" s="42" t="s">
        <v>1</v>
      </c>
      <c r="H117" s="40">
        <v>1</v>
      </c>
      <c r="I117" s="41">
        <v>7832.09</v>
      </c>
      <c r="J117" s="40">
        <v>7.54</v>
      </c>
      <c r="K117" s="41">
        <v>59053.96</v>
      </c>
    </row>
    <row r="118" spans="1:11" ht="14" x14ac:dyDescent="0.25">
      <c r="A118" s="43"/>
      <c r="B118" s="43"/>
      <c r="C118" s="44" t="s">
        <v>267</v>
      </c>
      <c r="D118" s="43"/>
      <c r="E118" s="43"/>
      <c r="F118" s="43"/>
      <c r="G118" s="43"/>
      <c r="H118" s="156">
        <v>7832.09</v>
      </c>
      <c r="I118" s="156"/>
      <c r="J118" s="156">
        <v>59053.96</v>
      </c>
      <c r="K118" s="156"/>
    </row>
    <row r="119" spans="1:11" x14ac:dyDescent="0.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</row>
    <row r="120" spans="1:11" ht="75.75" customHeight="1" x14ac:dyDescent="0.25">
      <c r="A120" s="38">
        <v>18</v>
      </c>
      <c r="B120" s="38" t="s">
        <v>409</v>
      </c>
      <c r="C120" s="38" t="s">
        <v>2022</v>
      </c>
      <c r="D120" s="39" t="s">
        <v>1610</v>
      </c>
      <c r="E120" s="40">
        <v>1</v>
      </c>
      <c r="F120" s="41">
        <v>3798.73</v>
      </c>
      <c r="G120" s="42" t="s">
        <v>1</v>
      </c>
      <c r="H120" s="40">
        <v>1</v>
      </c>
      <c r="I120" s="41">
        <v>3798.73</v>
      </c>
      <c r="J120" s="40">
        <v>7.54</v>
      </c>
      <c r="K120" s="41">
        <v>28642.42</v>
      </c>
    </row>
    <row r="121" spans="1:11" ht="14" x14ac:dyDescent="0.25">
      <c r="A121" s="43"/>
      <c r="B121" s="43"/>
      <c r="C121" s="44" t="s">
        <v>267</v>
      </c>
      <c r="D121" s="43"/>
      <c r="E121" s="43"/>
      <c r="F121" s="43"/>
      <c r="G121" s="43"/>
      <c r="H121" s="156">
        <v>3798.73</v>
      </c>
      <c r="I121" s="156"/>
      <c r="J121" s="156">
        <v>28642.42</v>
      </c>
      <c r="K121" s="156"/>
    </row>
    <row r="123" spans="1:11" ht="79" x14ac:dyDescent="0.25">
      <c r="A123" s="10">
        <v>19</v>
      </c>
      <c r="B123" s="10" t="s">
        <v>325</v>
      </c>
      <c r="C123" s="10" t="s">
        <v>223</v>
      </c>
      <c r="D123" s="12" t="s">
        <v>34</v>
      </c>
      <c r="E123" s="11">
        <v>0.02</v>
      </c>
      <c r="F123" s="14"/>
      <c r="G123" s="13"/>
      <c r="H123" s="11"/>
      <c r="I123" s="14"/>
      <c r="J123" s="11"/>
      <c r="K123" s="14"/>
    </row>
    <row r="124" spans="1:11" x14ac:dyDescent="0.25">
      <c r="C124" s="23" t="s">
        <v>371</v>
      </c>
    </row>
    <row r="125" spans="1:11" ht="14.5" x14ac:dyDescent="0.25">
      <c r="A125" s="10"/>
      <c r="B125" s="10"/>
      <c r="C125" s="10" t="s">
        <v>256</v>
      </c>
      <c r="D125" s="12"/>
      <c r="E125" s="11"/>
      <c r="F125" s="14">
        <v>257.88</v>
      </c>
      <c r="G125" s="15" t="s">
        <v>13</v>
      </c>
      <c r="H125" s="11">
        <v>1</v>
      </c>
      <c r="I125" s="14">
        <v>6.19</v>
      </c>
      <c r="J125" s="11">
        <v>57.05</v>
      </c>
      <c r="K125" s="14">
        <v>353.14</v>
      </c>
    </row>
    <row r="126" spans="1:11" ht="14.5" x14ac:dyDescent="0.25">
      <c r="A126" s="10"/>
      <c r="B126" s="10"/>
      <c r="C126" s="10" t="s">
        <v>257</v>
      </c>
      <c r="D126" s="12"/>
      <c r="E126" s="11"/>
      <c r="F126" s="14">
        <v>2.31</v>
      </c>
      <c r="G126" s="15" t="s">
        <v>13</v>
      </c>
      <c r="H126" s="11">
        <v>1</v>
      </c>
      <c r="I126" s="14">
        <v>0.06</v>
      </c>
      <c r="J126" s="11">
        <v>11.29</v>
      </c>
      <c r="K126" s="14">
        <v>0.68</v>
      </c>
    </row>
    <row r="127" spans="1:11" ht="14.5" x14ac:dyDescent="0.25">
      <c r="A127" s="10"/>
      <c r="B127" s="10"/>
      <c r="C127" s="10" t="s">
        <v>259</v>
      </c>
      <c r="D127" s="12"/>
      <c r="E127" s="11"/>
      <c r="F127" s="14">
        <v>195.11</v>
      </c>
      <c r="G127" s="15" t="s">
        <v>1</v>
      </c>
      <c r="H127" s="11">
        <v>1</v>
      </c>
      <c r="I127" s="14">
        <v>3.9</v>
      </c>
      <c r="J127" s="11">
        <v>3.72</v>
      </c>
      <c r="K127" s="14">
        <v>14.51</v>
      </c>
    </row>
    <row r="128" spans="1:11" ht="14.5" x14ac:dyDescent="0.25">
      <c r="A128" s="10"/>
      <c r="B128" s="10"/>
      <c r="C128" s="10" t="s">
        <v>260</v>
      </c>
      <c r="D128" s="12" t="s">
        <v>261</v>
      </c>
      <c r="E128" s="11">
        <v>97</v>
      </c>
      <c r="F128" s="14"/>
      <c r="G128" s="13"/>
      <c r="H128" s="11"/>
      <c r="I128" s="14">
        <v>6</v>
      </c>
      <c r="J128" s="11">
        <v>97</v>
      </c>
      <c r="K128" s="14">
        <v>342.55</v>
      </c>
    </row>
    <row r="129" spans="1:11" ht="14.5" x14ac:dyDescent="0.25">
      <c r="A129" s="10"/>
      <c r="B129" s="10"/>
      <c r="C129" s="10" t="s">
        <v>262</v>
      </c>
      <c r="D129" s="12" t="s">
        <v>261</v>
      </c>
      <c r="E129" s="11">
        <v>51</v>
      </c>
      <c r="F129" s="14"/>
      <c r="G129" s="13"/>
      <c r="H129" s="11"/>
      <c r="I129" s="14">
        <v>3.16</v>
      </c>
      <c r="J129" s="11">
        <v>51</v>
      </c>
      <c r="K129" s="14">
        <v>180.1</v>
      </c>
    </row>
    <row r="130" spans="1:11" ht="14.5" x14ac:dyDescent="0.25">
      <c r="A130" s="17"/>
      <c r="B130" s="17"/>
      <c r="C130" s="17" t="s">
        <v>263</v>
      </c>
      <c r="D130" s="18" t="s">
        <v>264</v>
      </c>
      <c r="E130" s="19">
        <v>23.07</v>
      </c>
      <c r="F130" s="20"/>
      <c r="G130" s="21" t="s">
        <v>13</v>
      </c>
      <c r="H130" s="19">
        <v>1</v>
      </c>
      <c r="I130" s="20">
        <v>0.55000000000000004</v>
      </c>
      <c r="J130" s="19"/>
      <c r="K130" s="20"/>
    </row>
    <row r="131" spans="1:11" ht="14" x14ac:dyDescent="0.25">
      <c r="C131" s="22" t="s">
        <v>265</v>
      </c>
      <c r="H131" s="143">
        <v>19.309999999999999</v>
      </c>
      <c r="I131" s="143"/>
      <c r="J131" s="143">
        <v>890.98</v>
      </c>
      <c r="K131" s="143"/>
    </row>
    <row r="132" spans="1:11" ht="14" x14ac:dyDescent="0.25">
      <c r="C132" s="22" t="s">
        <v>267</v>
      </c>
      <c r="H132" s="141">
        <v>19.309999999999999</v>
      </c>
      <c r="I132" s="141"/>
      <c r="J132" s="141">
        <v>890.98</v>
      </c>
      <c r="K132" s="141"/>
    </row>
    <row r="134" spans="1:11" ht="55" x14ac:dyDescent="0.25">
      <c r="A134" s="17">
        <v>20</v>
      </c>
      <c r="B134" s="17" t="s">
        <v>409</v>
      </c>
      <c r="C134" s="17" t="s">
        <v>2023</v>
      </c>
      <c r="D134" s="18" t="s">
        <v>11</v>
      </c>
      <c r="E134" s="19">
        <v>2</v>
      </c>
      <c r="F134" s="20">
        <v>137.15</v>
      </c>
      <c r="G134" s="21" t="s">
        <v>1</v>
      </c>
      <c r="H134" s="19">
        <v>1</v>
      </c>
      <c r="I134" s="20">
        <v>274.3</v>
      </c>
      <c r="J134" s="19">
        <v>10.18</v>
      </c>
      <c r="K134" s="20">
        <v>2792.37</v>
      </c>
    </row>
    <row r="135" spans="1:11" ht="14" x14ac:dyDescent="0.25">
      <c r="C135" s="22" t="s">
        <v>267</v>
      </c>
      <c r="H135" s="143">
        <v>274.3</v>
      </c>
      <c r="I135" s="143"/>
      <c r="J135" s="143">
        <v>2792.37</v>
      </c>
      <c r="K135" s="143"/>
    </row>
    <row r="138" spans="1:11" ht="14" x14ac:dyDescent="0.3">
      <c r="A138" s="140" t="s">
        <v>1612</v>
      </c>
      <c r="B138" s="140"/>
      <c r="C138" s="140"/>
      <c r="D138" s="140"/>
      <c r="E138" s="140"/>
      <c r="F138" s="140"/>
      <c r="G138" s="140"/>
      <c r="H138" s="141">
        <v>12040.52</v>
      </c>
      <c r="I138" s="142"/>
      <c r="J138" s="141">
        <v>97892.47</v>
      </c>
      <c r="K138" s="142"/>
    </row>
    <row r="140" spans="1:11" ht="16.5" x14ac:dyDescent="0.25">
      <c r="A140" s="144" t="s">
        <v>962</v>
      </c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</row>
    <row r="141" spans="1:11" ht="79" x14ac:dyDescent="0.25">
      <c r="A141" s="10">
        <v>21</v>
      </c>
      <c r="B141" s="10" t="s">
        <v>1035</v>
      </c>
      <c r="C141" s="10" t="s">
        <v>1036</v>
      </c>
      <c r="D141" s="12" t="s">
        <v>24</v>
      </c>
      <c r="E141" s="11">
        <v>10</v>
      </c>
      <c r="F141" s="14"/>
      <c r="G141" s="13"/>
      <c r="H141" s="11"/>
      <c r="I141" s="14"/>
      <c r="J141" s="11"/>
      <c r="K141" s="14"/>
    </row>
    <row r="142" spans="1:11" ht="14.5" x14ac:dyDescent="0.25">
      <c r="A142" s="10"/>
      <c r="B142" s="10"/>
      <c r="C142" s="10" t="s">
        <v>256</v>
      </c>
      <c r="D142" s="12"/>
      <c r="E142" s="11"/>
      <c r="F142" s="14">
        <v>11.65</v>
      </c>
      <c r="G142" s="15" t="s">
        <v>13</v>
      </c>
      <c r="H142" s="11">
        <v>1</v>
      </c>
      <c r="I142" s="14">
        <v>139.80000000000001</v>
      </c>
      <c r="J142" s="11">
        <v>57.05</v>
      </c>
      <c r="K142" s="14">
        <v>7975.59</v>
      </c>
    </row>
    <row r="143" spans="1:11" ht="14.5" x14ac:dyDescent="0.25">
      <c r="A143" s="10"/>
      <c r="B143" s="10"/>
      <c r="C143" s="10" t="s">
        <v>257</v>
      </c>
      <c r="D143" s="12"/>
      <c r="E143" s="11"/>
      <c r="F143" s="14">
        <v>0.5</v>
      </c>
      <c r="G143" s="15" t="s">
        <v>13</v>
      </c>
      <c r="H143" s="11">
        <v>1</v>
      </c>
      <c r="I143" s="14">
        <v>6</v>
      </c>
      <c r="J143" s="11">
        <v>17.399999999999999</v>
      </c>
      <c r="K143" s="14">
        <v>104.4</v>
      </c>
    </row>
    <row r="144" spans="1:11" ht="14.5" x14ac:dyDescent="0.25">
      <c r="A144" s="10"/>
      <c r="B144" s="10"/>
      <c r="C144" s="10" t="s">
        <v>258</v>
      </c>
      <c r="D144" s="12"/>
      <c r="E144" s="11"/>
      <c r="F144" s="14">
        <v>0.08</v>
      </c>
      <c r="G144" s="15" t="s">
        <v>13</v>
      </c>
      <c r="H144" s="11">
        <v>1</v>
      </c>
      <c r="I144" s="16">
        <v>0.96</v>
      </c>
      <c r="J144" s="11">
        <v>57.05</v>
      </c>
      <c r="K144" s="16">
        <v>54.77</v>
      </c>
    </row>
    <row r="145" spans="1:11" ht="14.5" x14ac:dyDescent="0.25">
      <c r="A145" s="10"/>
      <c r="B145" s="10"/>
      <c r="C145" s="10" t="s">
        <v>260</v>
      </c>
      <c r="D145" s="12" t="s">
        <v>261</v>
      </c>
      <c r="E145" s="11">
        <v>90</v>
      </c>
      <c r="F145" s="14"/>
      <c r="G145" s="13"/>
      <c r="H145" s="11"/>
      <c r="I145" s="14">
        <v>126.68</v>
      </c>
      <c r="J145" s="11">
        <v>90</v>
      </c>
      <c r="K145" s="14">
        <v>7227.32</v>
      </c>
    </row>
    <row r="146" spans="1:11" ht="14.5" x14ac:dyDescent="0.25">
      <c r="A146" s="10"/>
      <c r="B146" s="10"/>
      <c r="C146" s="10" t="s">
        <v>262</v>
      </c>
      <c r="D146" s="12" t="s">
        <v>261</v>
      </c>
      <c r="E146" s="11">
        <v>46</v>
      </c>
      <c r="F146" s="14"/>
      <c r="G146" s="13"/>
      <c r="H146" s="11"/>
      <c r="I146" s="14">
        <v>64.75</v>
      </c>
      <c r="J146" s="11">
        <v>46</v>
      </c>
      <c r="K146" s="14">
        <v>3693.97</v>
      </c>
    </row>
    <row r="147" spans="1:11" ht="14.5" x14ac:dyDescent="0.25">
      <c r="A147" s="17"/>
      <c r="B147" s="17"/>
      <c r="C147" s="17" t="s">
        <v>263</v>
      </c>
      <c r="D147" s="18" t="s">
        <v>264</v>
      </c>
      <c r="E147" s="19">
        <v>1.03</v>
      </c>
      <c r="F147" s="20"/>
      <c r="G147" s="21" t="s">
        <v>13</v>
      </c>
      <c r="H147" s="19">
        <v>1</v>
      </c>
      <c r="I147" s="20">
        <v>12.36</v>
      </c>
      <c r="J147" s="19"/>
      <c r="K147" s="20"/>
    </row>
    <row r="148" spans="1:11" ht="14" x14ac:dyDescent="0.25">
      <c r="C148" s="22" t="s">
        <v>265</v>
      </c>
      <c r="H148" s="143">
        <v>337.23</v>
      </c>
      <c r="I148" s="143"/>
      <c r="J148" s="143">
        <v>19001.28</v>
      </c>
      <c r="K148" s="143"/>
    </row>
    <row r="149" spans="1:11" ht="14" x14ac:dyDescent="0.25">
      <c r="C149" s="22" t="s">
        <v>267</v>
      </c>
      <c r="H149" s="141">
        <v>337.23</v>
      </c>
      <c r="I149" s="141"/>
      <c r="J149" s="141">
        <v>19001.28</v>
      </c>
      <c r="K149" s="141"/>
    </row>
    <row r="151" spans="1:11" ht="54" x14ac:dyDescent="0.25">
      <c r="A151" s="38">
        <v>22</v>
      </c>
      <c r="B151" s="38" t="s">
        <v>409</v>
      </c>
      <c r="C151" s="38" t="s">
        <v>2024</v>
      </c>
      <c r="D151" s="39" t="s">
        <v>11</v>
      </c>
      <c r="E151" s="40">
        <v>4</v>
      </c>
      <c r="F151" s="41">
        <v>1158.28</v>
      </c>
      <c r="G151" s="42" t="s">
        <v>1</v>
      </c>
      <c r="H151" s="40">
        <v>1</v>
      </c>
      <c r="I151" s="41">
        <v>4633.12</v>
      </c>
      <c r="J151" s="40">
        <v>7.54</v>
      </c>
      <c r="K151" s="41">
        <v>34933.72</v>
      </c>
    </row>
    <row r="152" spans="1:11" ht="14" x14ac:dyDescent="0.25">
      <c r="A152" s="43"/>
      <c r="B152" s="43"/>
      <c r="C152" s="44" t="s">
        <v>267</v>
      </c>
      <c r="D152" s="43"/>
      <c r="E152" s="43"/>
      <c r="F152" s="43"/>
      <c r="G152" s="43"/>
      <c r="H152" s="156">
        <v>4633.12</v>
      </c>
      <c r="I152" s="156"/>
      <c r="J152" s="156">
        <v>34933.72</v>
      </c>
      <c r="K152" s="156"/>
    </row>
    <row r="153" spans="1:11" x14ac:dyDescent="0.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</row>
    <row r="154" spans="1:11" ht="68" x14ac:dyDescent="0.25">
      <c r="A154" s="38">
        <v>23</v>
      </c>
      <c r="B154" s="38" t="s">
        <v>409</v>
      </c>
      <c r="C154" s="38" t="s">
        <v>2025</v>
      </c>
      <c r="D154" s="39" t="s">
        <v>11</v>
      </c>
      <c r="E154" s="40">
        <v>6</v>
      </c>
      <c r="F154" s="41">
        <v>66.61</v>
      </c>
      <c r="G154" s="42" t="s">
        <v>1</v>
      </c>
      <c r="H154" s="40">
        <v>1</v>
      </c>
      <c r="I154" s="41">
        <v>399.66</v>
      </c>
      <c r="J154" s="40">
        <v>7.54</v>
      </c>
      <c r="K154" s="41">
        <v>3013.44</v>
      </c>
    </row>
    <row r="155" spans="1:11" ht="14" x14ac:dyDescent="0.25">
      <c r="A155" s="43"/>
      <c r="B155" s="43"/>
      <c r="C155" s="44" t="s">
        <v>267</v>
      </c>
      <c r="D155" s="43"/>
      <c r="E155" s="43"/>
      <c r="F155" s="43"/>
      <c r="G155" s="43"/>
      <c r="H155" s="156">
        <v>399.66</v>
      </c>
      <c r="I155" s="156"/>
      <c r="J155" s="156">
        <v>3013.44</v>
      </c>
      <c r="K155" s="156"/>
    </row>
    <row r="157" spans="1:11" ht="79" x14ac:dyDescent="0.25">
      <c r="A157" s="10">
        <v>24</v>
      </c>
      <c r="B157" s="10" t="s">
        <v>1577</v>
      </c>
      <c r="C157" s="10" t="s">
        <v>1578</v>
      </c>
      <c r="D157" s="12" t="s">
        <v>24</v>
      </c>
      <c r="E157" s="11">
        <v>1</v>
      </c>
      <c r="F157" s="14"/>
      <c r="G157" s="13"/>
      <c r="H157" s="11"/>
      <c r="I157" s="14"/>
      <c r="J157" s="11"/>
      <c r="K157" s="14"/>
    </row>
    <row r="158" spans="1:11" ht="14.5" x14ac:dyDescent="0.25">
      <c r="A158" s="10"/>
      <c r="B158" s="10"/>
      <c r="C158" s="10" t="s">
        <v>256</v>
      </c>
      <c r="D158" s="12"/>
      <c r="E158" s="11"/>
      <c r="F158" s="14">
        <v>81.78</v>
      </c>
      <c r="G158" s="15" t="s">
        <v>13</v>
      </c>
      <c r="H158" s="11">
        <v>1</v>
      </c>
      <c r="I158" s="14">
        <v>98.14</v>
      </c>
      <c r="J158" s="11">
        <v>57.05</v>
      </c>
      <c r="K158" s="14">
        <v>5598.89</v>
      </c>
    </row>
    <row r="159" spans="1:11" ht="14.5" x14ac:dyDescent="0.25">
      <c r="A159" s="10"/>
      <c r="B159" s="10"/>
      <c r="C159" s="10" t="s">
        <v>257</v>
      </c>
      <c r="D159" s="12"/>
      <c r="E159" s="11"/>
      <c r="F159" s="14">
        <v>7.24</v>
      </c>
      <c r="G159" s="15" t="s">
        <v>13</v>
      </c>
      <c r="H159" s="11">
        <v>1</v>
      </c>
      <c r="I159" s="14">
        <v>8.69</v>
      </c>
      <c r="J159" s="11">
        <v>9.75</v>
      </c>
      <c r="K159" s="14">
        <v>84.73</v>
      </c>
    </row>
    <row r="160" spans="1:11" ht="14.5" x14ac:dyDescent="0.25">
      <c r="A160" s="10"/>
      <c r="B160" s="10"/>
      <c r="C160" s="10" t="s">
        <v>259</v>
      </c>
      <c r="D160" s="12"/>
      <c r="E160" s="11"/>
      <c r="F160" s="14">
        <v>5.24</v>
      </c>
      <c r="G160" s="15" t="s">
        <v>1</v>
      </c>
      <c r="H160" s="11">
        <v>1</v>
      </c>
      <c r="I160" s="14">
        <v>5.24</v>
      </c>
      <c r="J160" s="11">
        <v>15.06</v>
      </c>
      <c r="K160" s="14">
        <v>78.91</v>
      </c>
    </row>
    <row r="161" spans="1:11" ht="14.5" x14ac:dyDescent="0.25">
      <c r="A161" s="10"/>
      <c r="B161" s="10"/>
      <c r="C161" s="10" t="s">
        <v>260</v>
      </c>
      <c r="D161" s="12" t="s">
        <v>261</v>
      </c>
      <c r="E161" s="11">
        <v>90</v>
      </c>
      <c r="F161" s="14"/>
      <c r="G161" s="13"/>
      <c r="H161" s="11"/>
      <c r="I161" s="14">
        <v>88.33</v>
      </c>
      <c r="J161" s="11">
        <v>90</v>
      </c>
      <c r="K161" s="14">
        <v>5039</v>
      </c>
    </row>
    <row r="162" spans="1:11" ht="14.5" x14ac:dyDescent="0.25">
      <c r="A162" s="10"/>
      <c r="B162" s="10"/>
      <c r="C162" s="10" t="s">
        <v>262</v>
      </c>
      <c r="D162" s="12" t="s">
        <v>261</v>
      </c>
      <c r="E162" s="11">
        <v>46</v>
      </c>
      <c r="F162" s="14"/>
      <c r="G162" s="13"/>
      <c r="H162" s="11"/>
      <c r="I162" s="14">
        <v>45.14</v>
      </c>
      <c r="J162" s="11">
        <v>46</v>
      </c>
      <c r="K162" s="14">
        <v>2575.4899999999998</v>
      </c>
    </row>
    <row r="163" spans="1:11" ht="14.5" x14ac:dyDescent="0.25">
      <c r="A163" s="17"/>
      <c r="B163" s="17"/>
      <c r="C163" s="17" t="s">
        <v>263</v>
      </c>
      <c r="D163" s="18" t="s">
        <v>264</v>
      </c>
      <c r="E163" s="19">
        <v>4.2</v>
      </c>
      <c r="F163" s="20"/>
      <c r="G163" s="21" t="s">
        <v>13</v>
      </c>
      <c r="H163" s="19">
        <v>1</v>
      </c>
      <c r="I163" s="20">
        <v>5.04</v>
      </c>
      <c r="J163" s="19"/>
      <c r="K163" s="20"/>
    </row>
    <row r="164" spans="1:11" ht="14" x14ac:dyDescent="0.25">
      <c r="C164" s="22" t="s">
        <v>265</v>
      </c>
      <c r="H164" s="143">
        <v>245.54</v>
      </c>
      <c r="I164" s="143"/>
      <c r="J164" s="143">
        <v>13377.02</v>
      </c>
      <c r="K164" s="143"/>
    </row>
    <row r="165" spans="1:11" ht="14" x14ac:dyDescent="0.25">
      <c r="C165" s="22" t="s">
        <v>267</v>
      </c>
      <c r="H165" s="141">
        <v>245.54</v>
      </c>
      <c r="I165" s="141"/>
      <c r="J165" s="141">
        <v>13377.02</v>
      </c>
      <c r="K165" s="141"/>
    </row>
    <row r="167" spans="1:11" ht="68" x14ac:dyDescent="0.25">
      <c r="A167" s="38">
        <v>25</v>
      </c>
      <c r="B167" s="38" t="s">
        <v>409</v>
      </c>
      <c r="C167" s="38" t="s">
        <v>2026</v>
      </c>
      <c r="D167" s="39" t="s">
        <v>1610</v>
      </c>
      <c r="E167" s="40">
        <v>1</v>
      </c>
      <c r="F167" s="41">
        <v>1523.29</v>
      </c>
      <c r="G167" s="42" t="s">
        <v>1</v>
      </c>
      <c r="H167" s="40">
        <v>1</v>
      </c>
      <c r="I167" s="41">
        <v>1523.29</v>
      </c>
      <c r="J167" s="40">
        <v>7.54</v>
      </c>
      <c r="K167" s="41">
        <v>11485.61</v>
      </c>
    </row>
    <row r="168" spans="1:11" ht="14" x14ac:dyDescent="0.25">
      <c r="A168" s="43"/>
      <c r="B168" s="43"/>
      <c r="C168" s="44" t="s">
        <v>267</v>
      </c>
      <c r="D168" s="43"/>
      <c r="E168" s="43"/>
      <c r="F168" s="43"/>
      <c r="G168" s="43"/>
      <c r="H168" s="156">
        <v>1523.29</v>
      </c>
      <c r="I168" s="156"/>
      <c r="J168" s="156">
        <v>11485.61</v>
      </c>
      <c r="K168" s="156"/>
    </row>
    <row r="170" spans="1:11" ht="79" x14ac:dyDescent="0.25">
      <c r="A170" s="10">
        <v>26</v>
      </c>
      <c r="B170" s="10" t="s">
        <v>1574</v>
      </c>
      <c r="C170" s="10" t="s">
        <v>1575</v>
      </c>
      <c r="D170" s="12" t="s">
        <v>1609</v>
      </c>
      <c r="E170" s="11">
        <v>1</v>
      </c>
      <c r="F170" s="14"/>
      <c r="G170" s="13"/>
      <c r="H170" s="11"/>
      <c r="I170" s="14"/>
      <c r="J170" s="11"/>
      <c r="K170" s="14"/>
    </row>
    <row r="171" spans="1:11" ht="14.5" x14ac:dyDescent="0.25">
      <c r="A171" s="10"/>
      <c r="B171" s="10"/>
      <c r="C171" s="10" t="s">
        <v>256</v>
      </c>
      <c r="D171" s="12"/>
      <c r="E171" s="11"/>
      <c r="F171" s="14">
        <v>0.78</v>
      </c>
      <c r="G171" s="15" t="s">
        <v>13</v>
      </c>
      <c r="H171" s="11">
        <v>1</v>
      </c>
      <c r="I171" s="14">
        <v>0.94</v>
      </c>
      <c r="J171" s="11">
        <v>57.05</v>
      </c>
      <c r="K171" s="14">
        <v>53.63</v>
      </c>
    </row>
    <row r="172" spans="1:11" ht="14.5" x14ac:dyDescent="0.25">
      <c r="A172" s="10"/>
      <c r="B172" s="10"/>
      <c r="C172" s="10" t="s">
        <v>260</v>
      </c>
      <c r="D172" s="12" t="s">
        <v>261</v>
      </c>
      <c r="E172" s="11">
        <v>90</v>
      </c>
      <c r="F172" s="14"/>
      <c r="G172" s="13"/>
      <c r="H172" s="11"/>
      <c r="I172" s="14">
        <v>0.85</v>
      </c>
      <c r="J172" s="11">
        <v>90</v>
      </c>
      <c r="K172" s="14">
        <v>48.27</v>
      </c>
    </row>
    <row r="173" spans="1:11" ht="14.5" x14ac:dyDescent="0.25">
      <c r="A173" s="10"/>
      <c r="B173" s="10"/>
      <c r="C173" s="10" t="s">
        <v>262</v>
      </c>
      <c r="D173" s="12" t="s">
        <v>261</v>
      </c>
      <c r="E173" s="11">
        <v>46</v>
      </c>
      <c r="F173" s="14"/>
      <c r="G173" s="13"/>
      <c r="H173" s="11"/>
      <c r="I173" s="14">
        <v>0.43</v>
      </c>
      <c r="J173" s="11">
        <v>46</v>
      </c>
      <c r="K173" s="14">
        <v>24.67</v>
      </c>
    </row>
    <row r="174" spans="1:11" ht="14.5" x14ac:dyDescent="0.25">
      <c r="A174" s="17"/>
      <c r="B174" s="17"/>
      <c r="C174" s="17" t="s">
        <v>263</v>
      </c>
      <c r="D174" s="18" t="s">
        <v>264</v>
      </c>
      <c r="E174" s="19">
        <v>7.0000000000000007E-2</v>
      </c>
      <c r="F174" s="20"/>
      <c r="G174" s="21" t="s">
        <v>13</v>
      </c>
      <c r="H174" s="19">
        <v>1</v>
      </c>
      <c r="I174" s="20">
        <v>0.08</v>
      </c>
      <c r="J174" s="19"/>
      <c r="K174" s="20"/>
    </row>
    <row r="175" spans="1:11" ht="14" x14ac:dyDescent="0.25">
      <c r="C175" s="22" t="s">
        <v>265</v>
      </c>
      <c r="H175" s="143">
        <v>2.2200000000000002</v>
      </c>
      <c r="I175" s="143"/>
      <c r="J175" s="143">
        <v>126.57</v>
      </c>
      <c r="K175" s="143"/>
    </row>
    <row r="176" spans="1:11" ht="14" x14ac:dyDescent="0.25">
      <c r="C176" s="22" t="s">
        <v>267</v>
      </c>
      <c r="H176" s="141">
        <v>2.2200000000000002</v>
      </c>
      <c r="I176" s="141"/>
      <c r="J176" s="141">
        <v>126.57</v>
      </c>
      <c r="K176" s="141"/>
    </row>
    <row r="178" spans="1:11" ht="41" x14ac:dyDescent="0.25">
      <c r="A178" s="38">
        <v>27</v>
      </c>
      <c r="B178" s="38" t="s">
        <v>409</v>
      </c>
      <c r="C178" s="38" t="s">
        <v>2027</v>
      </c>
      <c r="D178" s="39" t="s">
        <v>1610</v>
      </c>
      <c r="E178" s="40">
        <v>1</v>
      </c>
      <c r="F178" s="41">
        <v>46.16</v>
      </c>
      <c r="G178" s="42" t="s">
        <v>1</v>
      </c>
      <c r="H178" s="40">
        <v>1</v>
      </c>
      <c r="I178" s="41">
        <v>46.16</v>
      </c>
      <c r="J178" s="40">
        <v>10.18</v>
      </c>
      <c r="K178" s="41">
        <v>469.91</v>
      </c>
    </row>
    <row r="179" spans="1:11" ht="14" x14ac:dyDescent="0.25">
      <c r="A179" s="43"/>
      <c r="B179" s="43"/>
      <c r="C179" s="44" t="s">
        <v>267</v>
      </c>
      <c r="D179" s="43"/>
      <c r="E179" s="43"/>
      <c r="F179" s="43"/>
      <c r="G179" s="43"/>
      <c r="H179" s="156">
        <v>46.16</v>
      </c>
      <c r="I179" s="156"/>
      <c r="J179" s="156">
        <v>469.91</v>
      </c>
      <c r="K179" s="156"/>
    </row>
    <row r="181" spans="1:11" ht="79" x14ac:dyDescent="0.25">
      <c r="A181" s="10">
        <v>28</v>
      </c>
      <c r="B181" s="10" t="s">
        <v>1037</v>
      </c>
      <c r="C181" s="10" t="s">
        <v>1038</v>
      </c>
      <c r="D181" s="12" t="s">
        <v>34</v>
      </c>
      <c r="E181" s="11">
        <v>0.76</v>
      </c>
      <c r="F181" s="14"/>
      <c r="G181" s="13"/>
      <c r="H181" s="11"/>
      <c r="I181" s="14"/>
      <c r="J181" s="11"/>
      <c r="K181" s="14"/>
    </row>
    <row r="182" spans="1:11" x14ac:dyDescent="0.25">
      <c r="C182" s="23" t="s">
        <v>1613</v>
      </c>
    </row>
    <row r="183" spans="1:11" ht="14.5" x14ac:dyDescent="0.25">
      <c r="A183" s="10"/>
      <c r="B183" s="10"/>
      <c r="C183" s="10" t="s">
        <v>256</v>
      </c>
      <c r="D183" s="12"/>
      <c r="E183" s="11"/>
      <c r="F183" s="14">
        <v>210.57</v>
      </c>
      <c r="G183" s="15" t="s">
        <v>13</v>
      </c>
      <c r="H183" s="11">
        <v>1</v>
      </c>
      <c r="I183" s="14">
        <v>192.04</v>
      </c>
      <c r="J183" s="11">
        <v>57.05</v>
      </c>
      <c r="K183" s="14">
        <v>10955.88</v>
      </c>
    </row>
    <row r="184" spans="1:11" ht="14.5" x14ac:dyDescent="0.25">
      <c r="A184" s="10"/>
      <c r="B184" s="10"/>
      <c r="C184" s="10" t="s">
        <v>257</v>
      </c>
      <c r="D184" s="12"/>
      <c r="E184" s="11"/>
      <c r="F184" s="14">
        <v>0.83</v>
      </c>
      <c r="G184" s="15" t="s">
        <v>13</v>
      </c>
      <c r="H184" s="11">
        <v>1</v>
      </c>
      <c r="I184" s="14">
        <v>0.76</v>
      </c>
      <c r="J184" s="11">
        <v>17.47</v>
      </c>
      <c r="K184" s="14">
        <v>13.28</v>
      </c>
    </row>
    <row r="185" spans="1:11" ht="14.5" x14ac:dyDescent="0.25">
      <c r="A185" s="10"/>
      <c r="B185" s="10"/>
      <c r="C185" s="10" t="s">
        <v>258</v>
      </c>
      <c r="D185" s="12"/>
      <c r="E185" s="11"/>
      <c r="F185" s="14">
        <v>0.13</v>
      </c>
      <c r="G185" s="15" t="s">
        <v>13</v>
      </c>
      <c r="H185" s="11">
        <v>1</v>
      </c>
      <c r="I185" s="16">
        <v>0.12</v>
      </c>
      <c r="J185" s="11">
        <v>57.05</v>
      </c>
      <c r="K185" s="16">
        <v>6.85</v>
      </c>
    </row>
    <row r="186" spans="1:11" ht="14.5" x14ac:dyDescent="0.25">
      <c r="A186" s="10"/>
      <c r="B186" s="10"/>
      <c r="C186" s="10" t="s">
        <v>260</v>
      </c>
      <c r="D186" s="12" t="s">
        <v>261</v>
      </c>
      <c r="E186" s="11">
        <v>97</v>
      </c>
      <c r="F186" s="14"/>
      <c r="G186" s="13"/>
      <c r="H186" s="11"/>
      <c r="I186" s="14">
        <v>186.4</v>
      </c>
      <c r="J186" s="11">
        <v>97</v>
      </c>
      <c r="K186" s="14">
        <v>10633.85</v>
      </c>
    </row>
    <row r="187" spans="1:11" ht="14.5" x14ac:dyDescent="0.25">
      <c r="A187" s="10"/>
      <c r="B187" s="10"/>
      <c r="C187" s="10" t="s">
        <v>262</v>
      </c>
      <c r="D187" s="12" t="s">
        <v>261</v>
      </c>
      <c r="E187" s="11">
        <v>51</v>
      </c>
      <c r="F187" s="14"/>
      <c r="G187" s="13"/>
      <c r="H187" s="11"/>
      <c r="I187" s="14">
        <v>98</v>
      </c>
      <c r="J187" s="11">
        <v>51</v>
      </c>
      <c r="K187" s="14">
        <v>5590.99</v>
      </c>
    </row>
    <row r="188" spans="1:11" ht="14.5" x14ac:dyDescent="0.25">
      <c r="A188" s="17"/>
      <c r="B188" s="17"/>
      <c r="C188" s="17" t="s">
        <v>263</v>
      </c>
      <c r="D188" s="18" t="s">
        <v>264</v>
      </c>
      <c r="E188" s="19">
        <v>18.84</v>
      </c>
      <c r="F188" s="20"/>
      <c r="G188" s="21" t="s">
        <v>13</v>
      </c>
      <c r="H188" s="19">
        <v>1</v>
      </c>
      <c r="I188" s="20">
        <v>17.18</v>
      </c>
      <c r="J188" s="19"/>
      <c r="K188" s="20"/>
    </row>
    <row r="189" spans="1:11" ht="14" x14ac:dyDescent="0.25">
      <c r="C189" s="22" t="s">
        <v>265</v>
      </c>
      <c r="H189" s="143">
        <v>477.2</v>
      </c>
      <c r="I189" s="143"/>
      <c r="J189" s="143">
        <v>27194</v>
      </c>
      <c r="K189" s="143"/>
    </row>
    <row r="190" spans="1:11" ht="14" x14ac:dyDescent="0.25">
      <c r="C190" s="22" t="s">
        <v>267</v>
      </c>
      <c r="H190" s="141">
        <v>477.2</v>
      </c>
      <c r="I190" s="141"/>
      <c r="J190" s="141">
        <v>27194</v>
      </c>
      <c r="K190" s="141"/>
    </row>
    <row r="192" spans="1:11" ht="27" x14ac:dyDescent="0.25">
      <c r="A192" s="38">
        <v>29</v>
      </c>
      <c r="B192" s="38" t="s">
        <v>409</v>
      </c>
      <c r="C192" s="38" t="s">
        <v>2028</v>
      </c>
      <c r="D192" s="39" t="s">
        <v>11</v>
      </c>
      <c r="E192" s="40">
        <v>22</v>
      </c>
      <c r="F192" s="41">
        <v>37.68</v>
      </c>
      <c r="G192" s="42" t="s">
        <v>1</v>
      </c>
      <c r="H192" s="40">
        <v>1</v>
      </c>
      <c r="I192" s="41">
        <v>828.96</v>
      </c>
      <c r="J192" s="40">
        <v>10.18</v>
      </c>
      <c r="K192" s="41">
        <v>8438.81</v>
      </c>
    </row>
    <row r="193" spans="1:11" ht="14" x14ac:dyDescent="0.25">
      <c r="A193" s="43"/>
      <c r="B193" s="43"/>
      <c r="C193" s="44" t="s">
        <v>267</v>
      </c>
      <c r="D193" s="43"/>
      <c r="E193" s="43"/>
      <c r="F193" s="43"/>
      <c r="G193" s="43"/>
      <c r="H193" s="156">
        <v>828.96</v>
      </c>
      <c r="I193" s="156"/>
      <c r="J193" s="156">
        <v>8438.81</v>
      </c>
      <c r="K193" s="156"/>
    </row>
    <row r="194" spans="1:11" x14ac:dyDescent="0.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</row>
    <row r="195" spans="1:11" ht="27" x14ac:dyDescent="0.25">
      <c r="A195" s="38">
        <v>30</v>
      </c>
      <c r="B195" s="38" t="s">
        <v>409</v>
      </c>
      <c r="C195" s="38" t="s">
        <v>2029</v>
      </c>
      <c r="D195" s="39" t="s">
        <v>11</v>
      </c>
      <c r="E195" s="40">
        <v>54</v>
      </c>
      <c r="F195" s="41">
        <v>77.52</v>
      </c>
      <c r="G195" s="42" t="s">
        <v>1</v>
      </c>
      <c r="H195" s="40">
        <v>1</v>
      </c>
      <c r="I195" s="41">
        <v>4186.08</v>
      </c>
      <c r="J195" s="40">
        <v>10.18</v>
      </c>
      <c r="K195" s="41">
        <v>42614.29</v>
      </c>
    </row>
    <row r="196" spans="1:11" ht="14" x14ac:dyDescent="0.25">
      <c r="A196" s="43"/>
      <c r="B196" s="43"/>
      <c r="C196" s="44" t="s">
        <v>267</v>
      </c>
      <c r="D196" s="43"/>
      <c r="E196" s="43"/>
      <c r="F196" s="43"/>
      <c r="G196" s="43"/>
      <c r="H196" s="156">
        <v>4186.08</v>
      </c>
      <c r="I196" s="156"/>
      <c r="J196" s="156">
        <v>42614.29</v>
      </c>
      <c r="K196" s="156"/>
    </row>
    <row r="198" spans="1:11" ht="79" x14ac:dyDescent="0.25">
      <c r="A198" s="10">
        <v>31</v>
      </c>
      <c r="B198" s="10" t="s">
        <v>1579</v>
      </c>
      <c r="C198" s="10" t="s">
        <v>1580</v>
      </c>
      <c r="D198" s="12" t="s">
        <v>34</v>
      </c>
      <c r="E198" s="11">
        <v>1.3</v>
      </c>
      <c r="F198" s="14"/>
      <c r="G198" s="13"/>
      <c r="H198" s="11"/>
      <c r="I198" s="14"/>
      <c r="J198" s="11"/>
      <c r="K198" s="14"/>
    </row>
    <row r="199" spans="1:11" x14ac:dyDescent="0.25">
      <c r="C199" s="23" t="s">
        <v>1614</v>
      </c>
    </row>
    <row r="200" spans="1:11" ht="14.5" x14ac:dyDescent="0.25">
      <c r="A200" s="10"/>
      <c r="B200" s="10"/>
      <c r="C200" s="10" t="s">
        <v>256</v>
      </c>
      <c r="D200" s="12"/>
      <c r="E200" s="11"/>
      <c r="F200" s="14">
        <v>343.81</v>
      </c>
      <c r="G200" s="15" t="s">
        <v>13</v>
      </c>
      <c r="H200" s="11">
        <v>1</v>
      </c>
      <c r="I200" s="14">
        <v>536.34</v>
      </c>
      <c r="J200" s="11">
        <v>57.05</v>
      </c>
      <c r="K200" s="14">
        <v>30598.2</v>
      </c>
    </row>
    <row r="201" spans="1:11" ht="14.5" x14ac:dyDescent="0.25">
      <c r="A201" s="10"/>
      <c r="B201" s="10"/>
      <c r="C201" s="10" t="s">
        <v>257</v>
      </c>
      <c r="D201" s="12"/>
      <c r="E201" s="11"/>
      <c r="F201" s="14">
        <v>15.17</v>
      </c>
      <c r="G201" s="15" t="s">
        <v>13</v>
      </c>
      <c r="H201" s="11">
        <v>1</v>
      </c>
      <c r="I201" s="14">
        <v>23.67</v>
      </c>
      <c r="J201" s="11">
        <v>8.36</v>
      </c>
      <c r="K201" s="14">
        <v>197.88</v>
      </c>
    </row>
    <row r="202" spans="1:11" ht="14.5" x14ac:dyDescent="0.25">
      <c r="A202" s="10"/>
      <c r="B202" s="10"/>
      <c r="C202" s="10" t="s">
        <v>258</v>
      </c>
      <c r="D202" s="12"/>
      <c r="E202" s="11"/>
      <c r="F202" s="14">
        <v>0.13</v>
      </c>
      <c r="G202" s="15" t="s">
        <v>13</v>
      </c>
      <c r="H202" s="11">
        <v>1</v>
      </c>
      <c r="I202" s="16">
        <v>0.2</v>
      </c>
      <c r="J202" s="11">
        <v>57.05</v>
      </c>
      <c r="K202" s="16">
        <v>11.41</v>
      </c>
    </row>
    <row r="203" spans="1:11" ht="14.5" x14ac:dyDescent="0.25">
      <c r="A203" s="10"/>
      <c r="B203" s="10"/>
      <c r="C203" s="10" t="s">
        <v>259</v>
      </c>
      <c r="D203" s="12"/>
      <c r="E203" s="11"/>
      <c r="F203" s="14">
        <v>1533.97</v>
      </c>
      <c r="G203" s="15" t="s">
        <v>1</v>
      </c>
      <c r="H203" s="11">
        <v>1</v>
      </c>
      <c r="I203" s="14">
        <v>1994.16</v>
      </c>
      <c r="J203" s="11">
        <v>2.79</v>
      </c>
      <c r="K203" s="14">
        <v>5563.71</v>
      </c>
    </row>
    <row r="204" spans="1:11" ht="56" x14ac:dyDescent="0.25">
      <c r="A204" s="10" t="s">
        <v>754</v>
      </c>
      <c r="B204" s="10" t="s">
        <v>1615</v>
      </c>
      <c r="C204" s="10" t="s">
        <v>1581</v>
      </c>
      <c r="D204" s="12" t="s">
        <v>88</v>
      </c>
      <c r="E204" s="11">
        <v>0.1326</v>
      </c>
      <c r="F204" s="14">
        <v>3906.65</v>
      </c>
      <c r="G204" s="15" t="s">
        <v>1</v>
      </c>
      <c r="H204" s="11">
        <v>1</v>
      </c>
      <c r="I204" s="14">
        <v>518.02</v>
      </c>
      <c r="J204" s="11">
        <v>14.58</v>
      </c>
      <c r="K204" s="14">
        <v>7552.73</v>
      </c>
    </row>
    <row r="205" spans="1:11" ht="14.5" x14ac:dyDescent="0.25">
      <c r="A205" s="10"/>
      <c r="B205" s="10"/>
      <c r="C205" s="10" t="s">
        <v>260</v>
      </c>
      <c r="D205" s="12" t="s">
        <v>261</v>
      </c>
      <c r="E205" s="11">
        <v>97</v>
      </c>
      <c r="F205" s="14"/>
      <c r="G205" s="13"/>
      <c r="H205" s="11"/>
      <c r="I205" s="14">
        <v>520.44000000000005</v>
      </c>
      <c r="J205" s="11">
        <v>97</v>
      </c>
      <c r="K205" s="14">
        <v>29691.32</v>
      </c>
    </row>
    <row r="206" spans="1:11" ht="14.5" x14ac:dyDescent="0.25">
      <c r="A206" s="10"/>
      <c r="B206" s="10"/>
      <c r="C206" s="10" t="s">
        <v>262</v>
      </c>
      <c r="D206" s="12" t="s">
        <v>261</v>
      </c>
      <c r="E206" s="11">
        <v>51</v>
      </c>
      <c r="F206" s="14"/>
      <c r="G206" s="13"/>
      <c r="H206" s="11"/>
      <c r="I206" s="14">
        <v>273.64</v>
      </c>
      <c r="J206" s="11">
        <v>51</v>
      </c>
      <c r="K206" s="14">
        <v>15610.9</v>
      </c>
    </row>
    <row r="207" spans="1:11" ht="14.5" x14ac:dyDescent="0.25">
      <c r="A207" s="17"/>
      <c r="B207" s="17"/>
      <c r="C207" s="17" t="s">
        <v>263</v>
      </c>
      <c r="D207" s="18" t="s">
        <v>264</v>
      </c>
      <c r="E207" s="19">
        <v>30.75</v>
      </c>
      <c r="F207" s="20"/>
      <c r="G207" s="21" t="s">
        <v>13</v>
      </c>
      <c r="H207" s="19">
        <v>1</v>
      </c>
      <c r="I207" s="20">
        <v>47.97</v>
      </c>
      <c r="J207" s="19"/>
      <c r="K207" s="20"/>
    </row>
    <row r="208" spans="1:11" ht="14" x14ac:dyDescent="0.25">
      <c r="C208" s="22" t="s">
        <v>265</v>
      </c>
      <c r="H208" s="143">
        <v>3866.27</v>
      </c>
      <c r="I208" s="143"/>
      <c r="J208" s="143">
        <v>89214.74</v>
      </c>
      <c r="K208" s="143"/>
    </row>
    <row r="209" spans="1:11" ht="14" x14ac:dyDescent="0.25">
      <c r="C209" s="22" t="s">
        <v>267</v>
      </c>
      <c r="H209" s="141">
        <v>3866.27</v>
      </c>
      <c r="I209" s="141"/>
      <c r="J209" s="141">
        <v>89214.74</v>
      </c>
      <c r="K209" s="141"/>
    </row>
    <row r="211" spans="1:11" ht="79" x14ac:dyDescent="0.25">
      <c r="A211" s="10">
        <v>32</v>
      </c>
      <c r="B211" s="10" t="s">
        <v>1572</v>
      </c>
      <c r="C211" s="10" t="s">
        <v>1573</v>
      </c>
      <c r="D211" s="12" t="s">
        <v>1609</v>
      </c>
      <c r="E211" s="11">
        <v>1</v>
      </c>
      <c r="F211" s="14"/>
      <c r="G211" s="13"/>
      <c r="H211" s="11"/>
      <c r="I211" s="14"/>
      <c r="J211" s="11"/>
      <c r="K211" s="14"/>
    </row>
    <row r="212" spans="1:11" ht="14.5" x14ac:dyDescent="0.25">
      <c r="A212" s="10"/>
      <c r="B212" s="10"/>
      <c r="C212" s="10" t="s">
        <v>256</v>
      </c>
      <c r="D212" s="12"/>
      <c r="E212" s="11"/>
      <c r="F212" s="14">
        <v>1.45</v>
      </c>
      <c r="G212" s="15" t="s">
        <v>13</v>
      </c>
      <c r="H212" s="11">
        <v>1</v>
      </c>
      <c r="I212" s="14">
        <v>1.74</v>
      </c>
      <c r="J212" s="11">
        <v>57.05</v>
      </c>
      <c r="K212" s="14">
        <v>99.27</v>
      </c>
    </row>
    <row r="213" spans="1:11" ht="14.5" x14ac:dyDescent="0.25">
      <c r="A213" s="10"/>
      <c r="B213" s="10"/>
      <c r="C213" s="10" t="s">
        <v>260</v>
      </c>
      <c r="D213" s="12" t="s">
        <v>261</v>
      </c>
      <c r="E213" s="11">
        <v>90</v>
      </c>
      <c r="F213" s="14"/>
      <c r="G213" s="13"/>
      <c r="H213" s="11"/>
      <c r="I213" s="14">
        <v>1.57</v>
      </c>
      <c r="J213" s="11">
        <v>90</v>
      </c>
      <c r="K213" s="14">
        <v>89.34</v>
      </c>
    </row>
    <row r="214" spans="1:11" ht="14.5" x14ac:dyDescent="0.25">
      <c r="A214" s="10"/>
      <c r="B214" s="10"/>
      <c r="C214" s="10" t="s">
        <v>262</v>
      </c>
      <c r="D214" s="12" t="s">
        <v>261</v>
      </c>
      <c r="E214" s="11">
        <v>46</v>
      </c>
      <c r="F214" s="14"/>
      <c r="G214" s="13"/>
      <c r="H214" s="11"/>
      <c r="I214" s="14">
        <v>0.8</v>
      </c>
      <c r="J214" s="11">
        <v>46</v>
      </c>
      <c r="K214" s="14">
        <v>45.66</v>
      </c>
    </row>
    <row r="215" spans="1:11" ht="14.5" x14ac:dyDescent="0.25">
      <c r="A215" s="17"/>
      <c r="B215" s="17"/>
      <c r="C215" s="17" t="s">
        <v>263</v>
      </c>
      <c r="D215" s="18" t="s">
        <v>264</v>
      </c>
      <c r="E215" s="19">
        <v>0.13</v>
      </c>
      <c r="F215" s="20"/>
      <c r="G215" s="21" t="s">
        <v>13</v>
      </c>
      <c r="H215" s="19">
        <v>1</v>
      </c>
      <c r="I215" s="20">
        <v>0.16</v>
      </c>
      <c r="J215" s="19"/>
      <c r="K215" s="20"/>
    </row>
    <row r="216" spans="1:11" ht="14" x14ac:dyDescent="0.25">
      <c r="C216" s="22" t="s">
        <v>265</v>
      </c>
      <c r="H216" s="143">
        <v>4.1100000000000003</v>
      </c>
      <c r="I216" s="143"/>
      <c r="J216" s="143">
        <v>234.27</v>
      </c>
      <c r="K216" s="143"/>
    </row>
    <row r="217" spans="1:11" ht="14" x14ac:dyDescent="0.25">
      <c r="C217" s="22" t="s">
        <v>267</v>
      </c>
      <c r="H217" s="141">
        <v>4.1100000000000003</v>
      </c>
      <c r="I217" s="141"/>
      <c r="J217" s="141">
        <v>234.27</v>
      </c>
      <c r="K217" s="141"/>
    </row>
    <row r="219" spans="1:11" ht="27" x14ac:dyDescent="0.25">
      <c r="A219" s="17">
        <v>33</v>
      </c>
      <c r="B219" s="17" t="s">
        <v>409</v>
      </c>
      <c r="C219" s="17" t="s">
        <v>1582</v>
      </c>
      <c r="D219" s="18" t="s">
        <v>11</v>
      </c>
      <c r="E219" s="19">
        <v>1</v>
      </c>
      <c r="F219" s="20">
        <v>30.3</v>
      </c>
      <c r="G219" s="21" t="s">
        <v>1</v>
      </c>
      <c r="H219" s="19">
        <v>1</v>
      </c>
      <c r="I219" s="20">
        <v>30.3</v>
      </c>
      <c r="J219" s="19">
        <v>10.18</v>
      </c>
      <c r="K219" s="20">
        <v>308.45</v>
      </c>
    </row>
    <row r="220" spans="1:11" ht="14" x14ac:dyDescent="0.25">
      <c r="C220" s="22" t="s">
        <v>267</v>
      </c>
      <c r="H220" s="143">
        <v>30.3</v>
      </c>
      <c r="I220" s="143"/>
      <c r="J220" s="143">
        <v>308.45</v>
      </c>
      <c r="K220" s="143"/>
    </row>
    <row r="222" spans="1:11" ht="79" x14ac:dyDescent="0.25">
      <c r="A222" s="10">
        <v>34</v>
      </c>
      <c r="B222" s="10" t="s">
        <v>1583</v>
      </c>
      <c r="C222" s="10" t="s">
        <v>1584</v>
      </c>
      <c r="D222" s="12" t="s">
        <v>24</v>
      </c>
      <c r="E222" s="11">
        <v>4</v>
      </c>
      <c r="F222" s="14"/>
      <c r="G222" s="13"/>
      <c r="H222" s="11"/>
      <c r="I222" s="14"/>
      <c r="J222" s="11"/>
      <c r="K222" s="14"/>
    </row>
    <row r="223" spans="1:11" ht="14.5" x14ac:dyDescent="0.25">
      <c r="A223" s="10"/>
      <c r="B223" s="10"/>
      <c r="C223" s="10" t="s">
        <v>256</v>
      </c>
      <c r="D223" s="12"/>
      <c r="E223" s="11"/>
      <c r="F223" s="14">
        <v>78.239999999999995</v>
      </c>
      <c r="G223" s="15" t="s">
        <v>13</v>
      </c>
      <c r="H223" s="11">
        <v>1</v>
      </c>
      <c r="I223" s="14">
        <v>375.55</v>
      </c>
      <c r="J223" s="11">
        <v>57.05</v>
      </c>
      <c r="K223" s="14">
        <v>21425.13</v>
      </c>
    </row>
    <row r="224" spans="1:11" ht="14.5" x14ac:dyDescent="0.25">
      <c r="A224" s="10"/>
      <c r="B224" s="10"/>
      <c r="C224" s="10" t="s">
        <v>257</v>
      </c>
      <c r="D224" s="12"/>
      <c r="E224" s="11"/>
      <c r="F224" s="14">
        <v>28.71</v>
      </c>
      <c r="G224" s="15" t="s">
        <v>13</v>
      </c>
      <c r="H224" s="11">
        <v>1</v>
      </c>
      <c r="I224" s="14">
        <v>137.81</v>
      </c>
      <c r="J224" s="11">
        <v>16.510000000000002</v>
      </c>
      <c r="K224" s="14">
        <v>2275.2399999999998</v>
      </c>
    </row>
    <row r="225" spans="1:11" ht="14.5" x14ac:dyDescent="0.25">
      <c r="A225" s="10"/>
      <c r="B225" s="10"/>
      <c r="C225" s="10" t="s">
        <v>258</v>
      </c>
      <c r="D225" s="12"/>
      <c r="E225" s="11"/>
      <c r="F225" s="14">
        <v>3.16</v>
      </c>
      <c r="G225" s="15" t="s">
        <v>13</v>
      </c>
      <c r="H225" s="11">
        <v>1</v>
      </c>
      <c r="I225" s="16">
        <v>15.17</v>
      </c>
      <c r="J225" s="11">
        <v>57.05</v>
      </c>
      <c r="K225" s="16">
        <v>865.45</v>
      </c>
    </row>
    <row r="226" spans="1:11" ht="14.5" x14ac:dyDescent="0.25">
      <c r="A226" s="10"/>
      <c r="B226" s="10"/>
      <c r="C226" s="10" t="s">
        <v>259</v>
      </c>
      <c r="D226" s="12"/>
      <c r="E226" s="11"/>
      <c r="F226" s="14">
        <v>12.35</v>
      </c>
      <c r="G226" s="15" t="s">
        <v>1</v>
      </c>
      <c r="H226" s="11">
        <v>1</v>
      </c>
      <c r="I226" s="14">
        <v>49.4</v>
      </c>
      <c r="J226" s="11">
        <v>14.64</v>
      </c>
      <c r="K226" s="14">
        <v>723.22</v>
      </c>
    </row>
    <row r="227" spans="1:11" ht="14.5" x14ac:dyDescent="0.25">
      <c r="A227" s="10"/>
      <c r="B227" s="10"/>
      <c r="C227" s="10" t="s">
        <v>260</v>
      </c>
      <c r="D227" s="12" t="s">
        <v>261</v>
      </c>
      <c r="E227" s="11">
        <v>90</v>
      </c>
      <c r="F227" s="14"/>
      <c r="G227" s="13"/>
      <c r="H227" s="11"/>
      <c r="I227" s="14">
        <v>351.65</v>
      </c>
      <c r="J227" s="11">
        <v>90</v>
      </c>
      <c r="K227" s="14">
        <v>20061.52</v>
      </c>
    </row>
    <row r="228" spans="1:11" ht="14.5" x14ac:dyDescent="0.25">
      <c r="A228" s="10"/>
      <c r="B228" s="10"/>
      <c r="C228" s="10" t="s">
        <v>262</v>
      </c>
      <c r="D228" s="12" t="s">
        <v>261</v>
      </c>
      <c r="E228" s="11">
        <v>46</v>
      </c>
      <c r="F228" s="14"/>
      <c r="G228" s="13"/>
      <c r="H228" s="11"/>
      <c r="I228" s="14">
        <v>179.73</v>
      </c>
      <c r="J228" s="11">
        <v>46</v>
      </c>
      <c r="K228" s="14">
        <v>10253.67</v>
      </c>
    </row>
    <row r="229" spans="1:11" ht="14.5" x14ac:dyDescent="0.25">
      <c r="A229" s="17"/>
      <c r="B229" s="17"/>
      <c r="C229" s="17" t="s">
        <v>263</v>
      </c>
      <c r="D229" s="18" t="s">
        <v>264</v>
      </c>
      <c r="E229" s="19">
        <v>6.2</v>
      </c>
      <c r="F229" s="20"/>
      <c r="G229" s="21" t="s">
        <v>13</v>
      </c>
      <c r="H229" s="19">
        <v>1</v>
      </c>
      <c r="I229" s="20">
        <v>29.76</v>
      </c>
      <c r="J229" s="19"/>
      <c r="K229" s="20"/>
    </row>
    <row r="230" spans="1:11" ht="14" x14ac:dyDescent="0.25">
      <c r="C230" s="22" t="s">
        <v>265</v>
      </c>
      <c r="H230" s="143">
        <v>1094.1400000000001</v>
      </c>
      <c r="I230" s="143"/>
      <c r="J230" s="143">
        <v>54738.78</v>
      </c>
      <c r="K230" s="143"/>
    </row>
    <row r="231" spans="1:11" ht="14" x14ac:dyDescent="0.25">
      <c r="C231" s="22" t="s">
        <v>267</v>
      </c>
      <c r="H231" s="141">
        <v>1094.1400000000001</v>
      </c>
      <c r="I231" s="141"/>
      <c r="J231" s="141">
        <v>54738.78</v>
      </c>
      <c r="K231" s="141"/>
    </row>
    <row r="233" spans="1:11" ht="68" x14ac:dyDescent="0.25">
      <c r="A233" s="38">
        <v>35</v>
      </c>
      <c r="B233" s="38" t="s">
        <v>409</v>
      </c>
      <c r="C233" s="38" t="s">
        <v>2030</v>
      </c>
      <c r="D233" s="39" t="s">
        <v>1610</v>
      </c>
      <c r="E233" s="40">
        <v>4</v>
      </c>
      <c r="F233" s="41">
        <v>45269.26</v>
      </c>
      <c r="G233" s="42" t="s">
        <v>1</v>
      </c>
      <c r="H233" s="40">
        <v>1</v>
      </c>
      <c r="I233" s="41">
        <v>181077.04</v>
      </c>
      <c r="J233" s="40">
        <v>7.54</v>
      </c>
      <c r="K233" s="41">
        <v>1365320.88</v>
      </c>
    </row>
    <row r="234" spans="1:11" ht="14" x14ac:dyDescent="0.25">
      <c r="A234" s="43"/>
      <c r="B234" s="43"/>
      <c r="C234" s="44" t="s">
        <v>267</v>
      </c>
      <c r="D234" s="43"/>
      <c r="E234" s="43"/>
      <c r="F234" s="43"/>
      <c r="G234" s="43"/>
      <c r="H234" s="156">
        <v>181077.04</v>
      </c>
      <c r="I234" s="156"/>
      <c r="J234" s="156">
        <v>1365320.88</v>
      </c>
      <c r="K234" s="156"/>
    </row>
    <row r="236" spans="1:11" ht="79" x14ac:dyDescent="0.25">
      <c r="A236" s="10">
        <v>36</v>
      </c>
      <c r="B236" s="10" t="s">
        <v>1585</v>
      </c>
      <c r="C236" s="10" t="s">
        <v>1586</v>
      </c>
      <c r="D236" s="12" t="s">
        <v>1616</v>
      </c>
      <c r="E236" s="11">
        <v>0.01</v>
      </c>
      <c r="F236" s="14"/>
      <c r="G236" s="13"/>
      <c r="H236" s="11"/>
      <c r="I236" s="14"/>
      <c r="J236" s="11"/>
      <c r="K236" s="14"/>
    </row>
    <row r="237" spans="1:11" x14ac:dyDescent="0.25">
      <c r="C237" s="23" t="s">
        <v>591</v>
      </c>
    </row>
    <row r="238" spans="1:11" ht="14.5" x14ac:dyDescent="0.25">
      <c r="A238" s="10"/>
      <c r="B238" s="10"/>
      <c r="C238" s="10" t="s">
        <v>256</v>
      </c>
      <c r="D238" s="12"/>
      <c r="E238" s="11"/>
      <c r="F238" s="14">
        <v>225.37</v>
      </c>
      <c r="G238" s="15" t="s">
        <v>13</v>
      </c>
      <c r="H238" s="11">
        <v>1</v>
      </c>
      <c r="I238" s="14">
        <v>2.7</v>
      </c>
      <c r="J238" s="11">
        <v>57.05</v>
      </c>
      <c r="K238" s="14">
        <v>154.04</v>
      </c>
    </row>
    <row r="239" spans="1:11" ht="14.5" x14ac:dyDescent="0.25">
      <c r="A239" s="10"/>
      <c r="B239" s="10"/>
      <c r="C239" s="10" t="s">
        <v>260</v>
      </c>
      <c r="D239" s="12" t="s">
        <v>261</v>
      </c>
      <c r="E239" s="11">
        <v>90</v>
      </c>
      <c r="F239" s="14"/>
      <c r="G239" s="13"/>
      <c r="H239" s="11"/>
      <c r="I239" s="14">
        <v>2.4300000000000002</v>
      </c>
      <c r="J239" s="11">
        <v>90</v>
      </c>
      <c r="K239" s="14">
        <v>138.63999999999999</v>
      </c>
    </row>
    <row r="240" spans="1:11" ht="14.5" x14ac:dyDescent="0.25">
      <c r="A240" s="10"/>
      <c r="B240" s="10"/>
      <c r="C240" s="10" t="s">
        <v>262</v>
      </c>
      <c r="D240" s="12" t="s">
        <v>261</v>
      </c>
      <c r="E240" s="11">
        <v>46</v>
      </c>
      <c r="F240" s="14"/>
      <c r="G240" s="13"/>
      <c r="H240" s="11"/>
      <c r="I240" s="14">
        <v>1.24</v>
      </c>
      <c r="J240" s="11">
        <v>46</v>
      </c>
      <c r="K240" s="14">
        <v>70.86</v>
      </c>
    </row>
    <row r="241" spans="1:11" ht="14.5" x14ac:dyDescent="0.25">
      <c r="A241" s="17"/>
      <c r="B241" s="17"/>
      <c r="C241" s="17" t="s">
        <v>263</v>
      </c>
      <c r="D241" s="18" t="s">
        <v>264</v>
      </c>
      <c r="E241" s="19">
        <v>15.5</v>
      </c>
      <c r="F241" s="20"/>
      <c r="G241" s="21" t="s">
        <v>13</v>
      </c>
      <c r="H241" s="19">
        <v>1</v>
      </c>
      <c r="I241" s="20">
        <v>0.19</v>
      </c>
      <c r="J241" s="19"/>
      <c r="K241" s="20"/>
    </row>
    <row r="242" spans="1:11" ht="14" x14ac:dyDescent="0.25">
      <c r="C242" s="22" t="s">
        <v>265</v>
      </c>
      <c r="H242" s="143">
        <v>6.37</v>
      </c>
      <c r="I242" s="143"/>
      <c r="J242" s="143">
        <v>363.54</v>
      </c>
      <c r="K242" s="143"/>
    </row>
    <row r="243" spans="1:11" ht="14" x14ac:dyDescent="0.25">
      <c r="C243" s="22" t="s">
        <v>267</v>
      </c>
      <c r="H243" s="141">
        <v>6.37</v>
      </c>
      <c r="I243" s="141"/>
      <c r="J243" s="141">
        <v>363.54</v>
      </c>
      <c r="K243" s="141"/>
    </row>
    <row r="245" spans="1:11" ht="82" x14ac:dyDescent="0.25">
      <c r="A245" s="38">
        <v>37</v>
      </c>
      <c r="B245" s="38" t="s">
        <v>409</v>
      </c>
      <c r="C245" s="38" t="s">
        <v>2080</v>
      </c>
      <c r="D245" s="39" t="s">
        <v>1610</v>
      </c>
      <c r="E245" s="40">
        <v>1</v>
      </c>
      <c r="F245" s="41">
        <v>38429.800000000003</v>
      </c>
      <c r="G245" s="42" t="s">
        <v>1</v>
      </c>
      <c r="H245" s="40">
        <v>1</v>
      </c>
      <c r="I245" s="41">
        <v>38429.800000000003</v>
      </c>
      <c r="J245" s="40">
        <v>7.54</v>
      </c>
      <c r="K245" s="41">
        <v>289760.69</v>
      </c>
    </row>
    <row r="246" spans="1:11" ht="14" x14ac:dyDescent="0.25">
      <c r="A246" s="43"/>
      <c r="B246" s="43"/>
      <c r="C246" s="44" t="s">
        <v>267</v>
      </c>
      <c r="D246" s="43"/>
      <c r="E246" s="43"/>
      <c r="F246" s="43"/>
      <c r="G246" s="43"/>
      <c r="H246" s="156">
        <v>38429.800000000003</v>
      </c>
      <c r="I246" s="156"/>
      <c r="J246" s="156">
        <v>289760.69</v>
      </c>
      <c r="K246" s="156"/>
    </row>
    <row r="248" spans="1:11" ht="79" x14ac:dyDescent="0.25">
      <c r="A248" s="10">
        <v>38</v>
      </c>
      <c r="B248" s="10" t="s">
        <v>1587</v>
      </c>
      <c r="C248" s="10" t="s">
        <v>1588</v>
      </c>
      <c r="D248" s="12" t="s">
        <v>24</v>
      </c>
      <c r="E248" s="11">
        <v>15</v>
      </c>
      <c r="F248" s="14"/>
      <c r="G248" s="13"/>
      <c r="H248" s="11"/>
      <c r="I248" s="14"/>
      <c r="J248" s="11"/>
      <c r="K248" s="14"/>
    </row>
    <row r="249" spans="1:11" ht="14.5" x14ac:dyDescent="0.25">
      <c r="A249" s="10"/>
      <c r="B249" s="10"/>
      <c r="C249" s="10" t="s">
        <v>256</v>
      </c>
      <c r="D249" s="12"/>
      <c r="E249" s="11"/>
      <c r="F249" s="14">
        <v>9.09</v>
      </c>
      <c r="G249" s="15" t="s">
        <v>13</v>
      </c>
      <c r="H249" s="11">
        <v>1</v>
      </c>
      <c r="I249" s="14">
        <v>163.62</v>
      </c>
      <c r="J249" s="11">
        <v>57.05</v>
      </c>
      <c r="K249" s="14">
        <v>9334.52</v>
      </c>
    </row>
    <row r="250" spans="1:11" ht="14.5" x14ac:dyDescent="0.25">
      <c r="A250" s="10"/>
      <c r="B250" s="10"/>
      <c r="C250" s="10" t="s">
        <v>259</v>
      </c>
      <c r="D250" s="12"/>
      <c r="E250" s="11"/>
      <c r="F250" s="14">
        <v>22.6</v>
      </c>
      <c r="G250" s="15" t="s">
        <v>1</v>
      </c>
      <c r="H250" s="11">
        <v>1</v>
      </c>
      <c r="I250" s="14">
        <v>339</v>
      </c>
      <c r="J250" s="11">
        <v>4.5199999999999996</v>
      </c>
      <c r="K250" s="14">
        <v>1532.28</v>
      </c>
    </row>
    <row r="251" spans="1:11" ht="14.5" x14ac:dyDescent="0.25">
      <c r="A251" s="10"/>
      <c r="B251" s="10"/>
      <c r="C251" s="10" t="s">
        <v>260</v>
      </c>
      <c r="D251" s="12" t="s">
        <v>261</v>
      </c>
      <c r="E251" s="11">
        <v>90</v>
      </c>
      <c r="F251" s="14"/>
      <c r="G251" s="13"/>
      <c r="H251" s="11"/>
      <c r="I251" s="14">
        <v>147.26</v>
      </c>
      <c r="J251" s="11">
        <v>90</v>
      </c>
      <c r="K251" s="14">
        <v>8401.07</v>
      </c>
    </row>
    <row r="252" spans="1:11" ht="14.5" x14ac:dyDescent="0.25">
      <c r="A252" s="10"/>
      <c r="B252" s="10"/>
      <c r="C252" s="10" t="s">
        <v>262</v>
      </c>
      <c r="D252" s="12" t="s">
        <v>261</v>
      </c>
      <c r="E252" s="11">
        <v>46</v>
      </c>
      <c r="F252" s="14"/>
      <c r="G252" s="13"/>
      <c r="H252" s="11"/>
      <c r="I252" s="14">
        <v>75.27</v>
      </c>
      <c r="J252" s="11">
        <v>46</v>
      </c>
      <c r="K252" s="14">
        <v>4293.88</v>
      </c>
    </row>
    <row r="253" spans="1:11" ht="14.5" x14ac:dyDescent="0.25">
      <c r="A253" s="17"/>
      <c r="B253" s="17"/>
      <c r="C253" s="17" t="s">
        <v>263</v>
      </c>
      <c r="D253" s="18" t="s">
        <v>264</v>
      </c>
      <c r="E253" s="19">
        <v>0.72</v>
      </c>
      <c r="F253" s="20"/>
      <c r="G253" s="21" t="s">
        <v>13</v>
      </c>
      <c r="H253" s="19">
        <v>1</v>
      </c>
      <c r="I253" s="20">
        <v>12.96</v>
      </c>
      <c r="J253" s="19"/>
      <c r="K253" s="20"/>
    </row>
    <row r="254" spans="1:11" ht="14" x14ac:dyDescent="0.25">
      <c r="C254" s="22" t="s">
        <v>265</v>
      </c>
      <c r="H254" s="143">
        <v>725.15</v>
      </c>
      <c r="I254" s="143"/>
      <c r="J254" s="143">
        <v>23561.75</v>
      </c>
      <c r="K254" s="143"/>
    </row>
    <row r="255" spans="1:11" ht="14" x14ac:dyDescent="0.25">
      <c r="C255" s="22" t="s">
        <v>267</v>
      </c>
      <c r="H255" s="141">
        <v>725.15</v>
      </c>
      <c r="I255" s="141"/>
      <c r="J255" s="141">
        <v>23561.75</v>
      </c>
      <c r="K255" s="141"/>
    </row>
    <row r="257" spans="1:11" ht="54" x14ac:dyDescent="0.25">
      <c r="A257" s="17">
        <v>39</v>
      </c>
      <c r="B257" s="17" t="s">
        <v>409</v>
      </c>
      <c r="C257" s="17" t="s">
        <v>2031</v>
      </c>
      <c r="D257" s="18" t="s">
        <v>11</v>
      </c>
      <c r="E257" s="19">
        <v>15</v>
      </c>
      <c r="F257" s="20">
        <v>3018.59</v>
      </c>
      <c r="G257" s="21" t="s">
        <v>1</v>
      </c>
      <c r="H257" s="19">
        <v>1</v>
      </c>
      <c r="I257" s="20">
        <v>45278.85</v>
      </c>
      <c r="J257" s="19">
        <v>7.54</v>
      </c>
      <c r="K257" s="20">
        <v>341402.53</v>
      </c>
    </row>
    <row r="258" spans="1:11" ht="14" x14ac:dyDescent="0.25">
      <c r="C258" s="22" t="s">
        <v>267</v>
      </c>
      <c r="H258" s="143">
        <v>45278.85</v>
      </c>
      <c r="I258" s="143"/>
      <c r="J258" s="143">
        <v>341402.53</v>
      </c>
      <c r="K258" s="143"/>
    </row>
    <row r="260" spans="1:11" ht="79" x14ac:dyDescent="0.25">
      <c r="A260" s="10">
        <v>40</v>
      </c>
      <c r="B260" s="10" t="s">
        <v>1589</v>
      </c>
      <c r="C260" s="10" t="s">
        <v>1590</v>
      </c>
      <c r="D260" s="12" t="s">
        <v>1617</v>
      </c>
      <c r="E260" s="11">
        <v>4</v>
      </c>
      <c r="F260" s="14"/>
      <c r="G260" s="13"/>
      <c r="H260" s="11"/>
      <c r="I260" s="14"/>
      <c r="J260" s="11"/>
      <c r="K260" s="14"/>
    </row>
    <row r="261" spans="1:11" ht="14.5" x14ac:dyDescent="0.25">
      <c r="A261" s="10"/>
      <c r="B261" s="10"/>
      <c r="C261" s="10" t="s">
        <v>256</v>
      </c>
      <c r="D261" s="12"/>
      <c r="E261" s="11"/>
      <c r="F261" s="14">
        <v>39.119999999999997</v>
      </c>
      <c r="G261" s="15" t="s">
        <v>13</v>
      </c>
      <c r="H261" s="11">
        <v>1</v>
      </c>
      <c r="I261" s="14">
        <v>187.78</v>
      </c>
      <c r="J261" s="11">
        <v>57.05</v>
      </c>
      <c r="K261" s="14">
        <v>10712.85</v>
      </c>
    </row>
    <row r="262" spans="1:11" ht="14.5" x14ac:dyDescent="0.25">
      <c r="A262" s="10"/>
      <c r="B262" s="10"/>
      <c r="C262" s="10" t="s">
        <v>260</v>
      </c>
      <c r="D262" s="12" t="s">
        <v>261</v>
      </c>
      <c r="E262" s="11">
        <v>90</v>
      </c>
      <c r="F262" s="14"/>
      <c r="G262" s="13"/>
      <c r="H262" s="11"/>
      <c r="I262" s="14">
        <v>169</v>
      </c>
      <c r="J262" s="11">
        <v>90</v>
      </c>
      <c r="K262" s="14">
        <v>9641.57</v>
      </c>
    </row>
    <row r="263" spans="1:11" ht="14.5" x14ac:dyDescent="0.25">
      <c r="A263" s="10"/>
      <c r="B263" s="10"/>
      <c r="C263" s="10" t="s">
        <v>262</v>
      </c>
      <c r="D263" s="12" t="s">
        <v>261</v>
      </c>
      <c r="E263" s="11">
        <v>46</v>
      </c>
      <c r="F263" s="14"/>
      <c r="G263" s="13"/>
      <c r="H263" s="11"/>
      <c r="I263" s="14">
        <v>86.38</v>
      </c>
      <c r="J263" s="11">
        <v>46</v>
      </c>
      <c r="K263" s="14">
        <v>4927.91</v>
      </c>
    </row>
    <row r="264" spans="1:11" ht="14.5" x14ac:dyDescent="0.25">
      <c r="A264" s="17"/>
      <c r="B264" s="17"/>
      <c r="C264" s="17" t="s">
        <v>263</v>
      </c>
      <c r="D264" s="18" t="s">
        <v>264</v>
      </c>
      <c r="E264" s="19">
        <v>3.1</v>
      </c>
      <c r="F264" s="20"/>
      <c r="G264" s="21" t="s">
        <v>13</v>
      </c>
      <c r="H264" s="19">
        <v>1</v>
      </c>
      <c r="I264" s="20">
        <v>14.88</v>
      </c>
      <c r="J264" s="19"/>
      <c r="K264" s="20"/>
    </row>
    <row r="265" spans="1:11" ht="14" x14ac:dyDescent="0.25">
      <c r="C265" s="22" t="s">
        <v>265</v>
      </c>
      <c r="H265" s="143">
        <v>443.16</v>
      </c>
      <c r="I265" s="143"/>
      <c r="J265" s="143">
        <v>25282.33</v>
      </c>
      <c r="K265" s="143"/>
    </row>
    <row r="266" spans="1:11" ht="14" x14ac:dyDescent="0.25">
      <c r="C266" s="22" t="s">
        <v>267</v>
      </c>
      <c r="H266" s="141">
        <v>443.16</v>
      </c>
      <c r="I266" s="141"/>
      <c r="J266" s="141">
        <v>25282.33</v>
      </c>
      <c r="K266" s="141"/>
    </row>
    <row r="268" spans="1:11" ht="68" x14ac:dyDescent="0.25">
      <c r="A268" s="17">
        <v>41</v>
      </c>
      <c r="B268" s="17" t="s">
        <v>409</v>
      </c>
      <c r="C268" s="17" t="s">
        <v>2032</v>
      </c>
      <c r="D268" s="18" t="s">
        <v>11</v>
      </c>
      <c r="E268" s="19">
        <v>2</v>
      </c>
      <c r="F268" s="20">
        <v>28.65</v>
      </c>
      <c r="G268" s="21" t="s">
        <v>1</v>
      </c>
      <c r="H268" s="19">
        <v>1</v>
      </c>
      <c r="I268" s="20">
        <v>57.3</v>
      </c>
      <c r="J268" s="19">
        <v>7.54</v>
      </c>
      <c r="K268" s="20">
        <v>432.04</v>
      </c>
    </row>
    <row r="269" spans="1:11" ht="14" x14ac:dyDescent="0.25">
      <c r="C269" s="22" t="s">
        <v>267</v>
      </c>
      <c r="H269" s="143">
        <v>57.3</v>
      </c>
      <c r="I269" s="143"/>
      <c r="J269" s="143">
        <v>432.04</v>
      </c>
      <c r="K269" s="143"/>
    </row>
    <row r="271" spans="1:11" ht="68" x14ac:dyDescent="0.25">
      <c r="A271" s="17">
        <v>42</v>
      </c>
      <c r="B271" s="17" t="s">
        <v>409</v>
      </c>
      <c r="C271" s="17" t="s">
        <v>2033</v>
      </c>
      <c r="D271" s="18" t="s">
        <v>11</v>
      </c>
      <c r="E271" s="19">
        <v>2</v>
      </c>
      <c r="F271" s="20">
        <v>47.73</v>
      </c>
      <c r="G271" s="21" t="s">
        <v>1</v>
      </c>
      <c r="H271" s="19">
        <v>1</v>
      </c>
      <c r="I271" s="20">
        <v>95.46</v>
      </c>
      <c r="J271" s="19">
        <v>7.54</v>
      </c>
      <c r="K271" s="20">
        <v>719.77</v>
      </c>
    </row>
    <row r="272" spans="1:11" ht="14" x14ac:dyDescent="0.25">
      <c r="C272" s="22" t="s">
        <v>267</v>
      </c>
      <c r="H272" s="143">
        <v>95.46</v>
      </c>
      <c r="I272" s="143"/>
      <c r="J272" s="143">
        <v>719.77</v>
      </c>
      <c r="K272" s="143"/>
    </row>
    <row r="275" spans="1:11" ht="14" x14ac:dyDescent="0.3">
      <c r="A275" s="140" t="s">
        <v>966</v>
      </c>
      <c r="B275" s="140"/>
      <c r="C275" s="140"/>
      <c r="D275" s="140"/>
      <c r="E275" s="140"/>
      <c r="F275" s="140"/>
      <c r="G275" s="140"/>
      <c r="H275" s="141">
        <v>283787.40999999997</v>
      </c>
      <c r="I275" s="142"/>
      <c r="J275" s="141">
        <v>2351994.42</v>
      </c>
      <c r="K275" s="142"/>
    </row>
    <row r="277" spans="1:11" ht="16.5" x14ac:dyDescent="0.25">
      <c r="A277" s="144" t="s">
        <v>1625</v>
      </c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</row>
    <row r="278" spans="1:11" ht="79" x14ac:dyDescent="0.25">
      <c r="A278" s="10">
        <v>43</v>
      </c>
      <c r="B278" s="10" t="s">
        <v>1591</v>
      </c>
      <c r="C278" s="10" t="s">
        <v>1592</v>
      </c>
      <c r="D278" s="12" t="s">
        <v>50</v>
      </c>
      <c r="E278" s="11">
        <v>5.8</v>
      </c>
      <c r="F278" s="14"/>
      <c r="G278" s="13"/>
      <c r="H278" s="11"/>
      <c r="I278" s="14"/>
      <c r="J278" s="11"/>
      <c r="K278" s="14"/>
    </row>
    <row r="279" spans="1:11" x14ac:dyDescent="0.25">
      <c r="C279" s="23" t="s">
        <v>1618</v>
      </c>
    </row>
    <row r="280" spans="1:11" ht="14.5" x14ac:dyDescent="0.25">
      <c r="A280" s="10"/>
      <c r="B280" s="10"/>
      <c r="C280" s="10" t="s">
        <v>256</v>
      </c>
      <c r="D280" s="12"/>
      <c r="E280" s="11"/>
      <c r="F280" s="14">
        <v>255.02</v>
      </c>
      <c r="G280" s="15" t="s">
        <v>13</v>
      </c>
      <c r="H280" s="11">
        <v>1</v>
      </c>
      <c r="I280" s="14">
        <v>1774.94</v>
      </c>
      <c r="J280" s="11">
        <v>57.05</v>
      </c>
      <c r="K280" s="14">
        <v>101260.33</v>
      </c>
    </row>
    <row r="281" spans="1:11" ht="14.5" x14ac:dyDescent="0.25">
      <c r="A281" s="10"/>
      <c r="B281" s="10"/>
      <c r="C281" s="10" t="s">
        <v>257</v>
      </c>
      <c r="D281" s="12"/>
      <c r="E281" s="11"/>
      <c r="F281" s="14">
        <v>28.09</v>
      </c>
      <c r="G281" s="15" t="s">
        <v>13</v>
      </c>
      <c r="H281" s="11">
        <v>1</v>
      </c>
      <c r="I281" s="14">
        <v>195.51</v>
      </c>
      <c r="J281" s="11">
        <v>13.68</v>
      </c>
      <c r="K281" s="14">
        <v>2674.58</v>
      </c>
    </row>
    <row r="282" spans="1:11" ht="14.5" x14ac:dyDescent="0.25">
      <c r="A282" s="10"/>
      <c r="B282" s="10"/>
      <c r="C282" s="10" t="s">
        <v>258</v>
      </c>
      <c r="D282" s="12"/>
      <c r="E282" s="11"/>
      <c r="F282" s="14">
        <v>1.26</v>
      </c>
      <c r="G282" s="15" t="s">
        <v>13</v>
      </c>
      <c r="H282" s="11">
        <v>1</v>
      </c>
      <c r="I282" s="16">
        <v>8.77</v>
      </c>
      <c r="J282" s="11">
        <v>57.05</v>
      </c>
      <c r="K282" s="16">
        <v>500.33</v>
      </c>
    </row>
    <row r="283" spans="1:11" ht="14.5" x14ac:dyDescent="0.25">
      <c r="A283" s="10"/>
      <c r="B283" s="10"/>
      <c r="C283" s="10" t="s">
        <v>259</v>
      </c>
      <c r="D283" s="12"/>
      <c r="E283" s="11"/>
      <c r="F283" s="14">
        <v>981</v>
      </c>
      <c r="G283" s="15" t="s">
        <v>1</v>
      </c>
      <c r="H283" s="11">
        <v>1</v>
      </c>
      <c r="I283" s="14">
        <v>5689.8</v>
      </c>
      <c r="J283" s="11">
        <v>2.4500000000000002</v>
      </c>
      <c r="K283" s="14">
        <v>13940.01</v>
      </c>
    </row>
    <row r="284" spans="1:11" ht="70" x14ac:dyDescent="0.25">
      <c r="A284" s="10" t="s">
        <v>1593</v>
      </c>
      <c r="B284" s="10" t="s">
        <v>956</v>
      </c>
      <c r="C284" s="10" t="s">
        <v>927</v>
      </c>
      <c r="D284" s="12" t="s">
        <v>52</v>
      </c>
      <c r="E284" s="11">
        <v>591.6</v>
      </c>
      <c r="F284" s="14">
        <v>5.78</v>
      </c>
      <c r="G284" s="15" t="s">
        <v>1</v>
      </c>
      <c r="H284" s="11">
        <v>1</v>
      </c>
      <c r="I284" s="14">
        <v>3419.45</v>
      </c>
      <c r="J284" s="11">
        <v>6.04</v>
      </c>
      <c r="K284" s="14">
        <v>20653.48</v>
      </c>
    </row>
    <row r="285" spans="1:11" ht="42" x14ac:dyDescent="0.25">
      <c r="A285" s="10" t="s">
        <v>1594</v>
      </c>
      <c r="B285" s="10" t="s">
        <v>2081</v>
      </c>
      <c r="C285" s="10" t="s">
        <v>1595</v>
      </c>
      <c r="D285" s="12" t="s">
        <v>34</v>
      </c>
      <c r="E285" s="11">
        <v>17.399999999999999</v>
      </c>
      <c r="F285" s="14">
        <v>154.36000000000001</v>
      </c>
      <c r="G285" s="15" t="s">
        <v>1</v>
      </c>
      <c r="H285" s="11">
        <v>1</v>
      </c>
      <c r="I285" s="14">
        <v>2685.86</v>
      </c>
      <c r="J285" s="11">
        <v>1.81</v>
      </c>
      <c r="K285" s="14">
        <v>4861.41</v>
      </c>
    </row>
    <row r="286" spans="1:11" ht="14.5" x14ac:dyDescent="0.25">
      <c r="A286" s="10"/>
      <c r="B286" s="10"/>
      <c r="C286" s="10" t="s">
        <v>260</v>
      </c>
      <c r="D286" s="12" t="s">
        <v>261</v>
      </c>
      <c r="E286" s="11">
        <v>97</v>
      </c>
      <c r="F286" s="14"/>
      <c r="G286" s="13"/>
      <c r="H286" s="11"/>
      <c r="I286" s="14">
        <v>1730.2</v>
      </c>
      <c r="J286" s="11">
        <v>97</v>
      </c>
      <c r="K286" s="14">
        <v>98707.839999999997</v>
      </c>
    </row>
    <row r="287" spans="1:11" ht="14.5" x14ac:dyDescent="0.25">
      <c r="A287" s="10"/>
      <c r="B287" s="10"/>
      <c r="C287" s="10" t="s">
        <v>262</v>
      </c>
      <c r="D287" s="12" t="s">
        <v>261</v>
      </c>
      <c r="E287" s="11">
        <v>51</v>
      </c>
      <c r="F287" s="14"/>
      <c r="G287" s="13"/>
      <c r="H287" s="11"/>
      <c r="I287" s="14">
        <v>909.69</v>
      </c>
      <c r="J287" s="11">
        <v>51</v>
      </c>
      <c r="K287" s="14">
        <v>51897.94</v>
      </c>
    </row>
    <row r="288" spans="1:11" ht="14.5" x14ac:dyDescent="0.25">
      <c r="A288" s="17"/>
      <c r="B288" s="17"/>
      <c r="C288" s="17" t="s">
        <v>263</v>
      </c>
      <c r="D288" s="18" t="s">
        <v>264</v>
      </c>
      <c r="E288" s="19">
        <v>20.7</v>
      </c>
      <c r="F288" s="20"/>
      <c r="G288" s="21" t="s">
        <v>13</v>
      </c>
      <c r="H288" s="19">
        <v>1</v>
      </c>
      <c r="I288" s="20">
        <v>144.07</v>
      </c>
      <c r="J288" s="19"/>
      <c r="K288" s="20"/>
    </row>
    <row r="289" spans="1:11" ht="14" x14ac:dyDescent="0.25">
      <c r="C289" s="22" t="s">
        <v>265</v>
      </c>
      <c r="H289" s="143">
        <v>16405.45</v>
      </c>
      <c r="I289" s="143"/>
      <c r="J289" s="143">
        <v>293995.59000000003</v>
      </c>
      <c r="K289" s="143"/>
    </row>
    <row r="290" spans="1:11" ht="14" x14ac:dyDescent="0.25">
      <c r="C290" s="22" t="s">
        <v>267</v>
      </c>
      <c r="H290" s="141">
        <v>16405.45</v>
      </c>
      <c r="I290" s="141"/>
      <c r="J290" s="141">
        <v>293995.59000000003</v>
      </c>
      <c r="K290" s="141"/>
    </row>
    <row r="292" spans="1:11" ht="79" x14ac:dyDescent="0.25">
      <c r="A292" s="10">
        <v>44</v>
      </c>
      <c r="B292" s="10" t="s">
        <v>299</v>
      </c>
      <c r="C292" s="10" t="s">
        <v>141</v>
      </c>
      <c r="D292" s="12" t="s">
        <v>84</v>
      </c>
      <c r="E292" s="11">
        <v>0.6</v>
      </c>
      <c r="F292" s="14"/>
      <c r="G292" s="13"/>
      <c r="H292" s="11"/>
      <c r="I292" s="14"/>
      <c r="J292" s="11"/>
      <c r="K292" s="14"/>
    </row>
    <row r="293" spans="1:11" x14ac:dyDescent="0.25">
      <c r="C293" s="23" t="s">
        <v>378</v>
      </c>
    </row>
    <row r="294" spans="1:11" ht="14.5" x14ac:dyDescent="0.25">
      <c r="A294" s="10"/>
      <c r="B294" s="10"/>
      <c r="C294" s="10" t="s">
        <v>256</v>
      </c>
      <c r="D294" s="12"/>
      <c r="E294" s="11"/>
      <c r="F294" s="14">
        <v>206.17</v>
      </c>
      <c r="G294" s="15" t="s">
        <v>13</v>
      </c>
      <c r="H294" s="11">
        <v>1</v>
      </c>
      <c r="I294" s="14">
        <v>148.44</v>
      </c>
      <c r="J294" s="11">
        <v>57.05</v>
      </c>
      <c r="K294" s="14">
        <v>8468.5</v>
      </c>
    </row>
    <row r="295" spans="1:11" ht="14.5" x14ac:dyDescent="0.25">
      <c r="A295" s="10"/>
      <c r="B295" s="10"/>
      <c r="C295" s="10" t="s">
        <v>257</v>
      </c>
      <c r="D295" s="12"/>
      <c r="E295" s="11"/>
      <c r="F295" s="14">
        <v>6.67</v>
      </c>
      <c r="G295" s="15" t="s">
        <v>13</v>
      </c>
      <c r="H295" s="11">
        <v>1</v>
      </c>
      <c r="I295" s="14">
        <v>4.8</v>
      </c>
      <c r="J295" s="11">
        <v>19.37</v>
      </c>
      <c r="K295" s="14">
        <v>92.98</v>
      </c>
    </row>
    <row r="296" spans="1:11" ht="14.5" x14ac:dyDescent="0.25">
      <c r="A296" s="10"/>
      <c r="B296" s="10"/>
      <c r="C296" s="10" t="s">
        <v>258</v>
      </c>
      <c r="D296" s="12"/>
      <c r="E296" s="11"/>
      <c r="F296" s="14">
        <v>1.2</v>
      </c>
      <c r="G296" s="15" t="s">
        <v>13</v>
      </c>
      <c r="H296" s="11">
        <v>1</v>
      </c>
      <c r="I296" s="16">
        <v>0.86</v>
      </c>
      <c r="J296" s="11">
        <v>57.05</v>
      </c>
      <c r="K296" s="16">
        <v>49.06</v>
      </c>
    </row>
    <row r="297" spans="1:11" ht="14.5" x14ac:dyDescent="0.25">
      <c r="A297" s="10"/>
      <c r="B297" s="10"/>
      <c r="C297" s="10" t="s">
        <v>259</v>
      </c>
      <c r="D297" s="12"/>
      <c r="E297" s="11"/>
      <c r="F297" s="14">
        <v>11.34</v>
      </c>
      <c r="G297" s="15" t="s">
        <v>1</v>
      </c>
      <c r="H297" s="11">
        <v>1</v>
      </c>
      <c r="I297" s="14">
        <v>6.8</v>
      </c>
      <c r="J297" s="11">
        <v>8.1999999999999993</v>
      </c>
      <c r="K297" s="14">
        <v>55.76</v>
      </c>
    </row>
    <row r="298" spans="1:11" ht="56" x14ac:dyDescent="0.25">
      <c r="A298" s="10" t="s">
        <v>1596</v>
      </c>
      <c r="B298" s="10" t="s">
        <v>1619</v>
      </c>
      <c r="C298" s="10" t="s">
        <v>1597</v>
      </c>
      <c r="D298" s="12" t="s">
        <v>38</v>
      </c>
      <c r="E298" s="11">
        <v>18</v>
      </c>
      <c r="F298" s="14">
        <v>542.49</v>
      </c>
      <c r="G298" s="15" t="s">
        <v>1</v>
      </c>
      <c r="H298" s="11">
        <v>1</v>
      </c>
      <c r="I298" s="14">
        <v>9764.82</v>
      </c>
      <c r="J298" s="11">
        <v>3.08</v>
      </c>
      <c r="K298" s="14">
        <v>30075.65</v>
      </c>
    </row>
    <row r="299" spans="1:11" ht="56" x14ac:dyDescent="0.25">
      <c r="A299" s="10" t="s">
        <v>1598</v>
      </c>
      <c r="B299" s="10" t="s">
        <v>1620</v>
      </c>
      <c r="C299" s="10" t="s">
        <v>1599</v>
      </c>
      <c r="D299" s="12" t="s">
        <v>38</v>
      </c>
      <c r="E299" s="11">
        <v>2</v>
      </c>
      <c r="F299" s="14">
        <v>970.05</v>
      </c>
      <c r="G299" s="15" t="s">
        <v>1</v>
      </c>
      <c r="H299" s="11">
        <v>1</v>
      </c>
      <c r="I299" s="14">
        <v>1940.1</v>
      </c>
      <c r="J299" s="11">
        <v>3.66</v>
      </c>
      <c r="K299" s="14">
        <v>7100.77</v>
      </c>
    </row>
    <row r="300" spans="1:11" ht="14.5" x14ac:dyDescent="0.25">
      <c r="A300" s="10"/>
      <c r="B300" s="10"/>
      <c r="C300" s="10" t="s">
        <v>260</v>
      </c>
      <c r="D300" s="12" t="s">
        <v>261</v>
      </c>
      <c r="E300" s="11">
        <v>97</v>
      </c>
      <c r="F300" s="14"/>
      <c r="G300" s="13"/>
      <c r="H300" s="11"/>
      <c r="I300" s="14">
        <v>144.82</v>
      </c>
      <c r="J300" s="11">
        <v>97</v>
      </c>
      <c r="K300" s="14">
        <v>8262.0300000000007</v>
      </c>
    </row>
    <row r="301" spans="1:11" ht="14.5" x14ac:dyDescent="0.25">
      <c r="A301" s="10"/>
      <c r="B301" s="10"/>
      <c r="C301" s="10" t="s">
        <v>262</v>
      </c>
      <c r="D301" s="12" t="s">
        <v>261</v>
      </c>
      <c r="E301" s="11">
        <v>51</v>
      </c>
      <c r="F301" s="14"/>
      <c r="G301" s="13"/>
      <c r="H301" s="11"/>
      <c r="I301" s="14">
        <v>76.14</v>
      </c>
      <c r="J301" s="11">
        <v>51</v>
      </c>
      <c r="K301" s="14">
        <v>4343.96</v>
      </c>
    </row>
    <row r="302" spans="1:11" ht="14.5" x14ac:dyDescent="0.25">
      <c r="A302" s="17"/>
      <c r="B302" s="17"/>
      <c r="C302" s="17" t="s">
        <v>263</v>
      </c>
      <c r="D302" s="18" t="s">
        <v>264</v>
      </c>
      <c r="E302" s="19">
        <v>18.14</v>
      </c>
      <c r="F302" s="20"/>
      <c r="G302" s="21" t="s">
        <v>13</v>
      </c>
      <c r="H302" s="19">
        <v>1</v>
      </c>
      <c r="I302" s="20">
        <v>13.06</v>
      </c>
      <c r="J302" s="19"/>
      <c r="K302" s="20"/>
    </row>
    <row r="303" spans="1:11" ht="14" x14ac:dyDescent="0.25">
      <c r="C303" s="22" t="s">
        <v>265</v>
      </c>
      <c r="H303" s="143">
        <v>12085.92</v>
      </c>
      <c r="I303" s="143"/>
      <c r="J303" s="143">
        <v>58399.65</v>
      </c>
      <c r="K303" s="143"/>
    </row>
    <row r="304" spans="1:11" ht="14" x14ac:dyDescent="0.25">
      <c r="C304" s="22" t="s">
        <v>267</v>
      </c>
      <c r="H304" s="141">
        <v>12085.92</v>
      </c>
      <c r="I304" s="141"/>
      <c r="J304" s="141">
        <v>58399.65</v>
      </c>
      <c r="K304" s="141"/>
    </row>
    <row r="306" spans="1:11" ht="41" x14ac:dyDescent="0.25">
      <c r="A306" s="17">
        <v>45</v>
      </c>
      <c r="B306" s="17" t="s">
        <v>409</v>
      </c>
      <c r="C306" s="17" t="s">
        <v>2082</v>
      </c>
      <c r="D306" s="18" t="s">
        <v>11</v>
      </c>
      <c r="E306" s="19">
        <v>54</v>
      </c>
      <c r="F306" s="20">
        <v>1.76</v>
      </c>
      <c r="G306" s="21" t="s">
        <v>1</v>
      </c>
      <c r="H306" s="19">
        <v>1</v>
      </c>
      <c r="I306" s="20">
        <v>95.04</v>
      </c>
      <c r="J306" s="19">
        <v>10.18</v>
      </c>
      <c r="K306" s="20">
        <v>967.51</v>
      </c>
    </row>
    <row r="307" spans="1:11" ht="14" x14ac:dyDescent="0.25">
      <c r="C307" s="22" t="s">
        <v>267</v>
      </c>
      <c r="H307" s="143">
        <v>95.04</v>
      </c>
      <c r="I307" s="143"/>
      <c r="J307" s="143">
        <v>967.51</v>
      </c>
      <c r="K307" s="143"/>
    </row>
    <row r="309" spans="1:11" ht="41" x14ac:dyDescent="0.25">
      <c r="A309" s="17">
        <v>46</v>
      </c>
      <c r="B309" s="17" t="s">
        <v>409</v>
      </c>
      <c r="C309" s="17" t="s">
        <v>2083</v>
      </c>
      <c r="D309" s="18" t="s">
        <v>11</v>
      </c>
      <c r="E309" s="19">
        <v>27</v>
      </c>
      <c r="F309" s="20">
        <v>2.16</v>
      </c>
      <c r="G309" s="21" t="s">
        <v>1</v>
      </c>
      <c r="H309" s="19">
        <v>1</v>
      </c>
      <c r="I309" s="20">
        <v>58.32</v>
      </c>
      <c r="J309" s="19">
        <v>10.18</v>
      </c>
      <c r="K309" s="20">
        <v>593.70000000000005</v>
      </c>
    </row>
    <row r="310" spans="1:11" ht="14" x14ac:dyDescent="0.25">
      <c r="C310" s="22" t="s">
        <v>267</v>
      </c>
      <c r="H310" s="143">
        <v>58.32</v>
      </c>
      <c r="I310" s="143"/>
      <c r="J310" s="143">
        <v>593.70000000000005</v>
      </c>
      <c r="K310" s="143"/>
    </row>
    <row r="312" spans="1:11" ht="41" x14ac:dyDescent="0.25">
      <c r="A312" s="17">
        <v>47</v>
      </c>
      <c r="B312" s="17" t="s">
        <v>409</v>
      </c>
      <c r="C312" s="17" t="s">
        <v>1626</v>
      </c>
      <c r="D312" s="18" t="s">
        <v>11</v>
      </c>
      <c r="E312" s="19">
        <v>54</v>
      </c>
      <c r="F312" s="20">
        <v>18.32</v>
      </c>
      <c r="G312" s="21" t="s">
        <v>1</v>
      </c>
      <c r="H312" s="19">
        <v>1</v>
      </c>
      <c r="I312" s="20">
        <v>989.28</v>
      </c>
      <c r="J312" s="19">
        <v>10.18</v>
      </c>
      <c r="K312" s="20">
        <v>10070.870000000001</v>
      </c>
    </row>
    <row r="313" spans="1:11" ht="14" x14ac:dyDescent="0.25">
      <c r="C313" s="22" t="s">
        <v>267</v>
      </c>
      <c r="H313" s="143">
        <v>989.28</v>
      </c>
      <c r="I313" s="143"/>
      <c r="J313" s="143">
        <v>10070.870000000001</v>
      </c>
      <c r="K313" s="143"/>
    </row>
    <row r="315" spans="1:11" ht="79" x14ac:dyDescent="0.25">
      <c r="A315" s="10">
        <v>48</v>
      </c>
      <c r="B315" s="10" t="s">
        <v>1600</v>
      </c>
      <c r="C315" s="10" t="s">
        <v>1601</v>
      </c>
      <c r="D315" s="12" t="s">
        <v>50</v>
      </c>
      <c r="E315" s="11">
        <v>0.16</v>
      </c>
      <c r="F315" s="14"/>
      <c r="G315" s="13"/>
      <c r="H315" s="11"/>
      <c r="I315" s="14"/>
      <c r="J315" s="11"/>
      <c r="K315" s="14"/>
    </row>
    <row r="316" spans="1:11" x14ac:dyDescent="0.25">
      <c r="C316" s="23" t="s">
        <v>406</v>
      </c>
    </row>
    <row r="317" spans="1:11" ht="14.5" x14ac:dyDescent="0.25">
      <c r="A317" s="10"/>
      <c r="B317" s="10"/>
      <c r="C317" s="10" t="s">
        <v>256</v>
      </c>
      <c r="D317" s="12"/>
      <c r="E317" s="11"/>
      <c r="F317" s="14">
        <v>368.37</v>
      </c>
      <c r="G317" s="15" t="s">
        <v>13</v>
      </c>
      <c r="H317" s="11">
        <v>1</v>
      </c>
      <c r="I317" s="14">
        <v>70.73</v>
      </c>
      <c r="J317" s="11">
        <v>57.05</v>
      </c>
      <c r="K317" s="14">
        <v>4035.15</v>
      </c>
    </row>
    <row r="318" spans="1:11" ht="14.5" x14ac:dyDescent="0.25">
      <c r="A318" s="10"/>
      <c r="B318" s="10"/>
      <c r="C318" s="10" t="s">
        <v>257</v>
      </c>
      <c r="D318" s="12"/>
      <c r="E318" s="11"/>
      <c r="F318" s="14">
        <v>46.12</v>
      </c>
      <c r="G318" s="15" t="s">
        <v>13</v>
      </c>
      <c r="H318" s="11">
        <v>1</v>
      </c>
      <c r="I318" s="14">
        <v>8.86</v>
      </c>
      <c r="J318" s="11">
        <v>14.86</v>
      </c>
      <c r="K318" s="14">
        <v>131.66</v>
      </c>
    </row>
    <row r="319" spans="1:11" ht="14.5" x14ac:dyDescent="0.25">
      <c r="A319" s="10"/>
      <c r="B319" s="10"/>
      <c r="C319" s="10" t="s">
        <v>258</v>
      </c>
      <c r="D319" s="12"/>
      <c r="E319" s="11"/>
      <c r="F319" s="14">
        <v>3.79</v>
      </c>
      <c r="G319" s="15" t="s">
        <v>13</v>
      </c>
      <c r="H319" s="11">
        <v>1</v>
      </c>
      <c r="I319" s="16">
        <v>0.73</v>
      </c>
      <c r="J319" s="11">
        <v>57.05</v>
      </c>
      <c r="K319" s="16">
        <v>41.65</v>
      </c>
    </row>
    <row r="320" spans="1:11" ht="14.5" x14ac:dyDescent="0.25">
      <c r="A320" s="10"/>
      <c r="B320" s="10"/>
      <c r="C320" s="10" t="s">
        <v>259</v>
      </c>
      <c r="D320" s="12"/>
      <c r="E320" s="11"/>
      <c r="F320" s="14">
        <v>663.31</v>
      </c>
      <c r="G320" s="15" t="s">
        <v>1</v>
      </c>
      <c r="H320" s="11">
        <v>1</v>
      </c>
      <c r="I320" s="14">
        <v>106.13</v>
      </c>
      <c r="J320" s="11">
        <v>2.71</v>
      </c>
      <c r="K320" s="14">
        <v>287.61</v>
      </c>
    </row>
    <row r="321" spans="1:11" ht="70" x14ac:dyDescent="0.25">
      <c r="A321" s="10" t="s">
        <v>1170</v>
      </c>
      <c r="B321" s="10" t="s">
        <v>1621</v>
      </c>
      <c r="C321" s="10" t="s">
        <v>1602</v>
      </c>
      <c r="D321" s="12" t="s">
        <v>52</v>
      </c>
      <c r="E321" s="11">
        <v>16.32</v>
      </c>
      <c r="F321" s="14">
        <v>9.16</v>
      </c>
      <c r="G321" s="15" t="s">
        <v>1</v>
      </c>
      <c r="H321" s="11">
        <v>1</v>
      </c>
      <c r="I321" s="14">
        <v>149.49</v>
      </c>
      <c r="J321" s="11">
        <v>5.53</v>
      </c>
      <c r="K321" s="14">
        <v>826.68</v>
      </c>
    </row>
    <row r="322" spans="1:11" ht="14.5" x14ac:dyDescent="0.25">
      <c r="A322" s="10"/>
      <c r="B322" s="10"/>
      <c r="C322" s="10" t="s">
        <v>260</v>
      </c>
      <c r="D322" s="12" t="s">
        <v>261</v>
      </c>
      <c r="E322" s="11">
        <v>97</v>
      </c>
      <c r="F322" s="14"/>
      <c r="G322" s="13"/>
      <c r="H322" s="11"/>
      <c r="I322" s="14">
        <v>69.319999999999993</v>
      </c>
      <c r="J322" s="11">
        <v>97</v>
      </c>
      <c r="K322" s="14">
        <v>3954.5</v>
      </c>
    </row>
    <row r="323" spans="1:11" ht="14.5" x14ac:dyDescent="0.25">
      <c r="A323" s="10"/>
      <c r="B323" s="10"/>
      <c r="C323" s="10" t="s">
        <v>262</v>
      </c>
      <c r="D323" s="12" t="s">
        <v>261</v>
      </c>
      <c r="E323" s="11">
        <v>51</v>
      </c>
      <c r="F323" s="14"/>
      <c r="G323" s="13"/>
      <c r="H323" s="11"/>
      <c r="I323" s="14">
        <v>36.44</v>
      </c>
      <c r="J323" s="11">
        <v>51</v>
      </c>
      <c r="K323" s="14">
        <v>2079.17</v>
      </c>
    </row>
    <row r="324" spans="1:11" ht="14.5" x14ac:dyDescent="0.25">
      <c r="A324" s="17"/>
      <c r="B324" s="17"/>
      <c r="C324" s="17" t="s">
        <v>263</v>
      </c>
      <c r="D324" s="18" t="s">
        <v>264</v>
      </c>
      <c r="E324" s="19">
        <v>29.9</v>
      </c>
      <c r="F324" s="20"/>
      <c r="G324" s="21" t="s">
        <v>13</v>
      </c>
      <c r="H324" s="19">
        <v>1</v>
      </c>
      <c r="I324" s="20">
        <v>5.74</v>
      </c>
      <c r="J324" s="19"/>
      <c r="K324" s="20"/>
    </row>
    <row r="325" spans="1:11" ht="14" x14ac:dyDescent="0.25">
      <c r="C325" s="22" t="s">
        <v>265</v>
      </c>
      <c r="H325" s="143">
        <v>440.97</v>
      </c>
      <c r="I325" s="143"/>
      <c r="J325" s="143">
        <v>11314.77</v>
      </c>
      <c r="K325" s="143"/>
    </row>
    <row r="326" spans="1:11" ht="14" x14ac:dyDescent="0.25">
      <c r="C326" s="22" t="s">
        <v>267</v>
      </c>
      <c r="H326" s="141">
        <v>440.97</v>
      </c>
      <c r="I326" s="141"/>
      <c r="J326" s="141">
        <v>11314.77</v>
      </c>
      <c r="K326" s="141"/>
    </row>
    <row r="328" spans="1:11" ht="79" x14ac:dyDescent="0.25">
      <c r="A328" s="10">
        <v>49</v>
      </c>
      <c r="B328" s="10" t="s">
        <v>1603</v>
      </c>
      <c r="C328" s="10" t="s">
        <v>1604</v>
      </c>
      <c r="D328" s="12" t="s">
        <v>50</v>
      </c>
      <c r="E328" s="11">
        <v>0.1</v>
      </c>
      <c r="F328" s="14"/>
      <c r="G328" s="13"/>
      <c r="H328" s="11"/>
      <c r="I328" s="14"/>
      <c r="J328" s="11"/>
      <c r="K328" s="14"/>
    </row>
    <row r="329" spans="1:11" x14ac:dyDescent="0.25">
      <c r="C329" s="23" t="s">
        <v>817</v>
      </c>
    </row>
    <row r="330" spans="1:11" ht="14.5" x14ac:dyDescent="0.25">
      <c r="A330" s="10"/>
      <c r="B330" s="10"/>
      <c r="C330" s="10" t="s">
        <v>256</v>
      </c>
      <c r="D330" s="12"/>
      <c r="E330" s="11"/>
      <c r="F330" s="14">
        <v>291.98</v>
      </c>
      <c r="G330" s="15" t="s">
        <v>13</v>
      </c>
      <c r="H330" s="11">
        <v>1</v>
      </c>
      <c r="I330" s="14">
        <v>35.04</v>
      </c>
      <c r="J330" s="11">
        <v>57.05</v>
      </c>
      <c r="K330" s="14">
        <v>1999.03</v>
      </c>
    </row>
    <row r="331" spans="1:11" ht="14.5" x14ac:dyDescent="0.25">
      <c r="A331" s="10"/>
      <c r="B331" s="10"/>
      <c r="C331" s="10" t="s">
        <v>257</v>
      </c>
      <c r="D331" s="12"/>
      <c r="E331" s="11"/>
      <c r="F331" s="14">
        <v>44.98</v>
      </c>
      <c r="G331" s="15" t="s">
        <v>13</v>
      </c>
      <c r="H331" s="11">
        <v>1</v>
      </c>
      <c r="I331" s="14">
        <v>5.4</v>
      </c>
      <c r="J331" s="11">
        <v>15.04</v>
      </c>
      <c r="K331" s="14">
        <v>81.22</v>
      </c>
    </row>
    <row r="332" spans="1:11" ht="14.5" x14ac:dyDescent="0.25">
      <c r="A332" s="10"/>
      <c r="B332" s="10"/>
      <c r="C332" s="10" t="s">
        <v>258</v>
      </c>
      <c r="D332" s="12"/>
      <c r="E332" s="11"/>
      <c r="F332" s="14">
        <v>3.79</v>
      </c>
      <c r="G332" s="15" t="s">
        <v>13</v>
      </c>
      <c r="H332" s="11">
        <v>1</v>
      </c>
      <c r="I332" s="16">
        <v>0.45</v>
      </c>
      <c r="J332" s="11">
        <v>57.05</v>
      </c>
      <c r="K332" s="16">
        <v>25.67</v>
      </c>
    </row>
    <row r="333" spans="1:11" ht="14.5" x14ac:dyDescent="0.25">
      <c r="A333" s="10"/>
      <c r="B333" s="10"/>
      <c r="C333" s="10" t="s">
        <v>259</v>
      </c>
      <c r="D333" s="12"/>
      <c r="E333" s="11"/>
      <c r="F333" s="14">
        <v>663.31</v>
      </c>
      <c r="G333" s="15" t="s">
        <v>1</v>
      </c>
      <c r="H333" s="11">
        <v>1</v>
      </c>
      <c r="I333" s="14">
        <v>66.33</v>
      </c>
      <c r="J333" s="11">
        <v>2.71</v>
      </c>
      <c r="K333" s="14">
        <v>179.75</v>
      </c>
    </row>
    <row r="334" spans="1:11" ht="70" x14ac:dyDescent="0.25">
      <c r="A334" s="10" t="s">
        <v>1175</v>
      </c>
      <c r="B334" s="10" t="s">
        <v>1622</v>
      </c>
      <c r="C334" s="10" t="s">
        <v>1605</v>
      </c>
      <c r="D334" s="12" t="s">
        <v>52</v>
      </c>
      <c r="E334" s="11">
        <v>10.199999999999999</v>
      </c>
      <c r="F334" s="14">
        <v>13.75</v>
      </c>
      <c r="G334" s="15" t="s">
        <v>1</v>
      </c>
      <c r="H334" s="11">
        <v>1</v>
      </c>
      <c r="I334" s="14">
        <v>140.25</v>
      </c>
      <c r="J334" s="11">
        <v>6.79</v>
      </c>
      <c r="K334" s="14">
        <v>952.3</v>
      </c>
    </row>
    <row r="335" spans="1:11" ht="28" x14ac:dyDescent="0.25">
      <c r="A335" s="10" t="s">
        <v>1176</v>
      </c>
      <c r="B335" s="10" t="s">
        <v>2084</v>
      </c>
      <c r="C335" s="10" t="s">
        <v>940</v>
      </c>
      <c r="D335" s="12" t="s">
        <v>9</v>
      </c>
      <c r="E335" s="11">
        <v>1</v>
      </c>
      <c r="F335" s="14">
        <v>42.53</v>
      </c>
      <c r="G335" s="15" t="s">
        <v>1</v>
      </c>
      <c r="H335" s="11">
        <v>1</v>
      </c>
      <c r="I335" s="14">
        <v>42.53</v>
      </c>
      <c r="J335" s="11">
        <v>4.22</v>
      </c>
      <c r="K335" s="14">
        <v>179.48</v>
      </c>
    </row>
    <row r="336" spans="1:11" ht="14.5" x14ac:dyDescent="0.25">
      <c r="A336" s="10"/>
      <c r="B336" s="10"/>
      <c r="C336" s="10" t="s">
        <v>260</v>
      </c>
      <c r="D336" s="12" t="s">
        <v>261</v>
      </c>
      <c r="E336" s="11">
        <v>97</v>
      </c>
      <c r="F336" s="14"/>
      <c r="G336" s="13"/>
      <c r="H336" s="11"/>
      <c r="I336" s="14">
        <v>34.43</v>
      </c>
      <c r="J336" s="11">
        <v>97</v>
      </c>
      <c r="K336" s="14">
        <v>1963.96</v>
      </c>
    </row>
    <row r="337" spans="1:11" ht="14.5" x14ac:dyDescent="0.25">
      <c r="A337" s="10"/>
      <c r="B337" s="10"/>
      <c r="C337" s="10" t="s">
        <v>262</v>
      </c>
      <c r="D337" s="12" t="s">
        <v>261</v>
      </c>
      <c r="E337" s="11">
        <v>51</v>
      </c>
      <c r="F337" s="14"/>
      <c r="G337" s="13"/>
      <c r="H337" s="11"/>
      <c r="I337" s="14">
        <v>18.100000000000001</v>
      </c>
      <c r="J337" s="11">
        <v>51</v>
      </c>
      <c r="K337" s="14">
        <v>1032.5999999999999</v>
      </c>
    </row>
    <row r="338" spans="1:11" ht="14.5" x14ac:dyDescent="0.25">
      <c r="A338" s="17"/>
      <c r="B338" s="17"/>
      <c r="C338" s="17" t="s">
        <v>263</v>
      </c>
      <c r="D338" s="18" t="s">
        <v>264</v>
      </c>
      <c r="E338" s="19">
        <v>23.7</v>
      </c>
      <c r="F338" s="20"/>
      <c r="G338" s="21" t="s">
        <v>13</v>
      </c>
      <c r="H338" s="19">
        <v>1</v>
      </c>
      <c r="I338" s="20">
        <v>2.84</v>
      </c>
      <c r="J338" s="19"/>
      <c r="K338" s="20"/>
    </row>
    <row r="339" spans="1:11" ht="14" x14ac:dyDescent="0.25">
      <c r="C339" s="22" t="s">
        <v>265</v>
      </c>
      <c r="H339" s="143">
        <v>342.08</v>
      </c>
      <c r="I339" s="143"/>
      <c r="J339" s="143">
        <v>6388.34</v>
      </c>
      <c r="K339" s="143"/>
    </row>
    <row r="340" spans="1:11" ht="14" x14ac:dyDescent="0.25">
      <c r="C340" s="22" t="s">
        <v>267</v>
      </c>
      <c r="H340" s="141">
        <v>342.08</v>
      </c>
      <c r="I340" s="141"/>
      <c r="J340" s="141">
        <v>6388.34</v>
      </c>
      <c r="K340" s="141"/>
    </row>
    <row r="342" spans="1:11" ht="79" x14ac:dyDescent="0.25">
      <c r="A342" s="10">
        <v>50</v>
      </c>
      <c r="B342" s="10" t="s">
        <v>281</v>
      </c>
      <c r="C342" s="10" t="s">
        <v>62</v>
      </c>
      <c r="D342" s="12" t="s">
        <v>50</v>
      </c>
      <c r="E342" s="11">
        <v>5.8</v>
      </c>
      <c r="F342" s="14"/>
      <c r="G342" s="13"/>
      <c r="H342" s="11"/>
      <c r="I342" s="14"/>
      <c r="J342" s="11"/>
      <c r="K342" s="14"/>
    </row>
    <row r="343" spans="1:11" x14ac:dyDescent="0.25">
      <c r="C343" s="23" t="s">
        <v>1618</v>
      </c>
    </row>
    <row r="344" spans="1:11" ht="14.5" x14ac:dyDescent="0.25">
      <c r="A344" s="10"/>
      <c r="B344" s="10"/>
      <c r="C344" s="10" t="s">
        <v>256</v>
      </c>
      <c r="D344" s="12"/>
      <c r="E344" s="11"/>
      <c r="F344" s="14">
        <v>66.3</v>
      </c>
      <c r="G344" s="15" t="s">
        <v>13</v>
      </c>
      <c r="H344" s="11">
        <v>1</v>
      </c>
      <c r="I344" s="14">
        <v>461.45</v>
      </c>
      <c r="J344" s="11">
        <v>57.05</v>
      </c>
      <c r="K344" s="14">
        <v>26325.72</v>
      </c>
    </row>
    <row r="345" spans="1:11" ht="14.5" x14ac:dyDescent="0.25">
      <c r="A345" s="10"/>
      <c r="B345" s="10"/>
      <c r="C345" s="10" t="s">
        <v>257</v>
      </c>
      <c r="D345" s="12"/>
      <c r="E345" s="11"/>
      <c r="F345" s="14">
        <v>5.25</v>
      </c>
      <c r="G345" s="15" t="s">
        <v>13</v>
      </c>
      <c r="H345" s="11">
        <v>1</v>
      </c>
      <c r="I345" s="14">
        <v>36.54</v>
      </c>
      <c r="J345" s="11">
        <v>15.93</v>
      </c>
      <c r="K345" s="14">
        <v>582.08000000000004</v>
      </c>
    </row>
    <row r="346" spans="1:11" ht="14.5" x14ac:dyDescent="0.25">
      <c r="A346" s="10"/>
      <c r="B346" s="10"/>
      <c r="C346" s="10" t="s">
        <v>258</v>
      </c>
      <c r="D346" s="12"/>
      <c r="E346" s="11"/>
      <c r="F346" s="14">
        <v>0.59</v>
      </c>
      <c r="G346" s="15" t="s">
        <v>13</v>
      </c>
      <c r="H346" s="11">
        <v>1</v>
      </c>
      <c r="I346" s="16">
        <v>4.1100000000000003</v>
      </c>
      <c r="J346" s="11">
        <v>57.05</v>
      </c>
      <c r="K346" s="16">
        <v>234.48</v>
      </c>
    </row>
    <row r="347" spans="1:11" ht="14.5" x14ac:dyDescent="0.25">
      <c r="A347" s="10"/>
      <c r="B347" s="10"/>
      <c r="C347" s="10" t="s">
        <v>259</v>
      </c>
      <c r="D347" s="12"/>
      <c r="E347" s="11"/>
      <c r="F347" s="14">
        <v>61.98</v>
      </c>
      <c r="G347" s="15" t="s">
        <v>1</v>
      </c>
      <c r="H347" s="11">
        <v>1</v>
      </c>
      <c r="I347" s="14">
        <v>359.48</v>
      </c>
      <c r="J347" s="11">
        <v>4.5</v>
      </c>
      <c r="K347" s="14">
        <v>1617.66</v>
      </c>
    </row>
    <row r="348" spans="1:11" ht="14.5" x14ac:dyDescent="0.25">
      <c r="A348" s="10"/>
      <c r="B348" s="10"/>
      <c r="C348" s="10" t="s">
        <v>260</v>
      </c>
      <c r="D348" s="12" t="s">
        <v>261</v>
      </c>
      <c r="E348" s="11">
        <v>97</v>
      </c>
      <c r="F348" s="14"/>
      <c r="G348" s="13"/>
      <c r="H348" s="11"/>
      <c r="I348" s="14">
        <v>451.59</v>
      </c>
      <c r="J348" s="11">
        <v>97</v>
      </c>
      <c r="K348" s="14">
        <v>25763.39</v>
      </c>
    </row>
    <row r="349" spans="1:11" ht="14.5" x14ac:dyDescent="0.25">
      <c r="A349" s="10"/>
      <c r="B349" s="10"/>
      <c r="C349" s="10" t="s">
        <v>262</v>
      </c>
      <c r="D349" s="12" t="s">
        <v>261</v>
      </c>
      <c r="E349" s="11">
        <v>51</v>
      </c>
      <c r="F349" s="14"/>
      <c r="G349" s="13"/>
      <c r="H349" s="11"/>
      <c r="I349" s="14">
        <v>237.44</v>
      </c>
      <c r="J349" s="11">
        <v>51</v>
      </c>
      <c r="K349" s="14">
        <v>13545.7</v>
      </c>
    </row>
    <row r="350" spans="1:11" ht="14.5" x14ac:dyDescent="0.25">
      <c r="A350" s="17"/>
      <c r="B350" s="17"/>
      <c r="C350" s="17" t="s">
        <v>263</v>
      </c>
      <c r="D350" s="18" t="s">
        <v>264</v>
      </c>
      <c r="E350" s="19">
        <v>5.39</v>
      </c>
      <c r="F350" s="20"/>
      <c r="G350" s="21" t="s">
        <v>13</v>
      </c>
      <c r="H350" s="19">
        <v>1</v>
      </c>
      <c r="I350" s="20">
        <v>37.51</v>
      </c>
      <c r="J350" s="19"/>
      <c r="K350" s="20"/>
    </row>
    <row r="351" spans="1:11" ht="14" x14ac:dyDescent="0.25">
      <c r="C351" s="22" t="s">
        <v>265</v>
      </c>
      <c r="H351" s="143">
        <v>1546.5</v>
      </c>
      <c r="I351" s="143"/>
      <c r="J351" s="143">
        <v>67834.55</v>
      </c>
      <c r="K351" s="143"/>
    </row>
    <row r="352" spans="1:11" ht="14" x14ac:dyDescent="0.25">
      <c r="C352" s="22" t="s">
        <v>267</v>
      </c>
      <c r="H352" s="141">
        <v>1546.5</v>
      </c>
      <c r="I352" s="141"/>
      <c r="J352" s="141">
        <v>67834.55</v>
      </c>
      <c r="K352" s="141"/>
    </row>
    <row r="354" spans="1:11" ht="79" x14ac:dyDescent="0.25">
      <c r="A354" s="10">
        <v>51</v>
      </c>
      <c r="B354" s="10" t="s">
        <v>1606</v>
      </c>
      <c r="C354" s="10" t="s">
        <v>1607</v>
      </c>
      <c r="D354" s="12" t="s">
        <v>50</v>
      </c>
      <c r="E354" s="11">
        <v>42.9</v>
      </c>
      <c r="F354" s="14"/>
      <c r="G354" s="13"/>
      <c r="H354" s="11"/>
      <c r="I354" s="14"/>
      <c r="J354" s="11"/>
      <c r="K354" s="14"/>
    </row>
    <row r="355" spans="1:11" x14ac:dyDescent="0.25">
      <c r="C355" s="23" t="s">
        <v>1623</v>
      </c>
    </row>
    <row r="356" spans="1:11" ht="14.5" x14ac:dyDescent="0.25">
      <c r="A356" s="10"/>
      <c r="B356" s="10"/>
      <c r="C356" s="10" t="s">
        <v>256</v>
      </c>
      <c r="D356" s="12"/>
      <c r="E356" s="11"/>
      <c r="F356" s="14">
        <v>65.599999999999994</v>
      </c>
      <c r="G356" s="15" t="s">
        <v>13</v>
      </c>
      <c r="H356" s="11">
        <v>1</v>
      </c>
      <c r="I356" s="14">
        <v>3377.09</v>
      </c>
      <c r="J356" s="11">
        <v>57.05</v>
      </c>
      <c r="K356" s="14">
        <v>192662.98</v>
      </c>
    </row>
    <row r="357" spans="1:11" ht="14.5" x14ac:dyDescent="0.25">
      <c r="A357" s="10"/>
      <c r="B357" s="10"/>
      <c r="C357" s="10" t="s">
        <v>257</v>
      </c>
      <c r="D357" s="12"/>
      <c r="E357" s="11"/>
      <c r="F357" s="14">
        <v>2.62</v>
      </c>
      <c r="G357" s="15" t="s">
        <v>13</v>
      </c>
      <c r="H357" s="11">
        <v>1</v>
      </c>
      <c r="I357" s="14">
        <v>134.88</v>
      </c>
      <c r="J357" s="11">
        <v>15.96</v>
      </c>
      <c r="K357" s="14">
        <v>2152.6799999999998</v>
      </c>
    </row>
    <row r="358" spans="1:11" ht="14.5" x14ac:dyDescent="0.25">
      <c r="A358" s="10"/>
      <c r="B358" s="10"/>
      <c r="C358" s="10" t="s">
        <v>258</v>
      </c>
      <c r="D358" s="12"/>
      <c r="E358" s="11"/>
      <c r="F358" s="14">
        <v>0.3</v>
      </c>
      <c r="G358" s="15" t="s">
        <v>13</v>
      </c>
      <c r="H358" s="11">
        <v>1</v>
      </c>
      <c r="I358" s="16">
        <v>15.44</v>
      </c>
      <c r="J358" s="11">
        <v>57.05</v>
      </c>
      <c r="K358" s="16">
        <v>880.85</v>
      </c>
    </row>
    <row r="359" spans="1:11" ht="14.5" x14ac:dyDescent="0.25">
      <c r="A359" s="10"/>
      <c r="B359" s="10"/>
      <c r="C359" s="10" t="s">
        <v>259</v>
      </c>
      <c r="D359" s="12"/>
      <c r="E359" s="11"/>
      <c r="F359" s="14">
        <v>125.83</v>
      </c>
      <c r="G359" s="15" t="s">
        <v>1</v>
      </c>
      <c r="H359" s="11">
        <v>1</v>
      </c>
      <c r="I359" s="14">
        <v>5398.11</v>
      </c>
      <c r="J359" s="11">
        <v>3.22</v>
      </c>
      <c r="K359" s="14">
        <v>17381.91</v>
      </c>
    </row>
    <row r="360" spans="1:11" ht="14.5" x14ac:dyDescent="0.25">
      <c r="A360" s="10"/>
      <c r="B360" s="10"/>
      <c r="C360" s="10" t="s">
        <v>260</v>
      </c>
      <c r="D360" s="12" t="s">
        <v>261</v>
      </c>
      <c r="E360" s="11">
        <v>97</v>
      </c>
      <c r="F360" s="14"/>
      <c r="G360" s="13"/>
      <c r="H360" s="11"/>
      <c r="I360" s="14">
        <v>3290.75</v>
      </c>
      <c r="J360" s="11">
        <v>97</v>
      </c>
      <c r="K360" s="14">
        <v>187737.52</v>
      </c>
    </row>
    <row r="361" spans="1:11" ht="14.5" x14ac:dyDescent="0.25">
      <c r="A361" s="10"/>
      <c r="B361" s="10"/>
      <c r="C361" s="10" t="s">
        <v>262</v>
      </c>
      <c r="D361" s="12" t="s">
        <v>261</v>
      </c>
      <c r="E361" s="11">
        <v>51</v>
      </c>
      <c r="F361" s="14"/>
      <c r="G361" s="13"/>
      <c r="H361" s="11"/>
      <c r="I361" s="14">
        <v>1730.19</v>
      </c>
      <c r="J361" s="11">
        <v>51</v>
      </c>
      <c r="K361" s="14">
        <v>98707.35</v>
      </c>
    </row>
    <row r="362" spans="1:11" ht="14.5" x14ac:dyDescent="0.25">
      <c r="A362" s="17"/>
      <c r="B362" s="17"/>
      <c r="C362" s="17" t="s">
        <v>263</v>
      </c>
      <c r="D362" s="18" t="s">
        <v>264</v>
      </c>
      <c r="E362" s="19">
        <v>5.29</v>
      </c>
      <c r="F362" s="20"/>
      <c r="G362" s="21" t="s">
        <v>13</v>
      </c>
      <c r="H362" s="19">
        <v>1</v>
      </c>
      <c r="I362" s="20">
        <v>272.33</v>
      </c>
      <c r="J362" s="19"/>
      <c r="K362" s="20"/>
    </row>
    <row r="363" spans="1:11" ht="14" x14ac:dyDescent="0.25">
      <c r="C363" s="22" t="s">
        <v>265</v>
      </c>
      <c r="H363" s="143">
        <v>13931.02</v>
      </c>
      <c r="I363" s="143"/>
      <c r="J363" s="143">
        <v>498642.44</v>
      </c>
      <c r="K363" s="143"/>
    </row>
    <row r="364" spans="1:11" ht="14" x14ac:dyDescent="0.25">
      <c r="C364" s="22" t="s">
        <v>267</v>
      </c>
      <c r="H364" s="141">
        <v>13931.02</v>
      </c>
      <c r="I364" s="141"/>
      <c r="J364" s="141">
        <v>498642.44</v>
      </c>
      <c r="K364" s="141"/>
    </row>
    <row r="366" spans="1:11" ht="55" x14ac:dyDescent="0.25">
      <c r="A366" s="17">
        <v>52</v>
      </c>
      <c r="B366" s="17" t="s">
        <v>409</v>
      </c>
      <c r="C366" s="17" t="s">
        <v>1627</v>
      </c>
      <c r="D366" s="18" t="s">
        <v>52</v>
      </c>
      <c r="E366" s="19">
        <v>4947</v>
      </c>
      <c r="F366" s="20">
        <v>5.31</v>
      </c>
      <c r="G366" s="21" t="s">
        <v>1</v>
      </c>
      <c r="H366" s="19">
        <v>1</v>
      </c>
      <c r="I366" s="20">
        <v>26268.57</v>
      </c>
      <c r="J366" s="19">
        <v>10.18</v>
      </c>
      <c r="K366" s="20">
        <v>267414.03999999998</v>
      </c>
    </row>
    <row r="367" spans="1:11" ht="14" x14ac:dyDescent="0.25">
      <c r="C367" s="22" t="s">
        <v>267</v>
      </c>
      <c r="H367" s="143">
        <v>26268.57</v>
      </c>
      <c r="I367" s="143"/>
      <c r="J367" s="143">
        <v>267414.03999999998</v>
      </c>
      <c r="K367" s="143"/>
    </row>
    <row r="369" spans="1:11" ht="69" x14ac:dyDescent="0.25">
      <c r="A369" s="38">
        <v>53</v>
      </c>
      <c r="B369" s="38" t="s">
        <v>409</v>
      </c>
      <c r="C369" s="38" t="s">
        <v>2034</v>
      </c>
      <c r="D369" s="39" t="s">
        <v>52</v>
      </c>
      <c r="E369" s="40">
        <v>20.399999999999999</v>
      </c>
      <c r="F369" s="41">
        <v>15.92</v>
      </c>
      <c r="G369" s="42" t="s">
        <v>1</v>
      </c>
      <c r="H369" s="40">
        <v>1</v>
      </c>
      <c r="I369" s="41">
        <v>324.77</v>
      </c>
      <c r="J369" s="40">
        <v>10.18</v>
      </c>
      <c r="K369" s="41">
        <v>3306.16</v>
      </c>
    </row>
    <row r="370" spans="1:11" ht="14" x14ac:dyDescent="0.25">
      <c r="A370" s="43"/>
      <c r="B370" s="43"/>
      <c r="C370" s="44" t="s">
        <v>267</v>
      </c>
      <c r="D370" s="43"/>
      <c r="E370" s="43"/>
      <c r="F370" s="43"/>
      <c r="G370" s="43"/>
      <c r="H370" s="156">
        <v>324.77</v>
      </c>
      <c r="I370" s="156"/>
      <c r="J370" s="156">
        <v>3306.16</v>
      </c>
      <c r="K370" s="156"/>
    </row>
    <row r="373" spans="1:11" ht="14" x14ac:dyDescent="0.3">
      <c r="A373" s="140" t="s">
        <v>1628</v>
      </c>
      <c r="B373" s="140"/>
      <c r="C373" s="140"/>
      <c r="D373" s="140"/>
      <c r="E373" s="140"/>
      <c r="F373" s="140"/>
      <c r="G373" s="140"/>
      <c r="H373" s="141">
        <v>72487.92</v>
      </c>
      <c r="I373" s="142"/>
      <c r="J373" s="141">
        <v>1218927.6200000001</v>
      </c>
      <c r="K373" s="142"/>
    </row>
    <row r="375" spans="1:11" ht="14" x14ac:dyDescent="0.3">
      <c r="A375" s="140" t="s">
        <v>435</v>
      </c>
      <c r="B375" s="140"/>
      <c r="C375" s="140"/>
      <c r="D375" s="140"/>
      <c r="E375" s="140"/>
      <c r="F375" s="140"/>
      <c r="G375" s="140"/>
      <c r="H375" s="141">
        <v>398567.82</v>
      </c>
      <c r="I375" s="142"/>
      <c r="J375" s="141">
        <v>3916823.16</v>
      </c>
      <c r="K375" s="142"/>
    </row>
  </sheetData>
  <mergeCells count="184">
    <mergeCell ref="E17:H17"/>
    <mergeCell ref="E18:H18"/>
    <mergeCell ref="A21:K21"/>
    <mergeCell ref="E13:H13"/>
    <mergeCell ref="E14:H14"/>
    <mergeCell ref="E15:H15"/>
    <mergeCell ref="E16:H16"/>
    <mergeCell ref="J2:K2"/>
    <mergeCell ref="A3:K3"/>
    <mergeCell ref="A4:K4"/>
    <mergeCell ref="A6:K6"/>
    <mergeCell ref="A8:K8"/>
    <mergeCell ref="A9:K9"/>
    <mergeCell ref="H37:I37"/>
    <mergeCell ref="J37:K37"/>
    <mergeCell ref="H44:I44"/>
    <mergeCell ref="J44:K44"/>
    <mergeCell ref="A24:K24"/>
    <mergeCell ref="H33:I33"/>
    <mergeCell ref="J33:K33"/>
    <mergeCell ref="H34:I34"/>
    <mergeCell ref="J34:K34"/>
    <mergeCell ref="H54:I54"/>
    <mergeCell ref="J54:K54"/>
    <mergeCell ref="H63:I63"/>
    <mergeCell ref="J63:K63"/>
    <mergeCell ref="H45:I45"/>
    <mergeCell ref="J45:K45"/>
    <mergeCell ref="H48:I48"/>
    <mergeCell ref="J48:K48"/>
    <mergeCell ref="H51:I51"/>
    <mergeCell ref="J51:K51"/>
    <mergeCell ref="H73:I73"/>
    <mergeCell ref="J73:K73"/>
    <mergeCell ref="H80:I80"/>
    <mergeCell ref="J80:K80"/>
    <mergeCell ref="H64:I64"/>
    <mergeCell ref="J64:K64"/>
    <mergeCell ref="H67:I67"/>
    <mergeCell ref="J67:K67"/>
    <mergeCell ref="H70:I70"/>
    <mergeCell ref="J70:K70"/>
    <mergeCell ref="H98:I98"/>
    <mergeCell ref="J98:K98"/>
    <mergeCell ref="H99:I99"/>
    <mergeCell ref="J99:K99"/>
    <mergeCell ref="H81:I81"/>
    <mergeCell ref="J81:K81"/>
    <mergeCell ref="H84:I84"/>
    <mergeCell ref="J84:K84"/>
    <mergeCell ref="H87:I87"/>
    <mergeCell ref="J87:K87"/>
    <mergeCell ref="H114:I114"/>
    <mergeCell ref="J114:K114"/>
    <mergeCell ref="H115:I115"/>
    <mergeCell ref="J115:K115"/>
    <mergeCell ref="H102:I102"/>
    <mergeCell ref="J102:K102"/>
    <mergeCell ref="A105:G105"/>
    <mergeCell ref="H105:I105"/>
    <mergeCell ref="J105:K105"/>
    <mergeCell ref="A107:K107"/>
    <mergeCell ref="H132:I132"/>
    <mergeCell ref="J132:K132"/>
    <mergeCell ref="H135:I135"/>
    <mergeCell ref="J135:K135"/>
    <mergeCell ref="H118:I118"/>
    <mergeCell ref="J118:K118"/>
    <mergeCell ref="H121:I121"/>
    <mergeCell ref="J121:K121"/>
    <mergeCell ref="H131:I131"/>
    <mergeCell ref="J131:K131"/>
    <mergeCell ref="H155:I155"/>
    <mergeCell ref="J155:K155"/>
    <mergeCell ref="H164:I164"/>
    <mergeCell ref="J164:K164"/>
    <mergeCell ref="H149:I149"/>
    <mergeCell ref="J149:K149"/>
    <mergeCell ref="H152:I152"/>
    <mergeCell ref="J152:K152"/>
    <mergeCell ref="A138:G138"/>
    <mergeCell ref="H138:I138"/>
    <mergeCell ref="J138:K138"/>
    <mergeCell ref="A140:K140"/>
    <mergeCell ref="H148:I148"/>
    <mergeCell ref="J148:K148"/>
    <mergeCell ref="H189:I189"/>
    <mergeCell ref="J189:K189"/>
    <mergeCell ref="H190:I190"/>
    <mergeCell ref="J190:K190"/>
    <mergeCell ref="H176:I176"/>
    <mergeCell ref="J176:K176"/>
    <mergeCell ref="H179:I179"/>
    <mergeCell ref="J179:K179"/>
    <mergeCell ref="H165:I165"/>
    <mergeCell ref="J165:K165"/>
    <mergeCell ref="H168:I168"/>
    <mergeCell ref="J168:K168"/>
    <mergeCell ref="H175:I175"/>
    <mergeCell ref="J175:K175"/>
    <mergeCell ref="H209:I209"/>
    <mergeCell ref="J209:K209"/>
    <mergeCell ref="H216:I216"/>
    <mergeCell ref="J216:K216"/>
    <mergeCell ref="H193:I193"/>
    <mergeCell ref="J193:K193"/>
    <mergeCell ref="H196:I196"/>
    <mergeCell ref="J196:K196"/>
    <mergeCell ref="H208:I208"/>
    <mergeCell ref="J208:K208"/>
    <mergeCell ref="H234:I234"/>
    <mergeCell ref="J234:K234"/>
    <mergeCell ref="H242:I242"/>
    <mergeCell ref="J242:K242"/>
    <mergeCell ref="H230:I230"/>
    <mergeCell ref="J230:K230"/>
    <mergeCell ref="H231:I231"/>
    <mergeCell ref="J231:K231"/>
    <mergeCell ref="H217:I217"/>
    <mergeCell ref="J217:K217"/>
    <mergeCell ref="H220:I220"/>
    <mergeCell ref="J220:K220"/>
    <mergeCell ref="H255:I255"/>
    <mergeCell ref="J255:K255"/>
    <mergeCell ref="H258:I258"/>
    <mergeCell ref="J258:K258"/>
    <mergeCell ref="H243:I243"/>
    <mergeCell ref="J243:K243"/>
    <mergeCell ref="H246:I246"/>
    <mergeCell ref="J246:K246"/>
    <mergeCell ref="H254:I254"/>
    <mergeCell ref="J254:K254"/>
    <mergeCell ref="H269:I269"/>
    <mergeCell ref="J269:K269"/>
    <mergeCell ref="H272:I272"/>
    <mergeCell ref="J272:K272"/>
    <mergeCell ref="A275:G275"/>
    <mergeCell ref="H275:I275"/>
    <mergeCell ref="J275:K275"/>
    <mergeCell ref="H265:I265"/>
    <mergeCell ref="J265:K265"/>
    <mergeCell ref="H266:I266"/>
    <mergeCell ref="J266:K266"/>
    <mergeCell ref="H303:I303"/>
    <mergeCell ref="J303:K303"/>
    <mergeCell ref="H304:I304"/>
    <mergeCell ref="J304:K304"/>
    <mergeCell ref="A277:K277"/>
    <mergeCell ref="H289:I289"/>
    <mergeCell ref="J289:K289"/>
    <mergeCell ref="H290:I290"/>
    <mergeCell ref="J290:K290"/>
    <mergeCell ref="H325:I325"/>
    <mergeCell ref="J325:K325"/>
    <mergeCell ref="H326:I326"/>
    <mergeCell ref="J326:K326"/>
    <mergeCell ref="H307:I307"/>
    <mergeCell ref="J307:K307"/>
    <mergeCell ref="H310:I310"/>
    <mergeCell ref="J310:K310"/>
    <mergeCell ref="H313:I313"/>
    <mergeCell ref="J313:K313"/>
    <mergeCell ref="H363:I363"/>
    <mergeCell ref="J363:K363"/>
    <mergeCell ref="H364:I364"/>
    <mergeCell ref="J364:K364"/>
    <mergeCell ref="H351:I351"/>
    <mergeCell ref="J351:K351"/>
    <mergeCell ref="H352:I352"/>
    <mergeCell ref="J352:K352"/>
    <mergeCell ref="H339:I339"/>
    <mergeCell ref="J339:K339"/>
    <mergeCell ref="H340:I340"/>
    <mergeCell ref="J340:K340"/>
    <mergeCell ref="A375:G375"/>
    <mergeCell ref="H375:I375"/>
    <mergeCell ref="J375:K375"/>
    <mergeCell ref="H367:I367"/>
    <mergeCell ref="J367:K367"/>
    <mergeCell ref="H370:I370"/>
    <mergeCell ref="J370:K370"/>
    <mergeCell ref="A373:G373"/>
    <mergeCell ref="H373:I373"/>
    <mergeCell ref="J373:K37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825E-5A49-401A-9942-303A016CC761}">
  <dimension ref="A1:K291"/>
  <sheetViews>
    <sheetView workbookViewId="0">
      <selection activeCell="A3" sqref="A3:K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0.1796875" style="27" bestFit="1" customWidth="1"/>
    <col min="7" max="7" width="8.54296875" style="27" bestFit="1" customWidth="1"/>
    <col min="8" max="8" width="9.26953125" style="27" bestFit="1" customWidth="1"/>
    <col min="9" max="9" width="10.1796875" style="27" bestFit="1" customWidth="1"/>
    <col min="10" max="10" width="9.26953125" style="27" bestFit="1" customWidth="1"/>
    <col min="11" max="11" width="11.2695312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30.75" customHeight="1" x14ac:dyDescent="0.25">
      <c r="A3" s="161" t="str">
        <f>ССРСС!A11</f>
        <v>Выполнение работ по капитальному ремонту здания в Басманном районе ЦАО города Москвы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1643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1654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116.6</v>
      </c>
      <c r="J13" s="5">
        <v>1565.76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12.38</v>
      </c>
      <c r="J14" s="7">
        <v>126.04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28.89</v>
      </c>
      <c r="J15" s="7">
        <v>872.27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75.33</v>
      </c>
      <c r="J16" s="7">
        <v>567.45000000000005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5.68</v>
      </c>
      <c r="J17" s="7">
        <v>324.17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456.19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5.25" customHeight="1" x14ac:dyDescent="0.3">
      <c r="A21" s="146" t="s">
        <v>253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1061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1629</v>
      </c>
      <c r="C25" s="10" t="s">
        <v>1630</v>
      </c>
      <c r="D25" s="12" t="s">
        <v>226</v>
      </c>
      <c r="E25" s="11">
        <v>0.5</v>
      </c>
      <c r="F25" s="14"/>
      <c r="G25" s="13"/>
      <c r="H25" s="11"/>
      <c r="I25" s="14"/>
      <c r="J25" s="11"/>
      <c r="K25" s="14"/>
    </row>
    <row r="26" spans="1:11" x14ac:dyDescent="0.25">
      <c r="C26" s="23" t="s">
        <v>713</v>
      </c>
    </row>
    <row r="27" spans="1:11" ht="14.5" x14ac:dyDescent="0.25">
      <c r="A27" s="10"/>
      <c r="B27" s="10"/>
      <c r="C27" s="10" t="s">
        <v>256</v>
      </c>
      <c r="D27" s="12"/>
      <c r="E27" s="11"/>
      <c r="F27" s="14">
        <v>401.27</v>
      </c>
      <c r="G27" s="15" t="s">
        <v>13</v>
      </c>
      <c r="H27" s="11">
        <v>1</v>
      </c>
      <c r="I27" s="14">
        <v>240.76</v>
      </c>
      <c r="J27" s="11">
        <v>57.05</v>
      </c>
      <c r="K27" s="14">
        <v>13735.36</v>
      </c>
    </row>
    <row r="28" spans="1:11" ht="14.5" x14ac:dyDescent="0.25">
      <c r="A28" s="10"/>
      <c r="B28" s="10"/>
      <c r="C28" s="10" t="s">
        <v>257</v>
      </c>
      <c r="D28" s="12"/>
      <c r="E28" s="11"/>
      <c r="F28" s="14">
        <v>2.36</v>
      </c>
      <c r="G28" s="15" t="s">
        <v>13</v>
      </c>
      <c r="H28" s="11">
        <v>1</v>
      </c>
      <c r="I28" s="14">
        <v>1.42</v>
      </c>
      <c r="J28" s="11">
        <v>11.47</v>
      </c>
      <c r="K28" s="14">
        <v>16.29</v>
      </c>
    </row>
    <row r="29" spans="1:11" ht="14.5" x14ac:dyDescent="0.25">
      <c r="A29" s="10"/>
      <c r="B29" s="10"/>
      <c r="C29" s="10" t="s">
        <v>258</v>
      </c>
      <c r="D29" s="12"/>
      <c r="E29" s="11"/>
      <c r="F29" s="14">
        <v>0.13</v>
      </c>
      <c r="G29" s="15" t="s">
        <v>13</v>
      </c>
      <c r="H29" s="11">
        <v>1</v>
      </c>
      <c r="I29" s="16">
        <v>0.08</v>
      </c>
      <c r="J29" s="11">
        <v>57.05</v>
      </c>
      <c r="K29" s="16">
        <v>4.5599999999999996</v>
      </c>
    </row>
    <row r="30" spans="1:11" ht="14.5" x14ac:dyDescent="0.25">
      <c r="A30" s="10"/>
      <c r="B30" s="10"/>
      <c r="C30" s="10" t="s">
        <v>259</v>
      </c>
      <c r="D30" s="12"/>
      <c r="E30" s="11"/>
      <c r="F30" s="14">
        <v>42.51</v>
      </c>
      <c r="G30" s="15" t="s">
        <v>1</v>
      </c>
      <c r="H30" s="11">
        <v>1</v>
      </c>
      <c r="I30" s="14">
        <v>21.26</v>
      </c>
      <c r="J30" s="11">
        <v>1.84</v>
      </c>
      <c r="K30" s="14">
        <v>39.119999999999997</v>
      </c>
    </row>
    <row r="31" spans="1:11" ht="14.5" x14ac:dyDescent="0.25">
      <c r="A31" s="10"/>
      <c r="B31" s="10"/>
      <c r="C31" s="10" t="s">
        <v>260</v>
      </c>
      <c r="D31" s="12" t="s">
        <v>261</v>
      </c>
      <c r="E31" s="11">
        <v>90</v>
      </c>
      <c r="F31" s="14"/>
      <c r="G31" s="13"/>
      <c r="H31" s="11"/>
      <c r="I31" s="14">
        <v>216.76</v>
      </c>
      <c r="J31" s="11">
        <v>90</v>
      </c>
      <c r="K31" s="14">
        <v>12365.93</v>
      </c>
    </row>
    <row r="32" spans="1:11" ht="14.5" x14ac:dyDescent="0.25">
      <c r="A32" s="10"/>
      <c r="B32" s="10"/>
      <c r="C32" s="10" t="s">
        <v>262</v>
      </c>
      <c r="D32" s="12" t="s">
        <v>261</v>
      </c>
      <c r="E32" s="11">
        <v>46</v>
      </c>
      <c r="F32" s="14"/>
      <c r="G32" s="13"/>
      <c r="H32" s="11"/>
      <c r="I32" s="14">
        <v>110.79</v>
      </c>
      <c r="J32" s="11">
        <v>46</v>
      </c>
      <c r="K32" s="14">
        <v>6320.36</v>
      </c>
    </row>
    <row r="33" spans="1:11" ht="14.5" x14ac:dyDescent="0.25">
      <c r="A33" s="17"/>
      <c r="B33" s="17"/>
      <c r="C33" s="17" t="s">
        <v>263</v>
      </c>
      <c r="D33" s="18" t="s">
        <v>264</v>
      </c>
      <c r="E33" s="19">
        <v>25.33</v>
      </c>
      <c r="F33" s="20"/>
      <c r="G33" s="21" t="s">
        <v>13</v>
      </c>
      <c r="H33" s="19">
        <v>1</v>
      </c>
      <c r="I33" s="20">
        <v>15.2</v>
      </c>
      <c r="J33" s="19"/>
      <c r="K33" s="20"/>
    </row>
    <row r="34" spans="1:11" ht="14" x14ac:dyDescent="0.25">
      <c r="C34" s="22" t="s">
        <v>265</v>
      </c>
      <c r="H34" s="143">
        <v>590.99</v>
      </c>
      <c r="I34" s="143"/>
      <c r="J34" s="143">
        <v>32477.06</v>
      </c>
      <c r="K34" s="143"/>
    </row>
    <row r="35" spans="1:11" ht="14" x14ac:dyDescent="0.25">
      <c r="C35" s="22" t="s">
        <v>267</v>
      </c>
      <c r="H35" s="141">
        <v>590.99</v>
      </c>
      <c r="I35" s="141"/>
      <c r="J35" s="141">
        <v>32477.06</v>
      </c>
      <c r="K35" s="141"/>
    </row>
    <row r="37" spans="1:11" ht="124" x14ac:dyDescent="0.25">
      <c r="A37" s="38">
        <v>2</v>
      </c>
      <c r="B37" s="38" t="s">
        <v>409</v>
      </c>
      <c r="C37" s="38" t="s">
        <v>1655</v>
      </c>
      <c r="D37" s="39" t="s">
        <v>11</v>
      </c>
      <c r="E37" s="40">
        <v>5</v>
      </c>
      <c r="F37" s="41">
        <v>1236.5999999999999</v>
      </c>
      <c r="G37" s="42" t="s">
        <v>1</v>
      </c>
      <c r="H37" s="40">
        <v>1</v>
      </c>
      <c r="I37" s="41">
        <v>6183</v>
      </c>
      <c r="J37" s="40">
        <v>7.54</v>
      </c>
      <c r="K37" s="41">
        <v>46619.82</v>
      </c>
    </row>
    <row r="38" spans="1:11" ht="14" x14ac:dyDescent="0.25">
      <c r="A38" s="43"/>
      <c r="B38" s="43"/>
      <c r="C38" s="44" t="s">
        <v>267</v>
      </c>
      <c r="D38" s="43"/>
      <c r="E38" s="43"/>
      <c r="F38" s="43"/>
      <c r="G38" s="43"/>
      <c r="H38" s="156">
        <v>6183</v>
      </c>
      <c r="I38" s="156"/>
      <c r="J38" s="156">
        <v>46619.82</v>
      </c>
      <c r="K38" s="156"/>
    </row>
    <row r="39" spans="1:1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</row>
    <row r="40" spans="1:11" ht="79" x14ac:dyDescent="0.25">
      <c r="A40" s="10">
        <v>3</v>
      </c>
      <c r="B40" s="10" t="s">
        <v>1050</v>
      </c>
      <c r="C40" s="10" t="s">
        <v>1051</v>
      </c>
      <c r="D40" s="12" t="s">
        <v>24</v>
      </c>
      <c r="E40" s="11">
        <v>5</v>
      </c>
      <c r="F40" s="14"/>
      <c r="G40" s="13"/>
      <c r="H40" s="11"/>
      <c r="I40" s="14"/>
      <c r="J40" s="11"/>
      <c r="K40" s="14"/>
    </row>
    <row r="41" spans="1:11" ht="14.5" x14ac:dyDescent="0.25">
      <c r="A41" s="10"/>
      <c r="B41" s="10"/>
      <c r="C41" s="10" t="s">
        <v>256</v>
      </c>
      <c r="D41" s="12"/>
      <c r="E41" s="11"/>
      <c r="F41" s="14">
        <v>11.02</v>
      </c>
      <c r="G41" s="15" t="s">
        <v>13</v>
      </c>
      <c r="H41" s="11">
        <v>1</v>
      </c>
      <c r="I41" s="14">
        <v>66.12</v>
      </c>
      <c r="J41" s="11">
        <v>57.05</v>
      </c>
      <c r="K41" s="14">
        <v>3772.15</v>
      </c>
    </row>
    <row r="42" spans="1:11" ht="14.5" x14ac:dyDescent="0.25">
      <c r="A42" s="10"/>
      <c r="B42" s="10"/>
      <c r="C42" s="10" t="s">
        <v>259</v>
      </c>
      <c r="D42" s="12"/>
      <c r="E42" s="11"/>
      <c r="F42" s="14">
        <v>0.3</v>
      </c>
      <c r="G42" s="15" t="s">
        <v>1</v>
      </c>
      <c r="H42" s="11">
        <v>1</v>
      </c>
      <c r="I42" s="14">
        <v>1.5</v>
      </c>
      <c r="J42" s="11">
        <v>7.37</v>
      </c>
      <c r="K42" s="14">
        <v>11.06</v>
      </c>
    </row>
    <row r="43" spans="1:11" ht="14.5" x14ac:dyDescent="0.25">
      <c r="A43" s="10"/>
      <c r="B43" s="10"/>
      <c r="C43" s="10" t="s">
        <v>260</v>
      </c>
      <c r="D43" s="12" t="s">
        <v>261</v>
      </c>
      <c r="E43" s="11">
        <v>95</v>
      </c>
      <c r="F43" s="14"/>
      <c r="G43" s="13"/>
      <c r="H43" s="11"/>
      <c r="I43" s="14">
        <v>62.81</v>
      </c>
      <c r="J43" s="11">
        <v>95</v>
      </c>
      <c r="K43" s="14">
        <v>3583.54</v>
      </c>
    </row>
    <row r="44" spans="1:11" ht="14.5" x14ac:dyDescent="0.25">
      <c r="A44" s="10"/>
      <c r="B44" s="10"/>
      <c r="C44" s="10" t="s">
        <v>262</v>
      </c>
      <c r="D44" s="12" t="s">
        <v>261</v>
      </c>
      <c r="E44" s="11">
        <v>53</v>
      </c>
      <c r="F44" s="14"/>
      <c r="G44" s="13"/>
      <c r="H44" s="11"/>
      <c r="I44" s="14">
        <v>35.04</v>
      </c>
      <c r="J44" s="11">
        <v>53</v>
      </c>
      <c r="K44" s="14">
        <v>1999.24</v>
      </c>
    </row>
    <row r="45" spans="1:11" ht="14.5" x14ac:dyDescent="0.25">
      <c r="A45" s="17"/>
      <c r="B45" s="17"/>
      <c r="C45" s="17" t="s">
        <v>263</v>
      </c>
      <c r="D45" s="18" t="s">
        <v>264</v>
      </c>
      <c r="E45" s="19">
        <v>0.8</v>
      </c>
      <c r="F45" s="20"/>
      <c r="G45" s="21" t="s">
        <v>13</v>
      </c>
      <c r="H45" s="19">
        <v>1</v>
      </c>
      <c r="I45" s="20">
        <v>4.8</v>
      </c>
      <c r="J45" s="19"/>
      <c r="K45" s="20"/>
    </row>
    <row r="46" spans="1:11" ht="14" x14ac:dyDescent="0.25">
      <c r="C46" s="22" t="s">
        <v>265</v>
      </c>
      <c r="H46" s="143">
        <v>165.47</v>
      </c>
      <c r="I46" s="143"/>
      <c r="J46" s="143">
        <v>9365.99</v>
      </c>
      <c r="K46" s="143"/>
    </row>
    <row r="47" spans="1:11" ht="14" x14ac:dyDescent="0.25">
      <c r="C47" s="22" t="s">
        <v>267</v>
      </c>
      <c r="H47" s="141">
        <v>165.47</v>
      </c>
      <c r="I47" s="141"/>
      <c r="J47" s="141">
        <v>9365.99</v>
      </c>
      <c r="K47" s="141"/>
    </row>
    <row r="49" spans="1:11" ht="54" x14ac:dyDescent="0.25">
      <c r="A49" s="38">
        <v>4</v>
      </c>
      <c r="B49" s="38" t="s">
        <v>409</v>
      </c>
      <c r="C49" s="38" t="s">
        <v>2035</v>
      </c>
      <c r="D49" s="39" t="s">
        <v>11</v>
      </c>
      <c r="E49" s="40">
        <v>5</v>
      </c>
      <c r="F49" s="41">
        <v>326.33999999999997</v>
      </c>
      <c r="G49" s="42" t="s">
        <v>1</v>
      </c>
      <c r="H49" s="40">
        <v>1</v>
      </c>
      <c r="I49" s="41">
        <v>1631.7</v>
      </c>
      <c r="J49" s="40">
        <v>7.54</v>
      </c>
      <c r="K49" s="41">
        <v>12303.02</v>
      </c>
    </row>
    <row r="50" spans="1:11" ht="14" x14ac:dyDescent="0.25">
      <c r="A50" s="43"/>
      <c r="B50" s="43"/>
      <c r="C50" s="44" t="s">
        <v>267</v>
      </c>
      <c r="D50" s="43"/>
      <c r="E50" s="43"/>
      <c r="F50" s="43"/>
      <c r="G50" s="43"/>
      <c r="H50" s="156">
        <v>1631.7</v>
      </c>
      <c r="I50" s="156"/>
      <c r="J50" s="156">
        <v>12303.02</v>
      </c>
      <c r="K50" s="156"/>
    </row>
    <row r="52" spans="1:11" ht="79" x14ac:dyDescent="0.25">
      <c r="A52" s="10">
        <v>5</v>
      </c>
      <c r="B52" s="10" t="s">
        <v>1631</v>
      </c>
      <c r="C52" s="10" t="s">
        <v>1632</v>
      </c>
      <c r="D52" s="12" t="s">
        <v>226</v>
      </c>
      <c r="E52" s="11">
        <v>1.7</v>
      </c>
      <c r="F52" s="14"/>
      <c r="G52" s="13"/>
      <c r="H52" s="11"/>
      <c r="I52" s="14"/>
      <c r="J52" s="11"/>
      <c r="K52" s="14"/>
    </row>
    <row r="53" spans="1:11" x14ac:dyDescent="0.25">
      <c r="C53" s="23" t="s">
        <v>1644</v>
      </c>
    </row>
    <row r="54" spans="1:11" ht="14.5" x14ac:dyDescent="0.25">
      <c r="A54" s="10"/>
      <c r="B54" s="10"/>
      <c r="C54" s="10" t="s">
        <v>256</v>
      </c>
      <c r="D54" s="12"/>
      <c r="E54" s="11"/>
      <c r="F54" s="14">
        <v>247.42</v>
      </c>
      <c r="G54" s="15" t="s">
        <v>13</v>
      </c>
      <c r="H54" s="11">
        <v>1</v>
      </c>
      <c r="I54" s="14">
        <v>504.74</v>
      </c>
      <c r="J54" s="11">
        <v>57.05</v>
      </c>
      <c r="K54" s="14">
        <v>28795.42</v>
      </c>
    </row>
    <row r="55" spans="1:11" ht="14.5" x14ac:dyDescent="0.25">
      <c r="A55" s="10"/>
      <c r="B55" s="10"/>
      <c r="C55" s="10" t="s">
        <v>257</v>
      </c>
      <c r="D55" s="12"/>
      <c r="E55" s="11"/>
      <c r="F55" s="14">
        <v>2.36</v>
      </c>
      <c r="G55" s="15" t="s">
        <v>13</v>
      </c>
      <c r="H55" s="11">
        <v>1</v>
      </c>
      <c r="I55" s="14">
        <v>4.8099999999999996</v>
      </c>
      <c r="J55" s="11">
        <v>11.47</v>
      </c>
      <c r="K55" s="14">
        <v>55.17</v>
      </c>
    </row>
    <row r="56" spans="1:11" ht="14.5" x14ac:dyDescent="0.25">
      <c r="A56" s="10"/>
      <c r="B56" s="10"/>
      <c r="C56" s="10" t="s">
        <v>258</v>
      </c>
      <c r="D56" s="12"/>
      <c r="E56" s="11"/>
      <c r="F56" s="14">
        <v>0.13</v>
      </c>
      <c r="G56" s="15" t="s">
        <v>13</v>
      </c>
      <c r="H56" s="11">
        <v>1</v>
      </c>
      <c r="I56" s="16">
        <v>0.27</v>
      </c>
      <c r="J56" s="11">
        <v>57.05</v>
      </c>
      <c r="K56" s="16">
        <v>15.4</v>
      </c>
    </row>
    <row r="57" spans="1:11" ht="14.5" x14ac:dyDescent="0.25">
      <c r="A57" s="10"/>
      <c r="B57" s="10"/>
      <c r="C57" s="10" t="s">
        <v>259</v>
      </c>
      <c r="D57" s="12"/>
      <c r="E57" s="11"/>
      <c r="F57" s="14">
        <v>42.51</v>
      </c>
      <c r="G57" s="15" t="s">
        <v>1</v>
      </c>
      <c r="H57" s="11">
        <v>1</v>
      </c>
      <c r="I57" s="14">
        <v>72.27</v>
      </c>
      <c r="J57" s="11">
        <v>1.84</v>
      </c>
      <c r="K57" s="14">
        <v>132.97999999999999</v>
      </c>
    </row>
    <row r="58" spans="1:11" ht="14.5" x14ac:dyDescent="0.25">
      <c r="A58" s="10"/>
      <c r="B58" s="10"/>
      <c r="C58" s="10" t="s">
        <v>260</v>
      </c>
      <c r="D58" s="12" t="s">
        <v>261</v>
      </c>
      <c r="E58" s="11">
        <v>90</v>
      </c>
      <c r="F58" s="14"/>
      <c r="G58" s="13"/>
      <c r="H58" s="11"/>
      <c r="I58" s="14">
        <v>454.51</v>
      </c>
      <c r="J58" s="11">
        <v>90</v>
      </c>
      <c r="K58" s="14">
        <v>25929.74</v>
      </c>
    </row>
    <row r="59" spans="1:11" ht="14.5" x14ac:dyDescent="0.25">
      <c r="A59" s="10"/>
      <c r="B59" s="10"/>
      <c r="C59" s="10" t="s">
        <v>262</v>
      </c>
      <c r="D59" s="12" t="s">
        <v>261</v>
      </c>
      <c r="E59" s="11">
        <v>46</v>
      </c>
      <c r="F59" s="14"/>
      <c r="G59" s="13"/>
      <c r="H59" s="11"/>
      <c r="I59" s="14">
        <v>232.3</v>
      </c>
      <c r="J59" s="11">
        <v>46</v>
      </c>
      <c r="K59" s="14">
        <v>13252.98</v>
      </c>
    </row>
    <row r="60" spans="1:11" ht="14.5" x14ac:dyDescent="0.25">
      <c r="A60" s="17"/>
      <c r="B60" s="17"/>
      <c r="C60" s="17" t="s">
        <v>263</v>
      </c>
      <c r="D60" s="18" t="s">
        <v>264</v>
      </c>
      <c r="E60" s="19">
        <v>15.54</v>
      </c>
      <c r="F60" s="20"/>
      <c r="G60" s="21" t="s">
        <v>13</v>
      </c>
      <c r="H60" s="19">
        <v>1</v>
      </c>
      <c r="I60" s="20">
        <v>31.7</v>
      </c>
      <c r="J60" s="19"/>
      <c r="K60" s="20"/>
    </row>
    <row r="61" spans="1:11" ht="14" x14ac:dyDescent="0.25">
      <c r="C61" s="22" t="s">
        <v>265</v>
      </c>
      <c r="H61" s="143">
        <v>1268.6300000000001</v>
      </c>
      <c r="I61" s="143"/>
      <c r="J61" s="143">
        <v>68166.289999999994</v>
      </c>
      <c r="K61" s="143"/>
    </row>
    <row r="62" spans="1:11" ht="14" x14ac:dyDescent="0.25">
      <c r="C62" s="22" t="s">
        <v>267</v>
      </c>
      <c r="H62" s="141">
        <v>1268.6300000000001</v>
      </c>
      <c r="I62" s="141"/>
      <c r="J62" s="141">
        <v>68166.289999999994</v>
      </c>
      <c r="K62" s="141"/>
    </row>
    <row r="64" spans="1:11" ht="68" x14ac:dyDescent="0.25">
      <c r="A64" s="17">
        <v>6</v>
      </c>
      <c r="B64" s="17" t="s">
        <v>409</v>
      </c>
      <c r="C64" s="17" t="s">
        <v>2085</v>
      </c>
      <c r="D64" s="18" t="s">
        <v>11</v>
      </c>
      <c r="E64" s="19">
        <v>17</v>
      </c>
      <c r="F64" s="20">
        <v>1585.28</v>
      </c>
      <c r="G64" s="21" t="s">
        <v>1</v>
      </c>
      <c r="H64" s="19">
        <v>1</v>
      </c>
      <c r="I64" s="20">
        <v>26949.759999999998</v>
      </c>
      <c r="J64" s="19">
        <v>7.54</v>
      </c>
      <c r="K64" s="20">
        <v>203201.19</v>
      </c>
    </row>
    <row r="65" spans="1:11" ht="14" x14ac:dyDescent="0.25">
      <c r="C65" s="22" t="s">
        <v>267</v>
      </c>
      <c r="H65" s="143">
        <v>26949.759999999998</v>
      </c>
      <c r="I65" s="143"/>
      <c r="J65" s="143">
        <v>203201.19</v>
      </c>
      <c r="K65" s="143"/>
    </row>
    <row r="67" spans="1:11" ht="79" x14ac:dyDescent="0.25">
      <c r="A67" s="10">
        <v>7</v>
      </c>
      <c r="B67" s="10" t="s">
        <v>1633</v>
      </c>
      <c r="C67" s="10" t="s">
        <v>1634</v>
      </c>
      <c r="D67" s="12" t="s">
        <v>1645</v>
      </c>
      <c r="E67" s="11">
        <v>1</v>
      </c>
      <c r="F67" s="14"/>
      <c r="G67" s="13"/>
      <c r="H67" s="11"/>
      <c r="I67" s="14"/>
      <c r="J67" s="11"/>
      <c r="K67" s="14"/>
    </row>
    <row r="68" spans="1:11" ht="14.5" x14ac:dyDescent="0.25">
      <c r="A68" s="10"/>
      <c r="B68" s="10"/>
      <c r="C68" s="10" t="s">
        <v>256</v>
      </c>
      <c r="D68" s="12"/>
      <c r="E68" s="11"/>
      <c r="F68" s="14">
        <v>95.12</v>
      </c>
      <c r="G68" s="15" t="s">
        <v>13</v>
      </c>
      <c r="H68" s="11">
        <v>1</v>
      </c>
      <c r="I68" s="14">
        <v>114.14</v>
      </c>
      <c r="J68" s="11">
        <v>57.05</v>
      </c>
      <c r="K68" s="14">
        <v>6511.69</v>
      </c>
    </row>
    <row r="69" spans="1:11" ht="14.5" x14ac:dyDescent="0.25">
      <c r="A69" s="10"/>
      <c r="B69" s="10"/>
      <c r="C69" s="10" t="s">
        <v>259</v>
      </c>
      <c r="D69" s="12"/>
      <c r="E69" s="11"/>
      <c r="F69" s="14">
        <v>1.1000000000000001</v>
      </c>
      <c r="G69" s="15" t="s">
        <v>1</v>
      </c>
      <c r="H69" s="11">
        <v>1</v>
      </c>
      <c r="I69" s="14">
        <v>1.1000000000000001</v>
      </c>
      <c r="J69" s="11">
        <v>14.2</v>
      </c>
      <c r="K69" s="14">
        <v>15.62</v>
      </c>
    </row>
    <row r="70" spans="1:11" ht="14.5" x14ac:dyDescent="0.25">
      <c r="A70" s="10"/>
      <c r="B70" s="10"/>
      <c r="C70" s="10" t="s">
        <v>260</v>
      </c>
      <c r="D70" s="12" t="s">
        <v>261</v>
      </c>
      <c r="E70" s="11">
        <v>95</v>
      </c>
      <c r="F70" s="14"/>
      <c r="G70" s="13"/>
      <c r="H70" s="11"/>
      <c r="I70" s="14">
        <v>108.43</v>
      </c>
      <c r="J70" s="11">
        <v>95</v>
      </c>
      <c r="K70" s="14">
        <v>6186.11</v>
      </c>
    </row>
    <row r="71" spans="1:11" ht="14.5" x14ac:dyDescent="0.25">
      <c r="A71" s="10"/>
      <c r="B71" s="10"/>
      <c r="C71" s="10" t="s">
        <v>262</v>
      </c>
      <c r="D71" s="12" t="s">
        <v>261</v>
      </c>
      <c r="E71" s="11">
        <v>53</v>
      </c>
      <c r="F71" s="14"/>
      <c r="G71" s="13"/>
      <c r="H71" s="11"/>
      <c r="I71" s="14">
        <v>60.49</v>
      </c>
      <c r="J71" s="11">
        <v>53</v>
      </c>
      <c r="K71" s="14">
        <v>3451.2</v>
      </c>
    </row>
    <row r="72" spans="1:11" ht="14.5" x14ac:dyDescent="0.25">
      <c r="A72" s="17"/>
      <c r="B72" s="17"/>
      <c r="C72" s="17" t="s">
        <v>263</v>
      </c>
      <c r="D72" s="18" t="s">
        <v>264</v>
      </c>
      <c r="E72" s="19">
        <v>8</v>
      </c>
      <c r="F72" s="20"/>
      <c r="G72" s="21" t="s">
        <v>13</v>
      </c>
      <c r="H72" s="19">
        <v>1</v>
      </c>
      <c r="I72" s="20">
        <v>9.6</v>
      </c>
      <c r="J72" s="19"/>
      <c r="K72" s="20"/>
    </row>
    <row r="73" spans="1:11" ht="14" x14ac:dyDescent="0.25">
      <c r="C73" s="22" t="s">
        <v>265</v>
      </c>
      <c r="H73" s="143">
        <v>284.16000000000003</v>
      </c>
      <c r="I73" s="143"/>
      <c r="J73" s="143">
        <v>16164.62</v>
      </c>
      <c r="K73" s="143"/>
    </row>
    <row r="74" spans="1:11" ht="14" x14ac:dyDescent="0.25">
      <c r="C74" s="22" t="s">
        <v>267</v>
      </c>
      <c r="H74" s="141">
        <v>284.16000000000003</v>
      </c>
      <c r="I74" s="141"/>
      <c r="J74" s="141">
        <v>16164.62</v>
      </c>
      <c r="K74" s="141"/>
    </row>
    <row r="76" spans="1:11" ht="54" x14ac:dyDescent="0.25">
      <c r="A76" s="38">
        <v>8</v>
      </c>
      <c r="B76" s="38" t="s">
        <v>409</v>
      </c>
      <c r="C76" s="38" t="s">
        <v>2036</v>
      </c>
      <c r="D76" s="39" t="s">
        <v>11</v>
      </c>
      <c r="E76" s="40">
        <v>1</v>
      </c>
      <c r="F76" s="41">
        <v>2275.9299999999998</v>
      </c>
      <c r="G76" s="42" t="s">
        <v>1</v>
      </c>
      <c r="H76" s="40">
        <v>1</v>
      </c>
      <c r="I76" s="41">
        <v>2275.9299999999998</v>
      </c>
      <c r="J76" s="40">
        <v>7.54</v>
      </c>
      <c r="K76" s="41">
        <v>17160.509999999998</v>
      </c>
    </row>
    <row r="77" spans="1:11" ht="14" x14ac:dyDescent="0.25">
      <c r="A77" s="43"/>
      <c r="B77" s="43"/>
      <c r="C77" s="44" t="s">
        <v>267</v>
      </c>
      <c r="D77" s="43"/>
      <c r="E77" s="43"/>
      <c r="F77" s="43"/>
      <c r="G77" s="43"/>
      <c r="H77" s="156">
        <v>2275.9299999999998</v>
      </c>
      <c r="I77" s="156"/>
      <c r="J77" s="156">
        <v>17160.509999999998</v>
      </c>
      <c r="K77" s="156"/>
    </row>
    <row r="79" spans="1:11" ht="79" x14ac:dyDescent="0.25">
      <c r="A79" s="10">
        <v>9</v>
      </c>
      <c r="B79" s="10" t="s">
        <v>1583</v>
      </c>
      <c r="C79" s="10" t="s">
        <v>1584</v>
      </c>
      <c r="D79" s="12" t="s">
        <v>24</v>
      </c>
      <c r="E79" s="11">
        <v>1</v>
      </c>
      <c r="F79" s="14"/>
      <c r="G79" s="13"/>
      <c r="H79" s="11"/>
      <c r="I79" s="14"/>
      <c r="J79" s="11"/>
      <c r="K79" s="14"/>
    </row>
    <row r="80" spans="1:11" ht="14.5" x14ac:dyDescent="0.25">
      <c r="A80" s="10"/>
      <c r="B80" s="10"/>
      <c r="C80" s="10" t="s">
        <v>256</v>
      </c>
      <c r="D80" s="12"/>
      <c r="E80" s="11"/>
      <c r="F80" s="14">
        <v>78.239999999999995</v>
      </c>
      <c r="G80" s="15" t="s">
        <v>13</v>
      </c>
      <c r="H80" s="11">
        <v>1</v>
      </c>
      <c r="I80" s="14">
        <v>93.89</v>
      </c>
      <c r="J80" s="11">
        <v>57.05</v>
      </c>
      <c r="K80" s="14">
        <v>5356.42</v>
      </c>
    </row>
    <row r="81" spans="1:11" ht="14.5" x14ac:dyDescent="0.25">
      <c r="A81" s="10"/>
      <c r="B81" s="10"/>
      <c r="C81" s="10" t="s">
        <v>257</v>
      </c>
      <c r="D81" s="12"/>
      <c r="E81" s="11"/>
      <c r="F81" s="14">
        <v>28.71</v>
      </c>
      <c r="G81" s="15" t="s">
        <v>13</v>
      </c>
      <c r="H81" s="11">
        <v>1</v>
      </c>
      <c r="I81" s="14">
        <v>34.450000000000003</v>
      </c>
      <c r="J81" s="11">
        <v>16.510000000000002</v>
      </c>
      <c r="K81" s="14">
        <v>568.77</v>
      </c>
    </row>
    <row r="82" spans="1:11" ht="14.5" x14ac:dyDescent="0.25">
      <c r="A82" s="10"/>
      <c r="B82" s="10"/>
      <c r="C82" s="10" t="s">
        <v>258</v>
      </c>
      <c r="D82" s="12"/>
      <c r="E82" s="11"/>
      <c r="F82" s="14">
        <v>3.16</v>
      </c>
      <c r="G82" s="15" t="s">
        <v>13</v>
      </c>
      <c r="H82" s="11">
        <v>1</v>
      </c>
      <c r="I82" s="16">
        <v>3.79</v>
      </c>
      <c r="J82" s="11">
        <v>57.05</v>
      </c>
      <c r="K82" s="16">
        <v>216.22</v>
      </c>
    </row>
    <row r="83" spans="1:11" ht="14.5" x14ac:dyDescent="0.25">
      <c r="A83" s="10"/>
      <c r="B83" s="10"/>
      <c r="C83" s="10" t="s">
        <v>259</v>
      </c>
      <c r="D83" s="12"/>
      <c r="E83" s="11"/>
      <c r="F83" s="14">
        <v>12.35</v>
      </c>
      <c r="G83" s="15" t="s">
        <v>1</v>
      </c>
      <c r="H83" s="11">
        <v>1</v>
      </c>
      <c r="I83" s="14">
        <v>12.35</v>
      </c>
      <c r="J83" s="11">
        <v>14.64</v>
      </c>
      <c r="K83" s="14">
        <v>180.8</v>
      </c>
    </row>
    <row r="84" spans="1:11" ht="14.5" x14ac:dyDescent="0.25">
      <c r="A84" s="10"/>
      <c r="B84" s="10"/>
      <c r="C84" s="10" t="s">
        <v>260</v>
      </c>
      <c r="D84" s="12" t="s">
        <v>261</v>
      </c>
      <c r="E84" s="11">
        <v>90</v>
      </c>
      <c r="F84" s="14"/>
      <c r="G84" s="13"/>
      <c r="H84" s="11"/>
      <c r="I84" s="14">
        <v>87.91</v>
      </c>
      <c r="J84" s="11">
        <v>90</v>
      </c>
      <c r="K84" s="14">
        <v>5015.38</v>
      </c>
    </row>
    <row r="85" spans="1:11" ht="14.5" x14ac:dyDescent="0.25">
      <c r="A85" s="10"/>
      <c r="B85" s="10"/>
      <c r="C85" s="10" t="s">
        <v>262</v>
      </c>
      <c r="D85" s="12" t="s">
        <v>261</v>
      </c>
      <c r="E85" s="11">
        <v>46</v>
      </c>
      <c r="F85" s="14"/>
      <c r="G85" s="13"/>
      <c r="H85" s="11"/>
      <c r="I85" s="14">
        <v>44.93</v>
      </c>
      <c r="J85" s="11">
        <v>46</v>
      </c>
      <c r="K85" s="14">
        <v>2563.41</v>
      </c>
    </row>
    <row r="86" spans="1:11" ht="14.5" x14ac:dyDescent="0.25">
      <c r="A86" s="17"/>
      <c r="B86" s="17"/>
      <c r="C86" s="17" t="s">
        <v>263</v>
      </c>
      <c r="D86" s="18" t="s">
        <v>264</v>
      </c>
      <c r="E86" s="19">
        <v>6.2</v>
      </c>
      <c r="F86" s="20"/>
      <c r="G86" s="21" t="s">
        <v>13</v>
      </c>
      <c r="H86" s="19">
        <v>1</v>
      </c>
      <c r="I86" s="20">
        <v>7.44</v>
      </c>
      <c r="J86" s="19"/>
      <c r="K86" s="20"/>
    </row>
    <row r="87" spans="1:11" ht="14" x14ac:dyDescent="0.25">
      <c r="C87" s="22" t="s">
        <v>265</v>
      </c>
      <c r="H87" s="143">
        <v>273.52999999999997</v>
      </c>
      <c r="I87" s="143"/>
      <c r="J87" s="143">
        <v>13684.78</v>
      </c>
      <c r="K87" s="143"/>
    </row>
    <row r="88" spans="1:11" ht="14" x14ac:dyDescent="0.25">
      <c r="C88" s="22" t="s">
        <v>267</v>
      </c>
      <c r="H88" s="141">
        <v>273.52999999999997</v>
      </c>
      <c r="I88" s="141"/>
      <c r="J88" s="141">
        <v>13684.78</v>
      </c>
      <c r="K88" s="141"/>
    </row>
    <row r="90" spans="1:11" ht="54" x14ac:dyDescent="0.25">
      <c r="A90" s="17">
        <v>10</v>
      </c>
      <c r="B90" s="17" t="s">
        <v>409</v>
      </c>
      <c r="C90" s="17" t="s">
        <v>1656</v>
      </c>
      <c r="D90" s="18" t="s">
        <v>11</v>
      </c>
      <c r="E90" s="19">
        <v>1</v>
      </c>
      <c r="F90" s="20">
        <v>4798.88</v>
      </c>
      <c r="G90" s="21" t="s">
        <v>1</v>
      </c>
      <c r="H90" s="19">
        <v>1</v>
      </c>
      <c r="I90" s="20">
        <v>4798.88</v>
      </c>
      <c r="J90" s="19">
        <v>7.54</v>
      </c>
      <c r="K90" s="20">
        <v>36183.56</v>
      </c>
    </row>
    <row r="91" spans="1:11" ht="14" x14ac:dyDescent="0.25">
      <c r="C91" s="22" t="s">
        <v>267</v>
      </c>
      <c r="H91" s="143">
        <v>4798.88</v>
      </c>
      <c r="I91" s="143"/>
      <c r="J91" s="143">
        <v>36183.56</v>
      </c>
      <c r="K91" s="143"/>
    </row>
    <row r="93" spans="1:11" ht="79" x14ac:dyDescent="0.25">
      <c r="A93" s="10">
        <v>11</v>
      </c>
      <c r="B93" s="10" t="s">
        <v>1635</v>
      </c>
      <c r="C93" s="10" t="s">
        <v>1636</v>
      </c>
      <c r="D93" s="12" t="s">
        <v>24</v>
      </c>
      <c r="E93" s="11">
        <v>2</v>
      </c>
      <c r="F93" s="14"/>
      <c r="G93" s="13"/>
      <c r="H93" s="11"/>
      <c r="I93" s="14"/>
      <c r="J93" s="11"/>
      <c r="K93" s="14"/>
    </row>
    <row r="94" spans="1:11" x14ac:dyDescent="0.25">
      <c r="C94" s="23" t="s">
        <v>1646</v>
      </c>
    </row>
    <row r="95" spans="1:11" ht="14.5" x14ac:dyDescent="0.25">
      <c r="A95" s="10"/>
      <c r="B95" s="10"/>
      <c r="C95" s="10" t="s">
        <v>256</v>
      </c>
      <c r="D95" s="12"/>
      <c r="E95" s="11"/>
      <c r="F95" s="14">
        <v>23.48</v>
      </c>
      <c r="G95" s="15" t="s">
        <v>13</v>
      </c>
      <c r="H95" s="11">
        <v>1</v>
      </c>
      <c r="I95" s="14">
        <v>56.35</v>
      </c>
      <c r="J95" s="11">
        <v>57.05</v>
      </c>
      <c r="K95" s="14">
        <v>3214.77</v>
      </c>
    </row>
    <row r="96" spans="1:11" ht="14.5" x14ac:dyDescent="0.25">
      <c r="A96" s="10"/>
      <c r="B96" s="10"/>
      <c r="C96" s="10" t="s">
        <v>257</v>
      </c>
      <c r="D96" s="12"/>
      <c r="E96" s="11"/>
      <c r="F96" s="14">
        <v>9.19</v>
      </c>
      <c r="G96" s="15" t="s">
        <v>13</v>
      </c>
      <c r="H96" s="11">
        <v>1</v>
      </c>
      <c r="I96" s="14">
        <v>22.06</v>
      </c>
      <c r="J96" s="11">
        <v>16.5</v>
      </c>
      <c r="K96" s="14">
        <v>363.99</v>
      </c>
    </row>
    <row r="97" spans="1:11" ht="14.5" x14ac:dyDescent="0.25">
      <c r="A97" s="10"/>
      <c r="B97" s="10"/>
      <c r="C97" s="10" t="s">
        <v>258</v>
      </c>
      <c r="D97" s="12"/>
      <c r="E97" s="11"/>
      <c r="F97" s="14">
        <v>1.01</v>
      </c>
      <c r="G97" s="15" t="s">
        <v>13</v>
      </c>
      <c r="H97" s="11">
        <v>1</v>
      </c>
      <c r="I97" s="16">
        <v>2.42</v>
      </c>
      <c r="J97" s="11">
        <v>57.05</v>
      </c>
      <c r="K97" s="16">
        <v>138.06</v>
      </c>
    </row>
    <row r="98" spans="1:11" ht="14.5" x14ac:dyDescent="0.25">
      <c r="A98" s="10"/>
      <c r="B98" s="10"/>
      <c r="C98" s="10" t="s">
        <v>260</v>
      </c>
      <c r="D98" s="12" t="s">
        <v>261</v>
      </c>
      <c r="E98" s="11">
        <v>90</v>
      </c>
      <c r="F98" s="14"/>
      <c r="G98" s="13"/>
      <c r="H98" s="11"/>
      <c r="I98" s="14">
        <v>52.89</v>
      </c>
      <c r="J98" s="11">
        <v>90</v>
      </c>
      <c r="K98" s="14">
        <v>3017.55</v>
      </c>
    </row>
    <row r="99" spans="1:11" ht="14.5" x14ac:dyDescent="0.25">
      <c r="A99" s="10"/>
      <c r="B99" s="10"/>
      <c r="C99" s="10" t="s">
        <v>262</v>
      </c>
      <c r="D99" s="12" t="s">
        <v>261</v>
      </c>
      <c r="E99" s="11">
        <v>46</v>
      </c>
      <c r="F99" s="14"/>
      <c r="G99" s="13"/>
      <c r="H99" s="11"/>
      <c r="I99" s="14">
        <v>27.03</v>
      </c>
      <c r="J99" s="11">
        <v>46</v>
      </c>
      <c r="K99" s="14">
        <v>1542.3</v>
      </c>
    </row>
    <row r="100" spans="1:11" ht="14.5" x14ac:dyDescent="0.25">
      <c r="A100" s="17"/>
      <c r="B100" s="17"/>
      <c r="C100" s="17" t="s">
        <v>263</v>
      </c>
      <c r="D100" s="18" t="s">
        <v>264</v>
      </c>
      <c r="E100" s="19">
        <v>2.1</v>
      </c>
      <c r="F100" s="20"/>
      <c r="G100" s="21" t="s">
        <v>13</v>
      </c>
      <c r="H100" s="19">
        <v>1</v>
      </c>
      <c r="I100" s="20">
        <v>5.04</v>
      </c>
      <c r="J100" s="19"/>
      <c r="K100" s="20"/>
    </row>
    <row r="101" spans="1:11" ht="14" x14ac:dyDescent="0.25">
      <c r="C101" s="22" t="s">
        <v>265</v>
      </c>
      <c r="H101" s="143">
        <v>158.33000000000001</v>
      </c>
      <c r="I101" s="143"/>
      <c r="J101" s="143">
        <v>8138.61</v>
      </c>
      <c r="K101" s="143"/>
    </row>
    <row r="102" spans="1:11" ht="14" x14ac:dyDescent="0.25">
      <c r="C102" s="22" t="s">
        <v>267</v>
      </c>
      <c r="H102" s="141">
        <v>158.33000000000001</v>
      </c>
      <c r="I102" s="141"/>
      <c r="J102" s="141">
        <v>8138.61</v>
      </c>
      <c r="K102" s="141"/>
    </row>
    <row r="104" spans="1:11" ht="54" x14ac:dyDescent="0.25">
      <c r="A104" s="17">
        <v>12</v>
      </c>
      <c r="B104" s="17" t="s">
        <v>409</v>
      </c>
      <c r="C104" s="17" t="s">
        <v>2037</v>
      </c>
      <c r="D104" s="18" t="s">
        <v>11</v>
      </c>
      <c r="E104" s="19">
        <v>1</v>
      </c>
      <c r="F104" s="20">
        <v>220.86</v>
      </c>
      <c r="G104" s="21" t="s">
        <v>1</v>
      </c>
      <c r="H104" s="19">
        <v>1</v>
      </c>
      <c r="I104" s="20">
        <v>220.86</v>
      </c>
      <c r="J104" s="19">
        <v>7.54</v>
      </c>
      <c r="K104" s="20">
        <v>1665.28</v>
      </c>
    </row>
    <row r="105" spans="1:11" ht="14" x14ac:dyDescent="0.25">
      <c r="C105" s="22" t="s">
        <v>267</v>
      </c>
      <c r="H105" s="143">
        <v>220.86</v>
      </c>
      <c r="I105" s="143"/>
      <c r="J105" s="143">
        <v>1665.28</v>
      </c>
      <c r="K105" s="143"/>
    </row>
    <row r="107" spans="1:11" ht="54" x14ac:dyDescent="0.25">
      <c r="A107" s="17">
        <v>13</v>
      </c>
      <c r="B107" s="17" t="s">
        <v>409</v>
      </c>
      <c r="C107" s="17" t="s">
        <v>1657</v>
      </c>
      <c r="D107" s="18" t="s">
        <v>11</v>
      </c>
      <c r="E107" s="19">
        <v>1</v>
      </c>
      <c r="F107" s="20">
        <v>363.07</v>
      </c>
      <c r="G107" s="21" t="s">
        <v>1</v>
      </c>
      <c r="H107" s="19">
        <v>1</v>
      </c>
      <c r="I107" s="20">
        <v>363.07</v>
      </c>
      <c r="J107" s="19">
        <v>7.54</v>
      </c>
      <c r="K107" s="20">
        <v>2737.55</v>
      </c>
    </row>
    <row r="108" spans="1:11" ht="14" x14ac:dyDescent="0.25">
      <c r="C108" s="22" t="s">
        <v>267</v>
      </c>
      <c r="H108" s="143">
        <v>363.07</v>
      </c>
      <c r="I108" s="143"/>
      <c r="J108" s="143">
        <v>2737.55</v>
      </c>
      <c r="K108" s="143"/>
    </row>
    <row r="110" spans="1:11" ht="79" x14ac:dyDescent="0.25">
      <c r="A110" s="10">
        <v>14</v>
      </c>
      <c r="B110" s="10" t="s">
        <v>931</v>
      </c>
      <c r="C110" s="10" t="s">
        <v>932</v>
      </c>
      <c r="D110" s="12" t="s">
        <v>24</v>
      </c>
      <c r="E110" s="11">
        <v>1</v>
      </c>
      <c r="F110" s="14"/>
      <c r="G110" s="13"/>
      <c r="H110" s="11"/>
      <c r="I110" s="14"/>
      <c r="J110" s="11"/>
      <c r="K110" s="14"/>
    </row>
    <row r="111" spans="1:11" ht="14.5" x14ac:dyDescent="0.25">
      <c r="A111" s="10"/>
      <c r="B111" s="10"/>
      <c r="C111" s="10" t="s">
        <v>256</v>
      </c>
      <c r="D111" s="12"/>
      <c r="E111" s="11"/>
      <c r="F111" s="14">
        <v>11.52</v>
      </c>
      <c r="G111" s="15" t="s">
        <v>13</v>
      </c>
      <c r="H111" s="11">
        <v>1</v>
      </c>
      <c r="I111" s="14">
        <v>13.82</v>
      </c>
      <c r="J111" s="11">
        <v>57.05</v>
      </c>
      <c r="K111" s="14">
        <v>788.43</v>
      </c>
    </row>
    <row r="112" spans="1:11" ht="14.5" x14ac:dyDescent="0.25">
      <c r="A112" s="10"/>
      <c r="B112" s="10"/>
      <c r="C112" s="10" t="s">
        <v>257</v>
      </c>
      <c r="D112" s="12"/>
      <c r="E112" s="11"/>
      <c r="F112" s="14">
        <v>13.3</v>
      </c>
      <c r="G112" s="15" t="s">
        <v>13</v>
      </c>
      <c r="H112" s="11">
        <v>1</v>
      </c>
      <c r="I112" s="14">
        <v>15.96</v>
      </c>
      <c r="J112" s="11">
        <v>17.45</v>
      </c>
      <c r="K112" s="14">
        <v>278.5</v>
      </c>
    </row>
    <row r="113" spans="1:11" ht="14.5" x14ac:dyDescent="0.25">
      <c r="A113" s="10"/>
      <c r="B113" s="10"/>
      <c r="C113" s="10" t="s">
        <v>258</v>
      </c>
      <c r="D113" s="12"/>
      <c r="E113" s="11"/>
      <c r="F113" s="14">
        <v>2.02</v>
      </c>
      <c r="G113" s="15" t="s">
        <v>13</v>
      </c>
      <c r="H113" s="11">
        <v>1</v>
      </c>
      <c r="I113" s="16">
        <v>2.42</v>
      </c>
      <c r="J113" s="11">
        <v>57.05</v>
      </c>
      <c r="K113" s="16">
        <v>138.06</v>
      </c>
    </row>
    <row r="114" spans="1:11" ht="14.5" x14ac:dyDescent="0.25">
      <c r="A114" s="10"/>
      <c r="B114" s="10"/>
      <c r="C114" s="10" t="s">
        <v>260</v>
      </c>
      <c r="D114" s="12" t="s">
        <v>261</v>
      </c>
      <c r="E114" s="11">
        <v>90</v>
      </c>
      <c r="F114" s="14"/>
      <c r="G114" s="13"/>
      <c r="H114" s="11"/>
      <c r="I114" s="14">
        <v>14.62</v>
      </c>
      <c r="J114" s="11">
        <v>90</v>
      </c>
      <c r="K114" s="14">
        <v>833.84</v>
      </c>
    </row>
    <row r="115" spans="1:11" ht="14.5" x14ac:dyDescent="0.25">
      <c r="A115" s="10"/>
      <c r="B115" s="10"/>
      <c r="C115" s="10" t="s">
        <v>262</v>
      </c>
      <c r="D115" s="12" t="s">
        <v>261</v>
      </c>
      <c r="E115" s="11">
        <v>46</v>
      </c>
      <c r="F115" s="14"/>
      <c r="G115" s="13"/>
      <c r="H115" s="11"/>
      <c r="I115" s="14">
        <v>7.47</v>
      </c>
      <c r="J115" s="11">
        <v>46</v>
      </c>
      <c r="K115" s="14">
        <v>426.19</v>
      </c>
    </row>
    <row r="116" spans="1:11" ht="14.5" x14ac:dyDescent="0.25">
      <c r="A116" s="17"/>
      <c r="B116" s="17"/>
      <c r="C116" s="17" t="s">
        <v>263</v>
      </c>
      <c r="D116" s="18" t="s">
        <v>264</v>
      </c>
      <c r="E116" s="19">
        <v>1.03</v>
      </c>
      <c r="F116" s="20"/>
      <c r="G116" s="21" t="s">
        <v>13</v>
      </c>
      <c r="H116" s="19">
        <v>1</v>
      </c>
      <c r="I116" s="20">
        <v>1.24</v>
      </c>
      <c r="J116" s="19"/>
      <c r="K116" s="20"/>
    </row>
    <row r="117" spans="1:11" ht="14" x14ac:dyDescent="0.25">
      <c r="C117" s="22" t="s">
        <v>265</v>
      </c>
      <c r="H117" s="143">
        <v>51.87</v>
      </c>
      <c r="I117" s="143"/>
      <c r="J117" s="143">
        <v>2326.96</v>
      </c>
      <c r="K117" s="143"/>
    </row>
    <row r="118" spans="1:11" ht="14" x14ac:dyDescent="0.25">
      <c r="C118" s="22" t="s">
        <v>267</v>
      </c>
      <c r="H118" s="141">
        <v>51.87</v>
      </c>
      <c r="I118" s="141"/>
      <c r="J118" s="141">
        <v>2326.96</v>
      </c>
      <c r="K118" s="141"/>
    </row>
    <row r="120" spans="1:11" ht="68" x14ac:dyDescent="0.25">
      <c r="A120" s="17">
        <v>15</v>
      </c>
      <c r="B120" s="17" t="s">
        <v>409</v>
      </c>
      <c r="C120" s="17" t="s">
        <v>2038</v>
      </c>
      <c r="D120" s="18" t="s">
        <v>11</v>
      </c>
      <c r="E120" s="19">
        <v>1</v>
      </c>
      <c r="F120" s="20">
        <v>16661.8</v>
      </c>
      <c r="G120" s="21" t="s">
        <v>1</v>
      </c>
      <c r="H120" s="19">
        <v>1</v>
      </c>
      <c r="I120" s="20">
        <v>16661.8</v>
      </c>
      <c r="J120" s="19">
        <v>7.54</v>
      </c>
      <c r="K120" s="20">
        <v>125629.97</v>
      </c>
    </row>
    <row r="121" spans="1:11" ht="14" x14ac:dyDescent="0.25">
      <c r="C121" s="22" t="s">
        <v>267</v>
      </c>
      <c r="H121" s="143">
        <v>16661.8</v>
      </c>
      <c r="I121" s="143"/>
      <c r="J121" s="143">
        <v>125629.97</v>
      </c>
      <c r="K121" s="143"/>
    </row>
    <row r="123" spans="1:11" ht="84" x14ac:dyDescent="0.25">
      <c r="A123" s="17">
        <v>16</v>
      </c>
      <c r="B123" s="17" t="s">
        <v>959</v>
      </c>
      <c r="C123" s="17" t="s">
        <v>933</v>
      </c>
      <c r="D123" s="18" t="s">
        <v>38</v>
      </c>
      <c r="E123" s="19">
        <v>1</v>
      </c>
      <c r="F123" s="20">
        <v>148.71</v>
      </c>
      <c r="G123" s="21" t="s">
        <v>1</v>
      </c>
      <c r="H123" s="19">
        <v>1</v>
      </c>
      <c r="I123" s="20">
        <v>148.71</v>
      </c>
      <c r="J123" s="19">
        <v>5.89</v>
      </c>
      <c r="K123" s="20">
        <v>875.9</v>
      </c>
    </row>
    <row r="124" spans="1:11" ht="14" x14ac:dyDescent="0.25">
      <c r="C124" s="22" t="s">
        <v>267</v>
      </c>
      <c r="H124" s="143">
        <v>148.71</v>
      </c>
      <c r="I124" s="143"/>
      <c r="J124" s="143">
        <v>875.9</v>
      </c>
      <c r="K124" s="143"/>
    </row>
    <row r="126" spans="1:11" ht="42" x14ac:dyDescent="0.25">
      <c r="A126" s="17">
        <v>17</v>
      </c>
      <c r="B126" s="17" t="s">
        <v>960</v>
      </c>
      <c r="C126" s="17" t="s">
        <v>935</v>
      </c>
      <c r="D126" s="18" t="s">
        <v>38</v>
      </c>
      <c r="E126" s="19">
        <v>1</v>
      </c>
      <c r="F126" s="20">
        <v>77.11</v>
      </c>
      <c r="G126" s="21" t="s">
        <v>1</v>
      </c>
      <c r="H126" s="19">
        <v>1</v>
      </c>
      <c r="I126" s="20">
        <v>77.11</v>
      </c>
      <c r="J126" s="19">
        <v>4.0999999999999996</v>
      </c>
      <c r="K126" s="20">
        <v>316.14999999999998</v>
      </c>
    </row>
    <row r="127" spans="1:11" ht="14" x14ac:dyDescent="0.25">
      <c r="C127" s="22" t="s">
        <v>267</v>
      </c>
      <c r="H127" s="143">
        <v>77.11</v>
      </c>
      <c r="I127" s="143"/>
      <c r="J127" s="143">
        <v>316.14999999999998</v>
      </c>
      <c r="K127" s="143"/>
    </row>
    <row r="129" spans="1:11" ht="79" x14ac:dyDescent="0.25">
      <c r="A129" s="10">
        <v>18</v>
      </c>
      <c r="B129" s="10" t="s">
        <v>1589</v>
      </c>
      <c r="C129" s="10" t="s">
        <v>1590</v>
      </c>
      <c r="D129" s="12" t="s">
        <v>1617</v>
      </c>
      <c r="E129" s="11">
        <v>0.27</v>
      </c>
      <c r="F129" s="14"/>
      <c r="G129" s="13"/>
      <c r="H129" s="11"/>
      <c r="I129" s="14"/>
      <c r="J129" s="11"/>
      <c r="K129" s="14"/>
    </row>
    <row r="130" spans="1:11" x14ac:dyDescent="0.25">
      <c r="C130" s="23" t="s">
        <v>1647</v>
      </c>
    </row>
    <row r="131" spans="1:11" ht="14.5" x14ac:dyDescent="0.25">
      <c r="A131" s="10"/>
      <c r="B131" s="10"/>
      <c r="C131" s="10" t="s">
        <v>256</v>
      </c>
      <c r="D131" s="12"/>
      <c r="E131" s="11"/>
      <c r="F131" s="14">
        <v>39.119999999999997</v>
      </c>
      <c r="G131" s="15" t="s">
        <v>13</v>
      </c>
      <c r="H131" s="11">
        <v>1</v>
      </c>
      <c r="I131" s="14">
        <v>12.67</v>
      </c>
      <c r="J131" s="11">
        <v>57.05</v>
      </c>
      <c r="K131" s="14">
        <v>722.82</v>
      </c>
    </row>
    <row r="132" spans="1:11" ht="14.5" x14ac:dyDescent="0.25">
      <c r="A132" s="10"/>
      <c r="B132" s="10"/>
      <c r="C132" s="10" t="s">
        <v>260</v>
      </c>
      <c r="D132" s="12" t="s">
        <v>261</v>
      </c>
      <c r="E132" s="11">
        <v>90</v>
      </c>
      <c r="F132" s="14"/>
      <c r="G132" s="13"/>
      <c r="H132" s="11"/>
      <c r="I132" s="14">
        <v>11.4</v>
      </c>
      <c r="J132" s="11">
        <v>90</v>
      </c>
      <c r="K132" s="14">
        <v>650.54</v>
      </c>
    </row>
    <row r="133" spans="1:11" ht="14.5" x14ac:dyDescent="0.25">
      <c r="A133" s="10"/>
      <c r="B133" s="10"/>
      <c r="C133" s="10" t="s">
        <v>262</v>
      </c>
      <c r="D133" s="12" t="s">
        <v>261</v>
      </c>
      <c r="E133" s="11">
        <v>46</v>
      </c>
      <c r="F133" s="14"/>
      <c r="G133" s="13"/>
      <c r="H133" s="11"/>
      <c r="I133" s="14">
        <v>5.83</v>
      </c>
      <c r="J133" s="11">
        <v>46</v>
      </c>
      <c r="K133" s="14">
        <v>332.5</v>
      </c>
    </row>
    <row r="134" spans="1:11" ht="14.5" x14ac:dyDescent="0.25">
      <c r="A134" s="17"/>
      <c r="B134" s="17"/>
      <c r="C134" s="17" t="s">
        <v>263</v>
      </c>
      <c r="D134" s="18" t="s">
        <v>264</v>
      </c>
      <c r="E134" s="19">
        <v>3.1</v>
      </c>
      <c r="F134" s="20"/>
      <c r="G134" s="21" t="s">
        <v>13</v>
      </c>
      <c r="H134" s="19">
        <v>1</v>
      </c>
      <c r="I134" s="20">
        <v>1</v>
      </c>
      <c r="J134" s="19"/>
      <c r="K134" s="20"/>
    </row>
    <row r="135" spans="1:11" ht="14" x14ac:dyDescent="0.25">
      <c r="C135" s="22" t="s">
        <v>265</v>
      </c>
      <c r="H135" s="143">
        <v>29.9</v>
      </c>
      <c r="I135" s="143"/>
      <c r="J135" s="143">
        <v>1705.86</v>
      </c>
      <c r="K135" s="143"/>
    </row>
    <row r="136" spans="1:11" ht="14" x14ac:dyDescent="0.25">
      <c r="C136" s="22" t="s">
        <v>267</v>
      </c>
      <c r="H136" s="141">
        <v>29.9</v>
      </c>
      <c r="I136" s="141"/>
      <c r="J136" s="141">
        <v>1705.86</v>
      </c>
      <c r="K136" s="141"/>
    </row>
    <row r="138" spans="1:11" ht="41" x14ac:dyDescent="0.25">
      <c r="A138" s="38">
        <v>19</v>
      </c>
      <c r="B138" s="38" t="s">
        <v>409</v>
      </c>
      <c r="C138" s="38" t="s">
        <v>2039</v>
      </c>
      <c r="D138" s="39" t="s">
        <v>11</v>
      </c>
      <c r="E138" s="40">
        <v>27</v>
      </c>
      <c r="F138" s="41">
        <v>19.68</v>
      </c>
      <c r="G138" s="42" t="s">
        <v>1</v>
      </c>
      <c r="H138" s="40">
        <v>1</v>
      </c>
      <c r="I138" s="41">
        <v>531.36</v>
      </c>
      <c r="J138" s="40">
        <v>10.18</v>
      </c>
      <c r="K138" s="41">
        <v>5409.24</v>
      </c>
    </row>
    <row r="139" spans="1:11" ht="14" x14ac:dyDescent="0.25">
      <c r="A139" s="43"/>
      <c r="B139" s="43"/>
      <c r="C139" s="44" t="s">
        <v>267</v>
      </c>
      <c r="D139" s="43"/>
      <c r="E139" s="43"/>
      <c r="F139" s="43"/>
      <c r="G139" s="43"/>
      <c r="H139" s="156">
        <v>531.36</v>
      </c>
      <c r="I139" s="156"/>
      <c r="J139" s="156">
        <v>5409.24</v>
      </c>
      <c r="K139" s="156"/>
    </row>
    <row r="141" spans="1:11" ht="27" x14ac:dyDescent="0.25">
      <c r="A141" s="17">
        <v>20</v>
      </c>
      <c r="B141" s="17" t="s">
        <v>409</v>
      </c>
      <c r="C141" s="17" t="s">
        <v>2040</v>
      </c>
      <c r="D141" s="18" t="s">
        <v>11</v>
      </c>
      <c r="E141" s="19">
        <v>30</v>
      </c>
      <c r="F141" s="20">
        <v>0.32</v>
      </c>
      <c r="G141" s="21" t="s">
        <v>1</v>
      </c>
      <c r="H141" s="19">
        <v>1</v>
      </c>
      <c r="I141" s="20">
        <v>9.6</v>
      </c>
      <c r="J141" s="19">
        <v>10.18</v>
      </c>
      <c r="K141" s="20">
        <v>97.73</v>
      </c>
    </row>
    <row r="142" spans="1:11" ht="14" x14ac:dyDescent="0.25">
      <c r="C142" s="22" t="s">
        <v>267</v>
      </c>
      <c r="H142" s="143">
        <v>9.6</v>
      </c>
      <c r="I142" s="143"/>
      <c r="J142" s="143">
        <v>97.73</v>
      </c>
      <c r="K142" s="143"/>
    </row>
    <row r="144" spans="1:11" ht="41" x14ac:dyDescent="0.25">
      <c r="A144" s="17">
        <v>21</v>
      </c>
      <c r="B144" s="17" t="s">
        <v>409</v>
      </c>
      <c r="C144" s="17" t="s">
        <v>1658</v>
      </c>
      <c r="D144" s="18" t="s">
        <v>11</v>
      </c>
      <c r="E144" s="19">
        <v>5</v>
      </c>
      <c r="F144" s="20">
        <v>231.11</v>
      </c>
      <c r="G144" s="21" t="s">
        <v>1</v>
      </c>
      <c r="H144" s="19">
        <v>1</v>
      </c>
      <c r="I144" s="20">
        <v>1155.55</v>
      </c>
      <c r="J144" s="19">
        <v>10.18</v>
      </c>
      <c r="K144" s="20">
        <v>11763.5</v>
      </c>
    </row>
    <row r="145" spans="1:11" ht="14" x14ac:dyDescent="0.25">
      <c r="C145" s="22" t="s">
        <v>267</v>
      </c>
      <c r="H145" s="143">
        <v>1155.55</v>
      </c>
      <c r="I145" s="143"/>
      <c r="J145" s="143">
        <v>11763.5</v>
      </c>
      <c r="K145" s="143"/>
    </row>
    <row r="147" spans="1:11" ht="79" x14ac:dyDescent="0.25">
      <c r="A147" s="10">
        <v>22</v>
      </c>
      <c r="B147" s="10" t="s">
        <v>912</v>
      </c>
      <c r="C147" s="10" t="s">
        <v>913</v>
      </c>
      <c r="D147" s="12" t="s">
        <v>24</v>
      </c>
      <c r="E147" s="11">
        <v>1</v>
      </c>
      <c r="F147" s="14"/>
      <c r="G147" s="13"/>
      <c r="H147" s="11"/>
      <c r="I147" s="14"/>
      <c r="J147" s="11"/>
      <c r="K147" s="14"/>
    </row>
    <row r="148" spans="1:11" ht="14.5" x14ac:dyDescent="0.25">
      <c r="A148" s="10"/>
      <c r="B148" s="10"/>
      <c r="C148" s="10" t="s">
        <v>256</v>
      </c>
      <c r="D148" s="12"/>
      <c r="E148" s="11"/>
      <c r="F148" s="14">
        <v>40.17</v>
      </c>
      <c r="G148" s="15" t="s">
        <v>13</v>
      </c>
      <c r="H148" s="11">
        <v>1</v>
      </c>
      <c r="I148" s="14">
        <v>48.2</v>
      </c>
      <c r="J148" s="11">
        <v>57.05</v>
      </c>
      <c r="K148" s="14">
        <v>2749.81</v>
      </c>
    </row>
    <row r="149" spans="1:11" ht="14.5" x14ac:dyDescent="0.25">
      <c r="A149" s="10"/>
      <c r="B149" s="10"/>
      <c r="C149" s="10" t="s">
        <v>259</v>
      </c>
      <c r="D149" s="12"/>
      <c r="E149" s="11"/>
      <c r="F149" s="14">
        <v>2.34</v>
      </c>
      <c r="G149" s="15" t="s">
        <v>1</v>
      </c>
      <c r="H149" s="11">
        <v>1</v>
      </c>
      <c r="I149" s="14">
        <v>2.34</v>
      </c>
      <c r="J149" s="11">
        <v>9.91</v>
      </c>
      <c r="K149" s="14">
        <v>23.19</v>
      </c>
    </row>
    <row r="150" spans="1:11" ht="14.5" x14ac:dyDescent="0.25">
      <c r="A150" s="10"/>
      <c r="B150" s="10"/>
      <c r="C150" s="10" t="s">
        <v>260</v>
      </c>
      <c r="D150" s="12" t="s">
        <v>261</v>
      </c>
      <c r="E150" s="11">
        <v>90</v>
      </c>
      <c r="F150" s="14"/>
      <c r="G150" s="13"/>
      <c r="H150" s="11"/>
      <c r="I150" s="14">
        <v>43.38</v>
      </c>
      <c r="J150" s="11">
        <v>90</v>
      </c>
      <c r="K150" s="14">
        <v>2474.83</v>
      </c>
    </row>
    <row r="151" spans="1:11" ht="14.5" x14ac:dyDescent="0.25">
      <c r="A151" s="10"/>
      <c r="B151" s="10"/>
      <c r="C151" s="10" t="s">
        <v>262</v>
      </c>
      <c r="D151" s="12" t="s">
        <v>261</v>
      </c>
      <c r="E151" s="11">
        <v>46</v>
      </c>
      <c r="F151" s="14"/>
      <c r="G151" s="13"/>
      <c r="H151" s="11"/>
      <c r="I151" s="14">
        <v>22.17</v>
      </c>
      <c r="J151" s="11">
        <v>46</v>
      </c>
      <c r="K151" s="14">
        <v>1264.9100000000001</v>
      </c>
    </row>
    <row r="152" spans="1:11" ht="14.5" x14ac:dyDescent="0.25">
      <c r="A152" s="17"/>
      <c r="B152" s="17"/>
      <c r="C152" s="17" t="s">
        <v>263</v>
      </c>
      <c r="D152" s="18" t="s">
        <v>264</v>
      </c>
      <c r="E152" s="19">
        <v>3.18</v>
      </c>
      <c r="F152" s="20"/>
      <c r="G152" s="21" t="s">
        <v>13</v>
      </c>
      <c r="H152" s="19">
        <v>1</v>
      </c>
      <c r="I152" s="20">
        <v>3.82</v>
      </c>
      <c r="J152" s="19"/>
      <c r="K152" s="20"/>
    </row>
    <row r="153" spans="1:11" ht="14" x14ac:dyDescent="0.25">
      <c r="C153" s="22" t="s">
        <v>265</v>
      </c>
      <c r="H153" s="143">
        <v>116.09</v>
      </c>
      <c r="I153" s="143"/>
      <c r="J153" s="143">
        <v>6512.74</v>
      </c>
      <c r="K153" s="143"/>
    </row>
    <row r="154" spans="1:11" ht="14" x14ac:dyDescent="0.25">
      <c r="C154" s="22" t="s">
        <v>267</v>
      </c>
      <c r="H154" s="141">
        <v>116.09</v>
      </c>
      <c r="I154" s="141"/>
      <c r="J154" s="141">
        <v>6512.74</v>
      </c>
      <c r="K154" s="141"/>
    </row>
    <row r="156" spans="1:11" ht="68" x14ac:dyDescent="0.25">
      <c r="A156" s="38">
        <v>23</v>
      </c>
      <c r="B156" s="38" t="s">
        <v>409</v>
      </c>
      <c r="C156" s="38" t="s">
        <v>2041</v>
      </c>
      <c r="D156" s="39" t="s">
        <v>11</v>
      </c>
      <c r="E156" s="40">
        <v>1</v>
      </c>
      <c r="F156" s="41">
        <v>7525.8</v>
      </c>
      <c r="G156" s="42" t="s">
        <v>1</v>
      </c>
      <c r="H156" s="40">
        <v>1</v>
      </c>
      <c r="I156" s="41">
        <v>7525.8</v>
      </c>
      <c r="J156" s="40">
        <v>7.54</v>
      </c>
      <c r="K156" s="41">
        <v>56744.53</v>
      </c>
    </row>
    <row r="157" spans="1:11" ht="14" x14ac:dyDescent="0.25">
      <c r="A157" s="43"/>
      <c r="B157" s="43"/>
      <c r="C157" s="44" t="s">
        <v>267</v>
      </c>
      <c r="D157" s="43"/>
      <c r="E157" s="43"/>
      <c r="F157" s="43"/>
      <c r="G157" s="43"/>
      <c r="H157" s="156">
        <v>7525.8</v>
      </c>
      <c r="I157" s="156"/>
      <c r="J157" s="156">
        <v>56744.53</v>
      </c>
      <c r="K157" s="156"/>
    </row>
    <row r="160" spans="1:11" ht="14" x14ac:dyDescent="0.3">
      <c r="A160" s="140" t="s">
        <v>1062</v>
      </c>
      <c r="B160" s="140"/>
      <c r="C160" s="140"/>
      <c r="D160" s="140"/>
      <c r="E160" s="140"/>
      <c r="F160" s="140"/>
      <c r="G160" s="140"/>
      <c r="H160" s="141">
        <v>71472.100000000006</v>
      </c>
      <c r="I160" s="142"/>
      <c r="J160" s="141">
        <v>679250.86</v>
      </c>
      <c r="K160" s="142"/>
    </row>
    <row r="162" spans="1:11" ht="16.5" x14ac:dyDescent="0.25">
      <c r="A162" s="144" t="s">
        <v>1024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</row>
    <row r="163" spans="1:11" ht="79" x14ac:dyDescent="0.25">
      <c r="A163" s="10">
        <v>24</v>
      </c>
      <c r="B163" s="10" t="s">
        <v>1035</v>
      </c>
      <c r="C163" s="10" t="s">
        <v>1036</v>
      </c>
      <c r="D163" s="12" t="s">
        <v>24</v>
      </c>
      <c r="E163" s="11">
        <v>1</v>
      </c>
      <c r="F163" s="14"/>
      <c r="G163" s="13"/>
      <c r="H163" s="11"/>
      <c r="I163" s="14"/>
      <c r="J163" s="11"/>
      <c r="K163" s="14"/>
    </row>
    <row r="164" spans="1:11" ht="14.5" x14ac:dyDescent="0.25">
      <c r="A164" s="10"/>
      <c r="B164" s="10"/>
      <c r="C164" s="10" t="s">
        <v>256</v>
      </c>
      <c r="D164" s="12"/>
      <c r="E164" s="11"/>
      <c r="F164" s="14">
        <v>11.65</v>
      </c>
      <c r="G164" s="15" t="s">
        <v>13</v>
      </c>
      <c r="H164" s="11">
        <v>1</v>
      </c>
      <c r="I164" s="14">
        <v>13.98</v>
      </c>
      <c r="J164" s="11">
        <v>57.05</v>
      </c>
      <c r="K164" s="14">
        <v>797.56</v>
      </c>
    </row>
    <row r="165" spans="1:11" ht="14.5" x14ac:dyDescent="0.25">
      <c r="A165" s="10"/>
      <c r="B165" s="10"/>
      <c r="C165" s="10" t="s">
        <v>257</v>
      </c>
      <c r="D165" s="12"/>
      <c r="E165" s="11"/>
      <c r="F165" s="14">
        <v>0.5</v>
      </c>
      <c r="G165" s="15" t="s">
        <v>13</v>
      </c>
      <c r="H165" s="11">
        <v>1</v>
      </c>
      <c r="I165" s="14">
        <v>0.6</v>
      </c>
      <c r="J165" s="11">
        <v>17.399999999999999</v>
      </c>
      <c r="K165" s="14">
        <v>10.44</v>
      </c>
    </row>
    <row r="166" spans="1:11" ht="14.5" x14ac:dyDescent="0.25">
      <c r="A166" s="10"/>
      <c r="B166" s="10"/>
      <c r="C166" s="10" t="s">
        <v>258</v>
      </c>
      <c r="D166" s="12"/>
      <c r="E166" s="11"/>
      <c r="F166" s="14">
        <v>0.08</v>
      </c>
      <c r="G166" s="15" t="s">
        <v>13</v>
      </c>
      <c r="H166" s="11">
        <v>1</v>
      </c>
      <c r="I166" s="16">
        <v>0.1</v>
      </c>
      <c r="J166" s="11">
        <v>57.05</v>
      </c>
      <c r="K166" s="16">
        <v>5.71</v>
      </c>
    </row>
    <row r="167" spans="1:11" ht="14.5" x14ac:dyDescent="0.25">
      <c r="A167" s="10"/>
      <c r="B167" s="10"/>
      <c r="C167" s="10" t="s">
        <v>260</v>
      </c>
      <c r="D167" s="12" t="s">
        <v>261</v>
      </c>
      <c r="E167" s="11">
        <v>90</v>
      </c>
      <c r="F167" s="14"/>
      <c r="G167" s="13"/>
      <c r="H167" s="11"/>
      <c r="I167" s="14">
        <v>12.67</v>
      </c>
      <c r="J167" s="11">
        <v>90</v>
      </c>
      <c r="K167" s="14">
        <v>722.94</v>
      </c>
    </row>
    <row r="168" spans="1:11" ht="14.5" x14ac:dyDescent="0.25">
      <c r="A168" s="10"/>
      <c r="B168" s="10"/>
      <c r="C168" s="10" t="s">
        <v>262</v>
      </c>
      <c r="D168" s="12" t="s">
        <v>261</v>
      </c>
      <c r="E168" s="11">
        <v>46</v>
      </c>
      <c r="F168" s="14"/>
      <c r="G168" s="13"/>
      <c r="H168" s="11"/>
      <c r="I168" s="14">
        <v>6.48</v>
      </c>
      <c r="J168" s="11">
        <v>46</v>
      </c>
      <c r="K168" s="14">
        <v>369.5</v>
      </c>
    </row>
    <row r="169" spans="1:11" ht="14.5" x14ac:dyDescent="0.25">
      <c r="A169" s="17"/>
      <c r="B169" s="17"/>
      <c r="C169" s="17" t="s">
        <v>263</v>
      </c>
      <c r="D169" s="18" t="s">
        <v>264</v>
      </c>
      <c r="E169" s="19">
        <v>1.03</v>
      </c>
      <c r="F169" s="20"/>
      <c r="G169" s="21" t="s">
        <v>13</v>
      </c>
      <c r="H169" s="19">
        <v>1</v>
      </c>
      <c r="I169" s="20">
        <v>1.24</v>
      </c>
      <c r="J169" s="19"/>
      <c r="K169" s="20"/>
    </row>
    <row r="170" spans="1:11" ht="14" x14ac:dyDescent="0.25">
      <c r="C170" s="22" t="s">
        <v>265</v>
      </c>
      <c r="H170" s="143">
        <v>33.729999999999997</v>
      </c>
      <c r="I170" s="143"/>
      <c r="J170" s="143">
        <v>1900.44</v>
      </c>
      <c r="K170" s="143"/>
    </row>
    <row r="171" spans="1:11" ht="14" x14ac:dyDescent="0.25">
      <c r="C171" s="22" t="s">
        <v>267</v>
      </c>
      <c r="H171" s="141">
        <v>33.729999999999997</v>
      </c>
      <c r="I171" s="141"/>
      <c r="J171" s="141">
        <v>1900.44</v>
      </c>
      <c r="K171" s="141"/>
    </row>
    <row r="173" spans="1:11" ht="68" x14ac:dyDescent="0.25">
      <c r="A173" s="38">
        <v>25</v>
      </c>
      <c r="B173" s="38" t="s">
        <v>409</v>
      </c>
      <c r="C173" s="38" t="s">
        <v>2042</v>
      </c>
      <c r="D173" s="39" t="s">
        <v>11</v>
      </c>
      <c r="E173" s="40">
        <v>1</v>
      </c>
      <c r="F173" s="41">
        <v>493.37</v>
      </c>
      <c r="G173" s="42" t="s">
        <v>1</v>
      </c>
      <c r="H173" s="40">
        <v>1</v>
      </c>
      <c r="I173" s="41">
        <v>493.37</v>
      </c>
      <c r="J173" s="40">
        <v>7.54</v>
      </c>
      <c r="K173" s="41">
        <v>3720.01</v>
      </c>
    </row>
    <row r="174" spans="1:11" ht="14" x14ac:dyDescent="0.25">
      <c r="A174" s="43"/>
      <c r="B174" s="43"/>
      <c r="C174" s="44" t="s">
        <v>267</v>
      </c>
      <c r="D174" s="43"/>
      <c r="E174" s="43"/>
      <c r="F174" s="43"/>
      <c r="G174" s="43"/>
      <c r="H174" s="156">
        <v>493.37</v>
      </c>
      <c r="I174" s="156"/>
      <c r="J174" s="156">
        <v>3720.01</v>
      </c>
      <c r="K174" s="156"/>
    </row>
    <row r="177" spans="1:11" ht="14" x14ac:dyDescent="0.3">
      <c r="A177" s="140" t="s">
        <v>1030</v>
      </c>
      <c r="B177" s="140"/>
      <c r="C177" s="140"/>
      <c r="D177" s="140"/>
      <c r="E177" s="140"/>
      <c r="F177" s="140"/>
      <c r="G177" s="140"/>
      <c r="H177" s="141">
        <v>527.1</v>
      </c>
      <c r="I177" s="142"/>
      <c r="J177" s="141">
        <v>5620.45</v>
      </c>
      <c r="K177" s="142"/>
    </row>
    <row r="179" spans="1:11" ht="23.25" customHeight="1" x14ac:dyDescent="0.25">
      <c r="A179" s="144" t="s">
        <v>1648</v>
      </c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</row>
    <row r="180" spans="1:11" ht="79" x14ac:dyDescent="0.25">
      <c r="A180" s="10">
        <v>26</v>
      </c>
      <c r="B180" s="10" t="s">
        <v>1637</v>
      </c>
      <c r="C180" s="10" t="s">
        <v>1638</v>
      </c>
      <c r="D180" s="12" t="s">
        <v>50</v>
      </c>
      <c r="E180" s="11">
        <v>10</v>
      </c>
      <c r="F180" s="14"/>
      <c r="G180" s="13"/>
      <c r="H180" s="11"/>
      <c r="I180" s="14"/>
      <c r="J180" s="11"/>
      <c r="K180" s="14"/>
    </row>
    <row r="181" spans="1:11" x14ac:dyDescent="0.25">
      <c r="C181" s="23" t="s">
        <v>1649</v>
      </c>
    </row>
    <row r="182" spans="1:11" ht="14.5" x14ac:dyDescent="0.25">
      <c r="A182" s="10"/>
      <c r="B182" s="10"/>
      <c r="C182" s="10" t="s">
        <v>256</v>
      </c>
      <c r="D182" s="12"/>
      <c r="E182" s="11"/>
      <c r="F182" s="14">
        <v>197.28</v>
      </c>
      <c r="G182" s="15" t="s">
        <v>13</v>
      </c>
      <c r="H182" s="11">
        <v>1</v>
      </c>
      <c r="I182" s="14">
        <v>2367.36</v>
      </c>
      <c r="J182" s="11">
        <v>57.05</v>
      </c>
      <c r="K182" s="14">
        <v>135057.89000000001</v>
      </c>
    </row>
    <row r="183" spans="1:11" ht="14.5" x14ac:dyDescent="0.25">
      <c r="A183" s="10"/>
      <c r="B183" s="10"/>
      <c r="C183" s="10" t="s">
        <v>257</v>
      </c>
      <c r="D183" s="12"/>
      <c r="E183" s="11"/>
      <c r="F183" s="14">
        <v>1.73</v>
      </c>
      <c r="G183" s="15" t="s">
        <v>13</v>
      </c>
      <c r="H183" s="11">
        <v>1</v>
      </c>
      <c r="I183" s="14">
        <v>20.76</v>
      </c>
      <c r="J183" s="11">
        <v>11.08</v>
      </c>
      <c r="K183" s="14">
        <v>230.02</v>
      </c>
    </row>
    <row r="184" spans="1:11" ht="14.5" x14ac:dyDescent="0.25">
      <c r="A184" s="10"/>
      <c r="B184" s="10"/>
      <c r="C184" s="10" t="s">
        <v>259</v>
      </c>
      <c r="D184" s="12"/>
      <c r="E184" s="11"/>
      <c r="F184" s="14">
        <v>91.91</v>
      </c>
      <c r="G184" s="15" t="s">
        <v>1</v>
      </c>
      <c r="H184" s="11">
        <v>1</v>
      </c>
      <c r="I184" s="14">
        <v>919.1</v>
      </c>
      <c r="J184" s="11">
        <v>2.4500000000000002</v>
      </c>
      <c r="K184" s="14">
        <v>2251.8000000000002</v>
      </c>
    </row>
    <row r="185" spans="1:11" ht="42" x14ac:dyDescent="0.25">
      <c r="A185" s="10" t="s">
        <v>917</v>
      </c>
      <c r="B185" s="10" t="s">
        <v>93</v>
      </c>
      <c r="C185" s="10" t="s">
        <v>94</v>
      </c>
      <c r="D185" s="12" t="s">
        <v>52</v>
      </c>
      <c r="E185" s="11">
        <v>1020</v>
      </c>
      <c r="F185" s="14">
        <v>3.45</v>
      </c>
      <c r="G185" s="15" t="s">
        <v>1</v>
      </c>
      <c r="H185" s="11">
        <v>1</v>
      </c>
      <c r="I185" s="14">
        <v>3519</v>
      </c>
      <c r="J185" s="11">
        <v>3.85</v>
      </c>
      <c r="K185" s="14">
        <v>13548.15</v>
      </c>
    </row>
    <row r="186" spans="1:11" ht="42" x14ac:dyDescent="0.25">
      <c r="A186" s="10" t="s">
        <v>918</v>
      </c>
      <c r="B186" s="10" t="s">
        <v>1564</v>
      </c>
      <c r="C186" s="10" t="s">
        <v>1556</v>
      </c>
      <c r="D186" s="12" t="s">
        <v>34</v>
      </c>
      <c r="E186" s="11">
        <v>21.64</v>
      </c>
      <c r="F186" s="14">
        <v>146.88999999999999</v>
      </c>
      <c r="G186" s="15" t="s">
        <v>1</v>
      </c>
      <c r="H186" s="11">
        <v>1</v>
      </c>
      <c r="I186" s="14">
        <v>3178.7</v>
      </c>
      <c r="J186" s="11">
        <v>1.77</v>
      </c>
      <c r="K186" s="14">
        <v>5626.3</v>
      </c>
    </row>
    <row r="187" spans="1:11" ht="14.5" x14ac:dyDescent="0.25">
      <c r="A187" s="10"/>
      <c r="B187" s="10"/>
      <c r="C187" s="10" t="s">
        <v>260</v>
      </c>
      <c r="D187" s="12" t="s">
        <v>261</v>
      </c>
      <c r="E187" s="11">
        <v>90</v>
      </c>
      <c r="F187" s="14"/>
      <c r="G187" s="13"/>
      <c r="H187" s="11"/>
      <c r="I187" s="14">
        <v>2130.62</v>
      </c>
      <c r="J187" s="11">
        <v>90</v>
      </c>
      <c r="K187" s="14">
        <v>121552.1</v>
      </c>
    </row>
    <row r="188" spans="1:11" ht="14.5" x14ac:dyDescent="0.25">
      <c r="A188" s="10"/>
      <c r="B188" s="10"/>
      <c r="C188" s="10" t="s">
        <v>262</v>
      </c>
      <c r="D188" s="12" t="s">
        <v>261</v>
      </c>
      <c r="E188" s="11">
        <v>46</v>
      </c>
      <c r="F188" s="14"/>
      <c r="G188" s="13"/>
      <c r="H188" s="11"/>
      <c r="I188" s="14">
        <v>1088.99</v>
      </c>
      <c r="J188" s="11">
        <v>46</v>
      </c>
      <c r="K188" s="14">
        <v>62126.63</v>
      </c>
    </row>
    <row r="189" spans="1:11" ht="14.5" x14ac:dyDescent="0.25">
      <c r="A189" s="17"/>
      <c r="B189" s="17"/>
      <c r="C189" s="17" t="s">
        <v>263</v>
      </c>
      <c r="D189" s="18" t="s">
        <v>264</v>
      </c>
      <c r="E189" s="19">
        <v>16.600000000000001</v>
      </c>
      <c r="F189" s="20"/>
      <c r="G189" s="21" t="s">
        <v>13</v>
      </c>
      <c r="H189" s="19">
        <v>1</v>
      </c>
      <c r="I189" s="20">
        <v>199.2</v>
      </c>
      <c r="J189" s="19"/>
      <c r="K189" s="20"/>
    </row>
    <row r="190" spans="1:11" ht="14" x14ac:dyDescent="0.25">
      <c r="C190" s="22" t="s">
        <v>265</v>
      </c>
      <c r="H190" s="143">
        <v>13224.53</v>
      </c>
      <c r="I190" s="143"/>
      <c r="J190" s="143">
        <v>340392.89</v>
      </c>
      <c r="K190" s="143"/>
    </row>
    <row r="191" spans="1:11" ht="14" x14ac:dyDescent="0.25">
      <c r="C191" s="22" t="s">
        <v>267</v>
      </c>
      <c r="H191" s="141">
        <v>13224.53</v>
      </c>
      <c r="I191" s="141"/>
      <c r="J191" s="141">
        <v>340392.89</v>
      </c>
      <c r="K191" s="141"/>
    </row>
    <row r="193" spans="1:11" ht="79" x14ac:dyDescent="0.25">
      <c r="A193" s="10">
        <v>27</v>
      </c>
      <c r="B193" s="10" t="s">
        <v>1639</v>
      </c>
      <c r="C193" s="10" t="s">
        <v>140</v>
      </c>
      <c r="D193" s="12" t="s">
        <v>50</v>
      </c>
      <c r="E193" s="11">
        <v>3</v>
      </c>
      <c r="F193" s="14"/>
      <c r="G193" s="13"/>
      <c r="H193" s="11"/>
      <c r="I193" s="14"/>
      <c r="J193" s="11"/>
      <c r="K193" s="14"/>
    </row>
    <row r="194" spans="1:11" x14ac:dyDescent="0.25">
      <c r="C194" s="23" t="s">
        <v>1025</v>
      </c>
    </row>
    <row r="195" spans="1:11" ht="14.5" x14ac:dyDescent="0.25">
      <c r="A195" s="10"/>
      <c r="B195" s="10"/>
      <c r="C195" s="10" t="s">
        <v>256</v>
      </c>
      <c r="D195" s="12"/>
      <c r="E195" s="11"/>
      <c r="F195" s="14">
        <v>491.35</v>
      </c>
      <c r="G195" s="15" t="s">
        <v>13</v>
      </c>
      <c r="H195" s="11">
        <v>1</v>
      </c>
      <c r="I195" s="14">
        <v>1768.86</v>
      </c>
      <c r="J195" s="11">
        <v>57.05</v>
      </c>
      <c r="K195" s="14">
        <v>100913.46</v>
      </c>
    </row>
    <row r="196" spans="1:11" ht="14.5" x14ac:dyDescent="0.25">
      <c r="A196" s="10"/>
      <c r="B196" s="10"/>
      <c r="C196" s="10" t="s">
        <v>257</v>
      </c>
      <c r="D196" s="12"/>
      <c r="E196" s="11"/>
      <c r="F196" s="14">
        <v>29.47</v>
      </c>
      <c r="G196" s="15" t="s">
        <v>13</v>
      </c>
      <c r="H196" s="11">
        <v>1</v>
      </c>
      <c r="I196" s="14">
        <v>106.09</v>
      </c>
      <c r="J196" s="11">
        <v>17.41</v>
      </c>
      <c r="K196" s="14">
        <v>1847.03</v>
      </c>
    </row>
    <row r="197" spans="1:11" ht="14.5" x14ac:dyDescent="0.25">
      <c r="A197" s="10"/>
      <c r="B197" s="10"/>
      <c r="C197" s="10" t="s">
        <v>258</v>
      </c>
      <c r="D197" s="12"/>
      <c r="E197" s="11"/>
      <c r="F197" s="14">
        <v>3.94</v>
      </c>
      <c r="G197" s="15" t="s">
        <v>13</v>
      </c>
      <c r="H197" s="11">
        <v>1</v>
      </c>
      <c r="I197" s="16">
        <v>14.18</v>
      </c>
      <c r="J197" s="11">
        <v>57.05</v>
      </c>
      <c r="K197" s="16">
        <v>808.97</v>
      </c>
    </row>
    <row r="198" spans="1:11" ht="14.5" x14ac:dyDescent="0.25">
      <c r="A198" s="10"/>
      <c r="B198" s="10"/>
      <c r="C198" s="10" t="s">
        <v>259</v>
      </c>
      <c r="D198" s="12"/>
      <c r="E198" s="11"/>
      <c r="F198" s="14">
        <v>1844.59</v>
      </c>
      <c r="G198" s="15" t="s">
        <v>1</v>
      </c>
      <c r="H198" s="11">
        <v>1</v>
      </c>
      <c r="I198" s="14">
        <v>5533.77</v>
      </c>
      <c r="J198" s="11">
        <v>10.18</v>
      </c>
      <c r="K198" s="14">
        <v>56333.78</v>
      </c>
    </row>
    <row r="199" spans="1:11" ht="14.5" x14ac:dyDescent="0.25">
      <c r="A199" s="10" t="s">
        <v>926</v>
      </c>
      <c r="B199" s="10" t="s">
        <v>1650</v>
      </c>
      <c r="C199" s="10" t="s">
        <v>1640</v>
      </c>
      <c r="D199" s="12" t="s">
        <v>52</v>
      </c>
      <c r="E199" s="11">
        <v>300</v>
      </c>
      <c r="F199" s="14">
        <v>3.8</v>
      </c>
      <c r="G199" s="15" t="s">
        <v>1</v>
      </c>
      <c r="H199" s="11">
        <v>1</v>
      </c>
      <c r="I199" s="14">
        <v>1140</v>
      </c>
      <c r="J199" s="11">
        <v>7.36</v>
      </c>
      <c r="K199" s="14">
        <v>8390.4</v>
      </c>
    </row>
    <row r="200" spans="1:11" ht="14.5" x14ac:dyDescent="0.25">
      <c r="A200" s="10"/>
      <c r="B200" s="10"/>
      <c r="C200" s="10" t="s">
        <v>260</v>
      </c>
      <c r="D200" s="12" t="s">
        <v>261</v>
      </c>
      <c r="E200" s="11">
        <v>97</v>
      </c>
      <c r="F200" s="14"/>
      <c r="G200" s="13"/>
      <c r="H200" s="11"/>
      <c r="I200" s="14">
        <v>1729.55</v>
      </c>
      <c r="J200" s="11">
        <v>97</v>
      </c>
      <c r="K200" s="14">
        <v>98670.76</v>
      </c>
    </row>
    <row r="201" spans="1:11" ht="14.5" x14ac:dyDescent="0.25">
      <c r="A201" s="10"/>
      <c r="B201" s="10"/>
      <c r="C201" s="10" t="s">
        <v>262</v>
      </c>
      <c r="D201" s="12" t="s">
        <v>261</v>
      </c>
      <c r="E201" s="11">
        <v>51</v>
      </c>
      <c r="F201" s="14"/>
      <c r="G201" s="13"/>
      <c r="H201" s="11"/>
      <c r="I201" s="14">
        <v>909.35</v>
      </c>
      <c r="J201" s="11">
        <v>51</v>
      </c>
      <c r="K201" s="14">
        <v>51878.44</v>
      </c>
    </row>
    <row r="202" spans="1:11" ht="14.5" x14ac:dyDescent="0.25">
      <c r="A202" s="17"/>
      <c r="B202" s="17"/>
      <c r="C202" s="17" t="s">
        <v>263</v>
      </c>
      <c r="D202" s="18" t="s">
        <v>264</v>
      </c>
      <c r="E202" s="19">
        <v>40.67</v>
      </c>
      <c r="F202" s="20"/>
      <c r="G202" s="21" t="s">
        <v>13</v>
      </c>
      <c r="H202" s="19">
        <v>1</v>
      </c>
      <c r="I202" s="20">
        <v>146.41</v>
      </c>
      <c r="J202" s="19"/>
      <c r="K202" s="20"/>
    </row>
    <row r="203" spans="1:11" ht="14" x14ac:dyDescent="0.25">
      <c r="C203" s="22" t="s">
        <v>265</v>
      </c>
      <c r="H203" s="143">
        <v>11187.62</v>
      </c>
      <c r="I203" s="143"/>
      <c r="J203" s="143">
        <v>318033.87</v>
      </c>
      <c r="K203" s="143"/>
    </row>
    <row r="204" spans="1:11" ht="14" x14ac:dyDescent="0.25">
      <c r="C204" s="22" t="s">
        <v>267</v>
      </c>
      <c r="H204" s="141">
        <v>11187.62</v>
      </c>
      <c r="I204" s="141"/>
      <c r="J204" s="141">
        <v>318033.87</v>
      </c>
      <c r="K204" s="141"/>
    </row>
    <row r="206" spans="1:11" ht="79" x14ac:dyDescent="0.25">
      <c r="A206" s="10">
        <v>28</v>
      </c>
      <c r="B206" s="10" t="s">
        <v>1057</v>
      </c>
      <c r="C206" s="10" t="s">
        <v>1058</v>
      </c>
      <c r="D206" s="12" t="s">
        <v>50</v>
      </c>
      <c r="E206" s="11">
        <v>0.1</v>
      </c>
      <c r="F206" s="14"/>
      <c r="G206" s="13"/>
      <c r="H206" s="11"/>
      <c r="I206" s="14"/>
      <c r="J206" s="11"/>
      <c r="K206" s="14"/>
    </row>
    <row r="207" spans="1:11" x14ac:dyDescent="0.25">
      <c r="C207" s="23" t="s">
        <v>817</v>
      </c>
    </row>
    <row r="208" spans="1:11" ht="14.5" x14ac:dyDescent="0.25">
      <c r="A208" s="10"/>
      <c r="B208" s="10"/>
      <c r="C208" s="10" t="s">
        <v>256</v>
      </c>
      <c r="D208" s="12"/>
      <c r="E208" s="11"/>
      <c r="F208" s="14">
        <v>368.37</v>
      </c>
      <c r="G208" s="15" t="s">
        <v>13</v>
      </c>
      <c r="H208" s="11">
        <v>1</v>
      </c>
      <c r="I208" s="14">
        <v>44.2</v>
      </c>
      <c r="J208" s="11">
        <v>57.05</v>
      </c>
      <c r="K208" s="14">
        <v>2521.61</v>
      </c>
    </row>
    <row r="209" spans="1:11" ht="14.5" x14ac:dyDescent="0.25">
      <c r="A209" s="10"/>
      <c r="B209" s="10"/>
      <c r="C209" s="10" t="s">
        <v>257</v>
      </c>
      <c r="D209" s="12"/>
      <c r="E209" s="11"/>
      <c r="F209" s="14">
        <v>129.06</v>
      </c>
      <c r="G209" s="15" t="s">
        <v>13</v>
      </c>
      <c r="H209" s="11">
        <v>1</v>
      </c>
      <c r="I209" s="14">
        <v>15.49</v>
      </c>
      <c r="J209" s="11">
        <v>13.4</v>
      </c>
      <c r="K209" s="14">
        <v>207.57</v>
      </c>
    </row>
    <row r="210" spans="1:11" ht="14.5" x14ac:dyDescent="0.25">
      <c r="A210" s="10"/>
      <c r="B210" s="10"/>
      <c r="C210" s="10" t="s">
        <v>258</v>
      </c>
      <c r="D210" s="12"/>
      <c r="E210" s="11"/>
      <c r="F210" s="14">
        <v>2.52</v>
      </c>
      <c r="G210" s="15" t="s">
        <v>13</v>
      </c>
      <c r="H210" s="11">
        <v>1</v>
      </c>
      <c r="I210" s="16">
        <v>0.3</v>
      </c>
      <c r="J210" s="11">
        <v>57.05</v>
      </c>
      <c r="K210" s="16">
        <v>17.12</v>
      </c>
    </row>
    <row r="211" spans="1:11" ht="14.5" x14ac:dyDescent="0.25">
      <c r="A211" s="10"/>
      <c r="B211" s="10"/>
      <c r="C211" s="10" t="s">
        <v>259</v>
      </c>
      <c r="D211" s="12"/>
      <c r="E211" s="11"/>
      <c r="F211" s="14">
        <v>1763.74</v>
      </c>
      <c r="G211" s="15" t="s">
        <v>1</v>
      </c>
      <c r="H211" s="11">
        <v>1</v>
      </c>
      <c r="I211" s="14">
        <v>176.37</v>
      </c>
      <c r="J211" s="11">
        <v>3.89</v>
      </c>
      <c r="K211" s="14">
        <v>686.08</v>
      </c>
    </row>
    <row r="212" spans="1:11" ht="70" x14ac:dyDescent="0.25">
      <c r="A212" s="10" t="s">
        <v>673</v>
      </c>
      <c r="B212" s="10" t="s">
        <v>1565</v>
      </c>
      <c r="C212" s="10" t="s">
        <v>1557</v>
      </c>
      <c r="D212" s="12" t="s">
        <v>52</v>
      </c>
      <c r="E212" s="11">
        <v>10.3</v>
      </c>
      <c r="F212" s="14">
        <v>12.83</v>
      </c>
      <c r="G212" s="15" t="s">
        <v>1</v>
      </c>
      <c r="H212" s="11">
        <v>1</v>
      </c>
      <c r="I212" s="14">
        <v>132.15</v>
      </c>
      <c r="J212" s="11">
        <v>3.52</v>
      </c>
      <c r="K212" s="14">
        <v>465.17</v>
      </c>
    </row>
    <row r="213" spans="1:11" ht="14.5" x14ac:dyDescent="0.25">
      <c r="A213" s="10"/>
      <c r="B213" s="10"/>
      <c r="C213" s="10" t="s">
        <v>260</v>
      </c>
      <c r="D213" s="12" t="s">
        <v>261</v>
      </c>
      <c r="E213" s="11">
        <v>97</v>
      </c>
      <c r="F213" s="14"/>
      <c r="G213" s="13"/>
      <c r="H213" s="11"/>
      <c r="I213" s="14">
        <v>43.17</v>
      </c>
      <c r="J213" s="11">
        <v>97</v>
      </c>
      <c r="K213" s="14">
        <v>2462.5700000000002</v>
      </c>
    </row>
    <row r="214" spans="1:11" ht="14.5" x14ac:dyDescent="0.25">
      <c r="A214" s="10"/>
      <c r="B214" s="10"/>
      <c r="C214" s="10" t="s">
        <v>262</v>
      </c>
      <c r="D214" s="12" t="s">
        <v>261</v>
      </c>
      <c r="E214" s="11">
        <v>51</v>
      </c>
      <c r="F214" s="14"/>
      <c r="G214" s="13"/>
      <c r="H214" s="11"/>
      <c r="I214" s="14">
        <v>22.7</v>
      </c>
      <c r="J214" s="11">
        <v>51</v>
      </c>
      <c r="K214" s="14">
        <v>1294.75</v>
      </c>
    </row>
    <row r="215" spans="1:11" ht="14.5" x14ac:dyDescent="0.25">
      <c r="A215" s="17"/>
      <c r="B215" s="17"/>
      <c r="C215" s="17" t="s">
        <v>263</v>
      </c>
      <c r="D215" s="18" t="s">
        <v>264</v>
      </c>
      <c r="E215" s="19">
        <v>29.9</v>
      </c>
      <c r="F215" s="20"/>
      <c r="G215" s="21" t="s">
        <v>13</v>
      </c>
      <c r="H215" s="19">
        <v>1</v>
      </c>
      <c r="I215" s="20">
        <v>3.59</v>
      </c>
      <c r="J215" s="19"/>
      <c r="K215" s="20"/>
    </row>
    <row r="216" spans="1:11" ht="14" x14ac:dyDescent="0.25">
      <c r="C216" s="22" t="s">
        <v>265</v>
      </c>
      <c r="H216" s="143">
        <v>434.08</v>
      </c>
      <c r="I216" s="143"/>
      <c r="J216" s="143">
        <v>7637.75</v>
      </c>
      <c r="K216" s="143"/>
    </row>
    <row r="217" spans="1:11" ht="14" x14ac:dyDescent="0.25">
      <c r="C217" s="22" t="s">
        <v>267</v>
      </c>
      <c r="H217" s="141">
        <v>434.08</v>
      </c>
      <c r="I217" s="141"/>
      <c r="J217" s="141">
        <v>7637.75</v>
      </c>
      <c r="K217" s="141"/>
    </row>
    <row r="219" spans="1:11" ht="79" x14ac:dyDescent="0.25">
      <c r="A219" s="10">
        <v>29</v>
      </c>
      <c r="B219" s="10" t="s">
        <v>1641</v>
      </c>
      <c r="C219" s="10" t="s">
        <v>1642</v>
      </c>
      <c r="D219" s="12" t="s">
        <v>50</v>
      </c>
      <c r="E219" s="11">
        <v>3</v>
      </c>
      <c r="F219" s="14"/>
      <c r="G219" s="13"/>
      <c r="H219" s="11"/>
      <c r="I219" s="14"/>
      <c r="J219" s="11"/>
      <c r="K219" s="14"/>
    </row>
    <row r="220" spans="1:11" x14ac:dyDescent="0.25">
      <c r="C220" s="23" t="s">
        <v>1025</v>
      </c>
    </row>
    <row r="221" spans="1:11" ht="14.5" x14ac:dyDescent="0.25">
      <c r="A221" s="10"/>
      <c r="B221" s="10"/>
      <c r="C221" s="10" t="s">
        <v>256</v>
      </c>
      <c r="D221" s="12"/>
      <c r="E221" s="11"/>
      <c r="F221" s="14">
        <v>38.07</v>
      </c>
      <c r="G221" s="15" t="s">
        <v>13</v>
      </c>
      <c r="H221" s="11">
        <v>1</v>
      </c>
      <c r="I221" s="14">
        <v>137.05000000000001</v>
      </c>
      <c r="J221" s="11">
        <v>57.05</v>
      </c>
      <c r="K221" s="14">
        <v>7818.7</v>
      </c>
    </row>
    <row r="222" spans="1:11" ht="14.5" x14ac:dyDescent="0.25">
      <c r="A222" s="10"/>
      <c r="B222" s="10"/>
      <c r="C222" s="10" t="s">
        <v>257</v>
      </c>
      <c r="D222" s="12"/>
      <c r="E222" s="11"/>
      <c r="F222" s="14">
        <v>0.83</v>
      </c>
      <c r="G222" s="15" t="s">
        <v>13</v>
      </c>
      <c r="H222" s="11">
        <v>1</v>
      </c>
      <c r="I222" s="14">
        <v>2.99</v>
      </c>
      <c r="J222" s="11">
        <v>17.47</v>
      </c>
      <c r="K222" s="14">
        <v>52.24</v>
      </c>
    </row>
    <row r="223" spans="1:11" ht="14.5" x14ac:dyDescent="0.25">
      <c r="A223" s="10"/>
      <c r="B223" s="10"/>
      <c r="C223" s="10" t="s">
        <v>258</v>
      </c>
      <c r="D223" s="12"/>
      <c r="E223" s="11"/>
      <c r="F223" s="14">
        <v>0.13</v>
      </c>
      <c r="G223" s="15" t="s">
        <v>13</v>
      </c>
      <c r="H223" s="11">
        <v>1</v>
      </c>
      <c r="I223" s="16">
        <v>0.47</v>
      </c>
      <c r="J223" s="11">
        <v>57.05</v>
      </c>
      <c r="K223" s="16">
        <v>26.81</v>
      </c>
    </row>
    <row r="224" spans="1:11" ht="14.5" x14ac:dyDescent="0.25">
      <c r="A224" s="10"/>
      <c r="B224" s="10"/>
      <c r="C224" s="10" t="s">
        <v>259</v>
      </c>
      <c r="D224" s="12"/>
      <c r="E224" s="11"/>
      <c r="F224" s="14">
        <v>88.94</v>
      </c>
      <c r="G224" s="15" t="s">
        <v>1</v>
      </c>
      <c r="H224" s="11">
        <v>1</v>
      </c>
      <c r="I224" s="14">
        <v>266.82</v>
      </c>
      <c r="J224" s="11">
        <v>7.75</v>
      </c>
      <c r="K224" s="14">
        <v>2067.86</v>
      </c>
    </row>
    <row r="225" spans="1:11" ht="14.5" x14ac:dyDescent="0.25">
      <c r="A225" s="10"/>
      <c r="B225" s="10"/>
      <c r="C225" s="10" t="s">
        <v>260</v>
      </c>
      <c r="D225" s="12" t="s">
        <v>261</v>
      </c>
      <c r="E225" s="11">
        <v>97</v>
      </c>
      <c r="F225" s="14"/>
      <c r="G225" s="13"/>
      <c r="H225" s="11"/>
      <c r="I225" s="14">
        <v>133.38999999999999</v>
      </c>
      <c r="J225" s="11">
        <v>97</v>
      </c>
      <c r="K225" s="14">
        <v>7610.14</v>
      </c>
    </row>
    <row r="226" spans="1:11" ht="14.5" x14ac:dyDescent="0.25">
      <c r="A226" s="10"/>
      <c r="B226" s="10"/>
      <c r="C226" s="10" t="s">
        <v>262</v>
      </c>
      <c r="D226" s="12" t="s">
        <v>261</v>
      </c>
      <c r="E226" s="11">
        <v>51</v>
      </c>
      <c r="F226" s="14"/>
      <c r="G226" s="13"/>
      <c r="H226" s="11"/>
      <c r="I226" s="14">
        <v>70.14</v>
      </c>
      <c r="J226" s="11">
        <v>51</v>
      </c>
      <c r="K226" s="14">
        <v>4001.21</v>
      </c>
    </row>
    <row r="227" spans="1:11" ht="14.5" x14ac:dyDescent="0.25">
      <c r="A227" s="17"/>
      <c r="B227" s="17"/>
      <c r="C227" s="17" t="s">
        <v>263</v>
      </c>
      <c r="D227" s="18" t="s">
        <v>264</v>
      </c>
      <c r="E227" s="19">
        <v>3.09</v>
      </c>
      <c r="F227" s="20"/>
      <c r="G227" s="21" t="s">
        <v>13</v>
      </c>
      <c r="H227" s="19">
        <v>1</v>
      </c>
      <c r="I227" s="20">
        <v>11.12</v>
      </c>
      <c r="J227" s="19"/>
      <c r="K227" s="20"/>
    </row>
    <row r="228" spans="1:11" ht="14" x14ac:dyDescent="0.25">
      <c r="C228" s="22" t="s">
        <v>265</v>
      </c>
      <c r="H228" s="143">
        <v>610.39</v>
      </c>
      <c r="I228" s="143"/>
      <c r="J228" s="143">
        <v>21550.15</v>
      </c>
      <c r="K228" s="143"/>
    </row>
    <row r="229" spans="1:11" ht="14" x14ac:dyDescent="0.25">
      <c r="C229" s="22" t="s">
        <v>267</v>
      </c>
      <c r="H229" s="141">
        <v>610.39</v>
      </c>
      <c r="I229" s="141"/>
      <c r="J229" s="141">
        <v>21550.15</v>
      </c>
      <c r="K229" s="141"/>
    </row>
    <row r="231" spans="1:11" ht="111" x14ac:dyDescent="0.25">
      <c r="A231" s="38">
        <v>30</v>
      </c>
      <c r="B231" s="38" t="s">
        <v>409</v>
      </c>
      <c r="C231" s="38" t="s">
        <v>1666</v>
      </c>
      <c r="D231" s="39" t="s">
        <v>52</v>
      </c>
      <c r="E231" s="40">
        <v>1326</v>
      </c>
      <c r="F231" s="41">
        <v>7.81</v>
      </c>
      <c r="G231" s="42" t="s">
        <v>1</v>
      </c>
      <c r="H231" s="40">
        <v>1</v>
      </c>
      <c r="I231" s="41">
        <v>10356.06</v>
      </c>
      <c r="J231" s="40">
        <v>10.18</v>
      </c>
      <c r="K231" s="41">
        <v>105424.69</v>
      </c>
    </row>
    <row r="232" spans="1:11" ht="14" x14ac:dyDescent="0.25">
      <c r="A232" s="43"/>
      <c r="B232" s="43"/>
      <c r="C232" s="44" t="s">
        <v>267</v>
      </c>
      <c r="D232" s="43"/>
      <c r="E232" s="43"/>
      <c r="F232" s="43"/>
      <c r="G232" s="43"/>
      <c r="H232" s="156">
        <v>10356.06</v>
      </c>
      <c r="I232" s="156"/>
      <c r="J232" s="156">
        <v>105424.69</v>
      </c>
      <c r="K232" s="156"/>
    </row>
    <row r="235" spans="1:11" ht="14" x14ac:dyDescent="0.3">
      <c r="A235" s="140" t="s">
        <v>1651</v>
      </c>
      <c r="B235" s="140"/>
      <c r="C235" s="140"/>
      <c r="D235" s="140"/>
      <c r="E235" s="140"/>
      <c r="F235" s="140"/>
      <c r="G235" s="140"/>
      <c r="H235" s="141">
        <v>35812.68</v>
      </c>
      <c r="I235" s="142"/>
      <c r="J235" s="141">
        <v>793039.35</v>
      </c>
      <c r="K235" s="142"/>
    </row>
    <row r="237" spans="1:11" ht="16.5" x14ac:dyDescent="0.25">
      <c r="A237" s="144" t="s">
        <v>1652</v>
      </c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</row>
    <row r="238" spans="1:11" ht="79" x14ac:dyDescent="0.25">
      <c r="A238" s="10">
        <v>31</v>
      </c>
      <c r="B238" s="10" t="s">
        <v>1570</v>
      </c>
      <c r="C238" s="10" t="s">
        <v>1571</v>
      </c>
      <c r="D238" s="12" t="s">
        <v>24</v>
      </c>
      <c r="E238" s="11">
        <v>1</v>
      </c>
      <c r="F238" s="14"/>
      <c r="G238" s="13"/>
      <c r="H238" s="11"/>
      <c r="I238" s="14"/>
      <c r="J238" s="11"/>
      <c r="K238" s="14"/>
    </row>
    <row r="239" spans="1:11" ht="14.5" x14ac:dyDescent="0.25">
      <c r="A239" s="10"/>
      <c r="B239" s="10"/>
      <c r="C239" s="10" t="s">
        <v>256</v>
      </c>
      <c r="D239" s="12"/>
      <c r="E239" s="11"/>
      <c r="F239" s="14">
        <v>91.68</v>
      </c>
      <c r="G239" s="15" t="s">
        <v>13</v>
      </c>
      <c r="H239" s="11">
        <v>1</v>
      </c>
      <c r="I239" s="14">
        <v>110.02</v>
      </c>
      <c r="J239" s="11">
        <v>57.05</v>
      </c>
      <c r="K239" s="14">
        <v>6276.64</v>
      </c>
    </row>
    <row r="240" spans="1:11" ht="14.5" x14ac:dyDescent="0.25">
      <c r="A240" s="10"/>
      <c r="B240" s="10"/>
      <c r="C240" s="10" t="s">
        <v>257</v>
      </c>
      <c r="D240" s="12"/>
      <c r="E240" s="11"/>
      <c r="F240" s="14">
        <v>38.92</v>
      </c>
      <c r="G240" s="15" t="s">
        <v>13</v>
      </c>
      <c r="H240" s="11">
        <v>1</v>
      </c>
      <c r="I240" s="14">
        <v>46.7</v>
      </c>
      <c r="J240" s="11">
        <v>16.34</v>
      </c>
      <c r="K240" s="14">
        <v>763.08</v>
      </c>
    </row>
    <row r="241" spans="1:11" ht="14.5" x14ac:dyDescent="0.25">
      <c r="A241" s="10"/>
      <c r="B241" s="10"/>
      <c r="C241" s="10" t="s">
        <v>258</v>
      </c>
      <c r="D241" s="12"/>
      <c r="E241" s="11"/>
      <c r="F241" s="14">
        <v>4.16</v>
      </c>
      <c r="G241" s="15" t="s">
        <v>13</v>
      </c>
      <c r="H241" s="11">
        <v>1</v>
      </c>
      <c r="I241" s="16">
        <v>4.99</v>
      </c>
      <c r="J241" s="11">
        <v>57.05</v>
      </c>
      <c r="K241" s="16">
        <v>284.68</v>
      </c>
    </row>
    <row r="242" spans="1:11" ht="14.5" x14ac:dyDescent="0.25">
      <c r="A242" s="10"/>
      <c r="B242" s="10"/>
      <c r="C242" s="10" t="s">
        <v>259</v>
      </c>
      <c r="D242" s="12"/>
      <c r="E242" s="11"/>
      <c r="F242" s="14">
        <v>3.92</v>
      </c>
      <c r="G242" s="15" t="s">
        <v>1</v>
      </c>
      <c r="H242" s="11">
        <v>1</v>
      </c>
      <c r="I242" s="14">
        <v>3.92</v>
      </c>
      <c r="J242" s="11">
        <v>7.06</v>
      </c>
      <c r="K242" s="14">
        <v>27.68</v>
      </c>
    </row>
    <row r="243" spans="1:11" ht="14.5" x14ac:dyDescent="0.25">
      <c r="A243" s="10"/>
      <c r="B243" s="10"/>
      <c r="C243" s="10" t="s">
        <v>260</v>
      </c>
      <c r="D243" s="12" t="s">
        <v>261</v>
      </c>
      <c r="E243" s="11">
        <v>90</v>
      </c>
      <c r="F243" s="14"/>
      <c r="G243" s="13"/>
      <c r="H243" s="11"/>
      <c r="I243" s="14">
        <v>103.51</v>
      </c>
      <c r="J243" s="11">
        <v>90</v>
      </c>
      <c r="K243" s="14">
        <v>5905.19</v>
      </c>
    </row>
    <row r="244" spans="1:11" ht="14.5" x14ac:dyDescent="0.25">
      <c r="A244" s="10"/>
      <c r="B244" s="10"/>
      <c r="C244" s="10" t="s">
        <v>262</v>
      </c>
      <c r="D244" s="12" t="s">
        <v>261</v>
      </c>
      <c r="E244" s="11">
        <v>46</v>
      </c>
      <c r="F244" s="14"/>
      <c r="G244" s="13"/>
      <c r="H244" s="11"/>
      <c r="I244" s="14">
        <v>52.9</v>
      </c>
      <c r="J244" s="11">
        <v>46</v>
      </c>
      <c r="K244" s="14">
        <v>3018.21</v>
      </c>
    </row>
    <row r="245" spans="1:11" ht="14.5" x14ac:dyDescent="0.25">
      <c r="A245" s="17"/>
      <c r="B245" s="17"/>
      <c r="C245" s="17" t="s">
        <v>263</v>
      </c>
      <c r="D245" s="18" t="s">
        <v>264</v>
      </c>
      <c r="E245" s="19">
        <v>8.1999999999999993</v>
      </c>
      <c r="F245" s="20"/>
      <c r="G245" s="21" t="s">
        <v>13</v>
      </c>
      <c r="H245" s="19">
        <v>1</v>
      </c>
      <c r="I245" s="20">
        <v>9.84</v>
      </c>
      <c r="J245" s="19"/>
      <c r="K245" s="20"/>
    </row>
    <row r="246" spans="1:11" ht="14" x14ac:dyDescent="0.25">
      <c r="C246" s="22" t="s">
        <v>265</v>
      </c>
      <c r="H246" s="143">
        <v>317.05</v>
      </c>
      <c r="I246" s="143"/>
      <c r="J246" s="143">
        <v>15990.8</v>
      </c>
      <c r="K246" s="143"/>
    </row>
    <row r="247" spans="1:11" ht="14" x14ac:dyDescent="0.25">
      <c r="C247" s="22" t="s">
        <v>267</v>
      </c>
      <c r="H247" s="141">
        <v>317.05</v>
      </c>
      <c r="I247" s="141"/>
      <c r="J247" s="141">
        <v>15990.8</v>
      </c>
      <c r="K247" s="141"/>
    </row>
    <row r="249" spans="1:11" ht="138" x14ac:dyDescent="0.25">
      <c r="A249" s="17">
        <v>32</v>
      </c>
      <c r="B249" s="17" t="s">
        <v>409</v>
      </c>
      <c r="C249" s="17" t="s">
        <v>2043</v>
      </c>
      <c r="D249" s="18" t="s">
        <v>11</v>
      </c>
      <c r="E249" s="19">
        <v>1</v>
      </c>
      <c r="F249" s="20">
        <v>5921.61</v>
      </c>
      <c r="G249" s="21" t="s">
        <v>1</v>
      </c>
      <c r="H249" s="19">
        <v>1</v>
      </c>
      <c r="I249" s="20">
        <v>5921.61</v>
      </c>
      <c r="J249" s="19">
        <v>7.54</v>
      </c>
      <c r="K249" s="20">
        <v>44648.94</v>
      </c>
    </row>
    <row r="250" spans="1:11" ht="14" x14ac:dyDescent="0.25">
      <c r="C250" s="22" t="s">
        <v>267</v>
      </c>
      <c r="H250" s="143">
        <v>5921.61</v>
      </c>
      <c r="I250" s="143"/>
      <c r="J250" s="143">
        <v>44648.94</v>
      </c>
      <c r="K250" s="143"/>
    </row>
    <row r="252" spans="1:11" ht="79" x14ac:dyDescent="0.25">
      <c r="A252" s="10">
        <v>33</v>
      </c>
      <c r="B252" s="10" t="s">
        <v>1035</v>
      </c>
      <c r="C252" s="10" t="s">
        <v>1036</v>
      </c>
      <c r="D252" s="12" t="s">
        <v>24</v>
      </c>
      <c r="E252" s="11">
        <v>1</v>
      </c>
      <c r="F252" s="14"/>
      <c r="G252" s="13"/>
      <c r="H252" s="11"/>
      <c r="I252" s="14"/>
      <c r="J252" s="11"/>
      <c r="K252" s="14"/>
    </row>
    <row r="253" spans="1:11" ht="14.5" x14ac:dyDescent="0.25">
      <c r="A253" s="10"/>
      <c r="B253" s="10"/>
      <c r="C253" s="10" t="s">
        <v>256</v>
      </c>
      <c r="D253" s="12"/>
      <c r="E253" s="11"/>
      <c r="F253" s="14">
        <v>11.65</v>
      </c>
      <c r="G253" s="15" t="s">
        <v>13</v>
      </c>
      <c r="H253" s="11">
        <v>1</v>
      </c>
      <c r="I253" s="14">
        <v>13.98</v>
      </c>
      <c r="J253" s="11">
        <v>57.05</v>
      </c>
      <c r="K253" s="14">
        <v>797.56</v>
      </c>
    </row>
    <row r="254" spans="1:11" ht="14.5" x14ac:dyDescent="0.25">
      <c r="A254" s="10"/>
      <c r="B254" s="10"/>
      <c r="C254" s="10" t="s">
        <v>257</v>
      </c>
      <c r="D254" s="12"/>
      <c r="E254" s="11"/>
      <c r="F254" s="14">
        <v>0.5</v>
      </c>
      <c r="G254" s="15" t="s">
        <v>13</v>
      </c>
      <c r="H254" s="11">
        <v>1</v>
      </c>
      <c r="I254" s="14">
        <v>0.6</v>
      </c>
      <c r="J254" s="11">
        <v>17.399999999999999</v>
      </c>
      <c r="K254" s="14">
        <v>10.44</v>
      </c>
    </row>
    <row r="255" spans="1:11" ht="14.5" x14ac:dyDescent="0.25">
      <c r="A255" s="10"/>
      <c r="B255" s="10"/>
      <c r="C255" s="10" t="s">
        <v>258</v>
      </c>
      <c r="D255" s="12"/>
      <c r="E255" s="11"/>
      <c r="F255" s="14">
        <v>0.08</v>
      </c>
      <c r="G255" s="15" t="s">
        <v>13</v>
      </c>
      <c r="H255" s="11">
        <v>1</v>
      </c>
      <c r="I255" s="16">
        <v>0.1</v>
      </c>
      <c r="J255" s="11">
        <v>57.05</v>
      </c>
      <c r="K255" s="16">
        <v>5.71</v>
      </c>
    </row>
    <row r="256" spans="1:11" ht="14.5" x14ac:dyDescent="0.25">
      <c r="A256" s="10"/>
      <c r="B256" s="10"/>
      <c r="C256" s="10" t="s">
        <v>260</v>
      </c>
      <c r="D256" s="12" t="s">
        <v>261</v>
      </c>
      <c r="E256" s="11">
        <v>90</v>
      </c>
      <c r="F256" s="14"/>
      <c r="G256" s="13"/>
      <c r="H256" s="11"/>
      <c r="I256" s="14">
        <v>12.67</v>
      </c>
      <c r="J256" s="11">
        <v>90</v>
      </c>
      <c r="K256" s="14">
        <v>722.94</v>
      </c>
    </row>
    <row r="257" spans="1:11" ht="14.5" x14ac:dyDescent="0.25">
      <c r="A257" s="10"/>
      <c r="B257" s="10"/>
      <c r="C257" s="10" t="s">
        <v>262</v>
      </c>
      <c r="D257" s="12" t="s">
        <v>261</v>
      </c>
      <c r="E257" s="11">
        <v>46</v>
      </c>
      <c r="F257" s="14"/>
      <c r="G257" s="13"/>
      <c r="H257" s="11"/>
      <c r="I257" s="14">
        <v>6.48</v>
      </c>
      <c r="J257" s="11">
        <v>46</v>
      </c>
      <c r="K257" s="14">
        <v>369.5</v>
      </c>
    </row>
    <row r="258" spans="1:11" ht="14.5" x14ac:dyDescent="0.25">
      <c r="A258" s="17"/>
      <c r="B258" s="17"/>
      <c r="C258" s="17" t="s">
        <v>263</v>
      </c>
      <c r="D258" s="18" t="s">
        <v>264</v>
      </c>
      <c r="E258" s="19">
        <v>1.03</v>
      </c>
      <c r="F258" s="20"/>
      <c r="G258" s="21" t="s">
        <v>13</v>
      </c>
      <c r="H258" s="19">
        <v>1</v>
      </c>
      <c r="I258" s="20">
        <v>1.24</v>
      </c>
      <c r="J258" s="19"/>
      <c r="K258" s="20"/>
    </row>
    <row r="259" spans="1:11" ht="14" x14ac:dyDescent="0.25">
      <c r="C259" s="22" t="s">
        <v>265</v>
      </c>
      <c r="H259" s="143">
        <v>33.729999999999997</v>
      </c>
      <c r="I259" s="143"/>
      <c r="J259" s="143">
        <v>1900.44</v>
      </c>
      <c r="K259" s="143"/>
    </row>
    <row r="260" spans="1:11" ht="14" x14ac:dyDescent="0.25">
      <c r="C260" s="22" t="s">
        <v>267</v>
      </c>
      <c r="H260" s="141">
        <v>33.729999999999997</v>
      </c>
      <c r="I260" s="141"/>
      <c r="J260" s="141">
        <v>1900.44</v>
      </c>
      <c r="K260" s="141"/>
    </row>
    <row r="262" spans="1:11" ht="68" x14ac:dyDescent="0.25">
      <c r="A262" s="17">
        <v>34</v>
      </c>
      <c r="B262" s="17" t="s">
        <v>409</v>
      </c>
      <c r="C262" s="17" t="s">
        <v>1660</v>
      </c>
      <c r="D262" s="18" t="s">
        <v>11</v>
      </c>
      <c r="E262" s="19">
        <v>1</v>
      </c>
      <c r="F262" s="20">
        <v>1681.48</v>
      </c>
      <c r="G262" s="21" t="s">
        <v>1</v>
      </c>
      <c r="H262" s="19">
        <v>1</v>
      </c>
      <c r="I262" s="20">
        <v>1681.48</v>
      </c>
      <c r="J262" s="19">
        <v>7.54</v>
      </c>
      <c r="K262" s="20">
        <v>12678.36</v>
      </c>
    </row>
    <row r="263" spans="1:11" ht="14" x14ac:dyDescent="0.25">
      <c r="C263" s="22" t="s">
        <v>267</v>
      </c>
      <c r="H263" s="143">
        <v>1681.48</v>
      </c>
      <c r="I263" s="143"/>
      <c r="J263" s="143">
        <v>12678.36</v>
      </c>
      <c r="K263" s="143"/>
    </row>
    <row r="265" spans="1:11" ht="54" x14ac:dyDescent="0.25">
      <c r="A265" s="17">
        <v>35</v>
      </c>
      <c r="B265" s="17" t="s">
        <v>409</v>
      </c>
      <c r="C265" s="17" t="s">
        <v>1661</v>
      </c>
      <c r="D265" s="18" t="s">
        <v>11</v>
      </c>
      <c r="E265" s="19">
        <v>1</v>
      </c>
      <c r="F265" s="20">
        <v>94.73</v>
      </c>
      <c r="G265" s="21" t="s">
        <v>1</v>
      </c>
      <c r="H265" s="19">
        <v>1</v>
      </c>
      <c r="I265" s="20">
        <v>94.73</v>
      </c>
      <c r="J265" s="19">
        <v>7.54</v>
      </c>
      <c r="K265" s="20">
        <v>714.26</v>
      </c>
    </row>
    <row r="266" spans="1:11" ht="14" x14ac:dyDescent="0.25">
      <c r="C266" s="22" t="s">
        <v>267</v>
      </c>
      <c r="H266" s="143">
        <v>94.73</v>
      </c>
      <c r="I266" s="143"/>
      <c r="J266" s="143">
        <v>714.26</v>
      </c>
      <c r="K266" s="143"/>
    </row>
    <row r="268" spans="1:11" ht="68" x14ac:dyDescent="0.25">
      <c r="A268" s="17">
        <v>36</v>
      </c>
      <c r="B268" s="17" t="s">
        <v>409</v>
      </c>
      <c r="C268" s="17" t="s">
        <v>1663</v>
      </c>
      <c r="D268" s="18" t="s">
        <v>11</v>
      </c>
      <c r="E268" s="19">
        <v>1</v>
      </c>
      <c r="F268" s="20">
        <v>261.99</v>
      </c>
      <c r="G268" s="21" t="s">
        <v>1</v>
      </c>
      <c r="H268" s="19">
        <v>1</v>
      </c>
      <c r="I268" s="20">
        <v>261.99</v>
      </c>
      <c r="J268" s="19">
        <v>7.54</v>
      </c>
      <c r="K268" s="20">
        <v>1975.4</v>
      </c>
    </row>
    <row r="269" spans="1:11" ht="14" x14ac:dyDescent="0.25">
      <c r="C269" s="22" t="s">
        <v>267</v>
      </c>
      <c r="H269" s="143">
        <v>261.99</v>
      </c>
      <c r="I269" s="143"/>
      <c r="J269" s="143">
        <v>1975.4</v>
      </c>
      <c r="K269" s="143"/>
    </row>
    <row r="271" spans="1:11" ht="54" x14ac:dyDescent="0.25">
      <c r="A271" s="17">
        <v>37</v>
      </c>
      <c r="B271" s="17" t="s">
        <v>409</v>
      </c>
      <c r="C271" s="17" t="s">
        <v>1662</v>
      </c>
      <c r="D271" s="18" t="s">
        <v>11</v>
      </c>
      <c r="E271" s="19">
        <v>1</v>
      </c>
      <c r="F271" s="20">
        <v>36.479999999999997</v>
      </c>
      <c r="G271" s="21" t="s">
        <v>1</v>
      </c>
      <c r="H271" s="19">
        <v>1</v>
      </c>
      <c r="I271" s="20">
        <v>36.479999999999997</v>
      </c>
      <c r="J271" s="19">
        <v>7.54</v>
      </c>
      <c r="K271" s="20">
        <v>275.06</v>
      </c>
    </row>
    <row r="272" spans="1:11" ht="14" x14ac:dyDescent="0.25">
      <c r="C272" s="22" t="s">
        <v>267</v>
      </c>
      <c r="H272" s="143">
        <v>36.479999999999997</v>
      </c>
      <c r="I272" s="143"/>
      <c r="J272" s="143">
        <v>275.06</v>
      </c>
      <c r="K272" s="143"/>
    </row>
    <row r="274" spans="1:11" ht="79" x14ac:dyDescent="0.25">
      <c r="A274" s="10">
        <v>38</v>
      </c>
      <c r="B274" s="10" t="s">
        <v>1589</v>
      </c>
      <c r="C274" s="10" t="s">
        <v>1590</v>
      </c>
      <c r="D274" s="12" t="s">
        <v>1617</v>
      </c>
      <c r="E274" s="11">
        <v>1</v>
      </c>
      <c r="F274" s="14"/>
      <c r="G274" s="13"/>
      <c r="H274" s="11"/>
      <c r="I274" s="14"/>
      <c r="J274" s="11"/>
      <c r="K274" s="14"/>
    </row>
    <row r="275" spans="1:11" ht="14.5" x14ac:dyDescent="0.25">
      <c r="A275" s="10"/>
      <c r="B275" s="10"/>
      <c r="C275" s="10" t="s">
        <v>256</v>
      </c>
      <c r="D275" s="12"/>
      <c r="E275" s="11"/>
      <c r="F275" s="14">
        <v>39.119999999999997</v>
      </c>
      <c r="G275" s="15" t="s">
        <v>13</v>
      </c>
      <c r="H275" s="11">
        <v>1</v>
      </c>
      <c r="I275" s="14">
        <v>46.94</v>
      </c>
      <c r="J275" s="11">
        <v>57.05</v>
      </c>
      <c r="K275" s="14">
        <v>2677.93</v>
      </c>
    </row>
    <row r="276" spans="1:11" ht="14.5" x14ac:dyDescent="0.25">
      <c r="A276" s="10"/>
      <c r="B276" s="10"/>
      <c r="C276" s="10" t="s">
        <v>260</v>
      </c>
      <c r="D276" s="12" t="s">
        <v>261</v>
      </c>
      <c r="E276" s="11">
        <v>90</v>
      </c>
      <c r="F276" s="14"/>
      <c r="G276" s="13"/>
      <c r="H276" s="11"/>
      <c r="I276" s="14">
        <v>42.25</v>
      </c>
      <c r="J276" s="11">
        <v>90</v>
      </c>
      <c r="K276" s="14">
        <v>2410.14</v>
      </c>
    </row>
    <row r="277" spans="1:11" ht="14.5" x14ac:dyDescent="0.25">
      <c r="A277" s="10"/>
      <c r="B277" s="10"/>
      <c r="C277" s="10" t="s">
        <v>262</v>
      </c>
      <c r="D277" s="12" t="s">
        <v>261</v>
      </c>
      <c r="E277" s="11">
        <v>46</v>
      </c>
      <c r="F277" s="14"/>
      <c r="G277" s="13"/>
      <c r="H277" s="11"/>
      <c r="I277" s="14">
        <v>21.59</v>
      </c>
      <c r="J277" s="11">
        <v>46</v>
      </c>
      <c r="K277" s="14">
        <v>1231.8499999999999</v>
      </c>
    </row>
    <row r="278" spans="1:11" ht="14.5" x14ac:dyDescent="0.25">
      <c r="A278" s="17"/>
      <c r="B278" s="17"/>
      <c r="C278" s="17" t="s">
        <v>263</v>
      </c>
      <c r="D278" s="18" t="s">
        <v>264</v>
      </c>
      <c r="E278" s="19">
        <v>3.1</v>
      </c>
      <c r="F278" s="20"/>
      <c r="G278" s="21" t="s">
        <v>13</v>
      </c>
      <c r="H278" s="19">
        <v>1</v>
      </c>
      <c r="I278" s="20">
        <v>3.72</v>
      </c>
      <c r="J278" s="19"/>
      <c r="K278" s="20"/>
    </row>
    <row r="279" spans="1:11" ht="14" x14ac:dyDescent="0.25">
      <c r="C279" s="22" t="s">
        <v>265</v>
      </c>
      <c r="H279" s="143">
        <v>110.78</v>
      </c>
      <c r="I279" s="143"/>
      <c r="J279" s="143">
        <v>6319.92</v>
      </c>
      <c r="K279" s="143"/>
    </row>
    <row r="280" spans="1:11" ht="14" x14ac:dyDescent="0.25">
      <c r="C280" s="22" t="s">
        <v>267</v>
      </c>
      <c r="H280" s="141">
        <v>110.78</v>
      </c>
      <c r="I280" s="141"/>
      <c r="J280" s="141">
        <v>6319.92</v>
      </c>
      <c r="K280" s="141"/>
    </row>
    <row r="282" spans="1:11" ht="41" x14ac:dyDescent="0.25">
      <c r="A282" s="17">
        <v>39</v>
      </c>
      <c r="B282" s="17" t="s">
        <v>409</v>
      </c>
      <c r="C282" s="17" t="s">
        <v>1665</v>
      </c>
      <c r="D282" s="18" t="s">
        <v>11</v>
      </c>
      <c r="E282" s="19">
        <v>1</v>
      </c>
      <c r="F282" s="20">
        <v>233.16</v>
      </c>
      <c r="G282" s="21" t="s">
        <v>1</v>
      </c>
      <c r="H282" s="19">
        <v>1</v>
      </c>
      <c r="I282" s="20">
        <v>233.16</v>
      </c>
      <c r="J282" s="19">
        <v>10.18</v>
      </c>
      <c r="K282" s="20">
        <v>2373.5700000000002</v>
      </c>
    </row>
    <row r="283" spans="1:11" ht="14" x14ac:dyDescent="0.25">
      <c r="C283" s="22" t="s">
        <v>267</v>
      </c>
      <c r="H283" s="143">
        <v>233.16</v>
      </c>
      <c r="I283" s="143"/>
      <c r="J283" s="143">
        <v>2373.5700000000002</v>
      </c>
      <c r="K283" s="143"/>
    </row>
    <row r="285" spans="1:11" ht="27" x14ac:dyDescent="0.25">
      <c r="A285" s="17">
        <v>40</v>
      </c>
      <c r="B285" s="17" t="s">
        <v>409</v>
      </c>
      <c r="C285" s="17" t="s">
        <v>1664</v>
      </c>
      <c r="D285" s="18" t="s">
        <v>11</v>
      </c>
      <c r="E285" s="19">
        <v>1</v>
      </c>
      <c r="F285" s="20">
        <v>95.02</v>
      </c>
      <c r="G285" s="21" t="s">
        <v>1</v>
      </c>
      <c r="H285" s="19">
        <v>1</v>
      </c>
      <c r="I285" s="20">
        <v>95.02</v>
      </c>
      <c r="J285" s="19">
        <v>10.18</v>
      </c>
      <c r="K285" s="20">
        <v>967.3</v>
      </c>
    </row>
    <row r="286" spans="1:11" ht="14" x14ac:dyDescent="0.25">
      <c r="C286" s="22" t="s">
        <v>267</v>
      </c>
      <c r="H286" s="143">
        <v>95.02</v>
      </c>
      <c r="I286" s="143"/>
      <c r="J286" s="143">
        <v>967.3</v>
      </c>
      <c r="K286" s="143"/>
    </row>
    <row r="289" spans="1:11" ht="14" x14ac:dyDescent="0.3">
      <c r="A289" s="140" t="s">
        <v>1653</v>
      </c>
      <c r="B289" s="140"/>
      <c r="C289" s="140"/>
      <c r="D289" s="140"/>
      <c r="E289" s="140"/>
      <c r="F289" s="140"/>
      <c r="G289" s="140"/>
      <c r="H289" s="141">
        <v>8786.0300000000007</v>
      </c>
      <c r="I289" s="142"/>
      <c r="J289" s="141">
        <v>87844.05</v>
      </c>
      <c r="K289" s="142"/>
    </row>
    <row r="291" spans="1:11" ht="14" x14ac:dyDescent="0.3">
      <c r="A291" s="140" t="s">
        <v>435</v>
      </c>
      <c r="B291" s="140"/>
      <c r="C291" s="140"/>
      <c r="D291" s="140"/>
      <c r="E291" s="140"/>
      <c r="F291" s="140"/>
      <c r="G291" s="140"/>
      <c r="H291" s="141">
        <v>116597.91</v>
      </c>
      <c r="I291" s="142"/>
      <c r="J291" s="141">
        <v>1565754.71</v>
      </c>
      <c r="K291" s="142"/>
    </row>
  </sheetData>
  <mergeCells count="146">
    <mergeCell ref="J2:K2"/>
    <mergeCell ref="A3:K3"/>
    <mergeCell ref="A4:K4"/>
    <mergeCell ref="A6:K6"/>
    <mergeCell ref="A8:K8"/>
    <mergeCell ref="A9:K9"/>
    <mergeCell ref="A24:K24"/>
    <mergeCell ref="H34:I34"/>
    <mergeCell ref="J34:K34"/>
    <mergeCell ref="H35:I35"/>
    <mergeCell ref="J35:K35"/>
    <mergeCell ref="E17:H17"/>
    <mergeCell ref="E18:H18"/>
    <mergeCell ref="A21:K21"/>
    <mergeCell ref="E13:H13"/>
    <mergeCell ref="E14:H14"/>
    <mergeCell ref="E15:H15"/>
    <mergeCell ref="E16:H16"/>
    <mergeCell ref="H47:I47"/>
    <mergeCell ref="J47:K47"/>
    <mergeCell ref="H50:I50"/>
    <mergeCell ref="J50:K50"/>
    <mergeCell ref="H61:I61"/>
    <mergeCell ref="J61:K61"/>
    <mergeCell ref="H38:I38"/>
    <mergeCell ref="J38:K38"/>
    <mergeCell ref="H46:I46"/>
    <mergeCell ref="J46:K46"/>
    <mergeCell ref="H77:I77"/>
    <mergeCell ref="J77:K77"/>
    <mergeCell ref="H87:I87"/>
    <mergeCell ref="J87:K87"/>
    <mergeCell ref="H73:I73"/>
    <mergeCell ref="J73:K73"/>
    <mergeCell ref="H74:I74"/>
    <mergeCell ref="J74:K74"/>
    <mergeCell ref="H62:I62"/>
    <mergeCell ref="J62:K62"/>
    <mergeCell ref="H65:I65"/>
    <mergeCell ref="J65:K65"/>
    <mergeCell ref="H102:I102"/>
    <mergeCell ref="J102:K102"/>
    <mergeCell ref="H105:I105"/>
    <mergeCell ref="J105:K105"/>
    <mergeCell ref="H88:I88"/>
    <mergeCell ref="J88:K88"/>
    <mergeCell ref="H91:I91"/>
    <mergeCell ref="J91:K91"/>
    <mergeCell ref="H101:I101"/>
    <mergeCell ref="J101:K101"/>
    <mergeCell ref="H118:I118"/>
    <mergeCell ref="J118:K118"/>
    <mergeCell ref="H121:I121"/>
    <mergeCell ref="J121:K121"/>
    <mergeCell ref="H124:I124"/>
    <mergeCell ref="J124:K124"/>
    <mergeCell ref="H108:I108"/>
    <mergeCell ref="J108:K108"/>
    <mergeCell ref="H117:I117"/>
    <mergeCell ref="J117:K117"/>
    <mergeCell ref="H136:I136"/>
    <mergeCell ref="J136:K136"/>
    <mergeCell ref="H139:I139"/>
    <mergeCell ref="J139:K139"/>
    <mergeCell ref="H142:I142"/>
    <mergeCell ref="J142:K142"/>
    <mergeCell ref="H127:I127"/>
    <mergeCell ref="J127:K127"/>
    <mergeCell ref="H135:I135"/>
    <mergeCell ref="J135:K135"/>
    <mergeCell ref="H154:I154"/>
    <mergeCell ref="J154:K154"/>
    <mergeCell ref="H157:I157"/>
    <mergeCell ref="J157:K157"/>
    <mergeCell ref="A160:G160"/>
    <mergeCell ref="H160:I160"/>
    <mergeCell ref="J160:K160"/>
    <mergeCell ref="H145:I145"/>
    <mergeCell ref="J145:K145"/>
    <mergeCell ref="H153:I153"/>
    <mergeCell ref="J153:K153"/>
    <mergeCell ref="A177:G177"/>
    <mergeCell ref="H177:I177"/>
    <mergeCell ref="J177:K177"/>
    <mergeCell ref="A179:K179"/>
    <mergeCell ref="A162:K162"/>
    <mergeCell ref="H170:I170"/>
    <mergeCell ref="J170:K170"/>
    <mergeCell ref="H171:I171"/>
    <mergeCell ref="J171:K171"/>
    <mergeCell ref="H203:I203"/>
    <mergeCell ref="J203:K203"/>
    <mergeCell ref="H204:I204"/>
    <mergeCell ref="J204:K204"/>
    <mergeCell ref="H190:I190"/>
    <mergeCell ref="J190:K190"/>
    <mergeCell ref="H191:I191"/>
    <mergeCell ref="J191:K191"/>
    <mergeCell ref="H174:I174"/>
    <mergeCell ref="J174:K174"/>
    <mergeCell ref="A235:G235"/>
    <mergeCell ref="H235:I235"/>
    <mergeCell ref="J235:K235"/>
    <mergeCell ref="A237:K237"/>
    <mergeCell ref="H228:I228"/>
    <mergeCell ref="J228:K228"/>
    <mergeCell ref="H229:I229"/>
    <mergeCell ref="J229:K229"/>
    <mergeCell ref="H216:I216"/>
    <mergeCell ref="J216:K216"/>
    <mergeCell ref="H217:I217"/>
    <mergeCell ref="J217:K217"/>
    <mergeCell ref="H250:I250"/>
    <mergeCell ref="J250:K250"/>
    <mergeCell ref="H259:I259"/>
    <mergeCell ref="J259:K259"/>
    <mergeCell ref="H246:I246"/>
    <mergeCell ref="J246:K246"/>
    <mergeCell ref="H247:I247"/>
    <mergeCell ref="J247:K247"/>
    <mergeCell ref="H232:I232"/>
    <mergeCell ref="J232:K232"/>
    <mergeCell ref="H269:I269"/>
    <mergeCell ref="J269:K269"/>
    <mergeCell ref="H272:I272"/>
    <mergeCell ref="J272:K272"/>
    <mergeCell ref="H279:I279"/>
    <mergeCell ref="J279:K279"/>
    <mergeCell ref="H260:I260"/>
    <mergeCell ref="J260:K260"/>
    <mergeCell ref="H263:I263"/>
    <mergeCell ref="J263:K263"/>
    <mergeCell ref="H266:I266"/>
    <mergeCell ref="J266:K266"/>
    <mergeCell ref="A291:G291"/>
    <mergeCell ref="H291:I291"/>
    <mergeCell ref="J291:K291"/>
    <mergeCell ref="H286:I286"/>
    <mergeCell ref="J286:K286"/>
    <mergeCell ref="A289:G289"/>
    <mergeCell ref="H289:I289"/>
    <mergeCell ref="J289:K289"/>
    <mergeCell ref="H280:I280"/>
    <mergeCell ref="J280:K280"/>
    <mergeCell ref="H283:I283"/>
    <mergeCell ref="J283:K28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567B-6774-443C-89A0-CF13482FB029}">
  <dimension ref="A1:K340"/>
  <sheetViews>
    <sheetView workbookViewId="0">
      <selection activeCell="C101" sqref="C101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9" style="27" bestFit="1" customWidth="1"/>
    <col min="7" max="7" width="8.54296875" style="27" bestFit="1" customWidth="1"/>
    <col min="8" max="8" width="9.26953125" style="27" bestFit="1" customWidth="1"/>
    <col min="9" max="9" width="11.26953125" style="27" bestFit="1" customWidth="1"/>
    <col min="10" max="10" width="9.26953125" style="27" bestFit="1" customWidth="1"/>
    <col min="11" max="11" width="13.1796875" style="27" bestFit="1" customWidth="1"/>
    <col min="12" max="16384" width="9.1796875" style="27"/>
  </cols>
  <sheetData>
    <row r="1" spans="1:11" x14ac:dyDescent="0.25">
      <c r="A1" s="1" t="s">
        <v>0</v>
      </c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1680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1698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618.22</v>
      </c>
      <c r="J13" s="5">
        <v>4232.3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3.74</v>
      </c>
      <c r="J14" s="7">
        <v>37.840000000000003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412.08</v>
      </c>
      <c r="J15" s="7">
        <v>2662.88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202.4</v>
      </c>
      <c r="J16" s="7">
        <v>1531.58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8.35</v>
      </c>
      <c r="J17" s="7">
        <v>476.62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633.61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5.25" customHeight="1" x14ac:dyDescent="0.3">
      <c r="A21" s="146" t="s">
        <v>253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1061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996</v>
      </c>
      <c r="C25" s="10" t="s">
        <v>997</v>
      </c>
      <c r="D25" s="12" t="s">
        <v>226</v>
      </c>
      <c r="E25" s="11">
        <v>0.7</v>
      </c>
      <c r="F25" s="14"/>
      <c r="G25" s="13"/>
      <c r="H25" s="11"/>
      <c r="I25" s="14"/>
      <c r="J25" s="11"/>
      <c r="K25" s="14"/>
    </row>
    <row r="26" spans="1:11" x14ac:dyDescent="0.25">
      <c r="C26" s="23" t="s">
        <v>1681</v>
      </c>
    </row>
    <row r="27" spans="1:11" ht="14.5" x14ac:dyDescent="0.25">
      <c r="A27" s="10"/>
      <c r="B27" s="10"/>
      <c r="C27" s="10" t="s">
        <v>256</v>
      </c>
      <c r="D27" s="12"/>
      <c r="E27" s="11"/>
      <c r="F27" s="14">
        <v>470.94</v>
      </c>
      <c r="G27" s="15" t="s">
        <v>13</v>
      </c>
      <c r="H27" s="11">
        <v>1</v>
      </c>
      <c r="I27" s="14">
        <v>395.59</v>
      </c>
      <c r="J27" s="11">
        <v>57.05</v>
      </c>
      <c r="K27" s="14">
        <v>22568.41</v>
      </c>
    </row>
    <row r="28" spans="1:11" ht="14.5" x14ac:dyDescent="0.25">
      <c r="A28" s="10"/>
      <c r="B28" s="10"/>
      <c r="C28" s="10" t="s">
        <v>257</v>
      </c>
      <c r="D28" s="12"/>
      <c r="E28" s="11"/>
      <c r="F28" s="14">
        <v>1.1000000000000001</v>
      </c>
      <c r="G28" s="15" t="s">
        <v>13</v>
      </c>
      <c r="H28" s="11">
        <v>1</v>
      </c>
      <c r="I28" s="14">
        <v>0.92</v>
      </c>
      <c r="J28" s="11">
        <v>16.77</v>
      </c>
      <c r="K28" s="14">
        <v>15.43</v>
      </c>
    </row>
    <row r="29" spans="1:11" ht="14.5" x14ac:dyDescent="0.25">
      <c r="A29" s="10"/>
      <c r="B29" s="10"/>
      <c r="C29" s="10" t="s">
        <v>258</v>
      </c>
      <c r="D29" s="12"/>
      <c r="E29" s="11"/>
      <c r="F29" s="14">
        <v>0.13</v>
      </c>
      <c r="G29" s="15" t="s">
        <v>13</v>
      </c>
      <c r="H29" s="11">
        <v>1</v>
      </c>
      <c r="I29" s="16">
        <v>0.11</v>
      </c>
      <c r="J29" s="11">
        <v>57.05</v>
      </c>
      <c r="K29" s="16">
        <v>6.28</v>
      </c>
    </row>
    <row r="30" spans="1:11" ht="14.5" x14ac:dyDescent="0.25">
      <c r="A30" s="10"/>
      <c r="B30" s="10"/>
      <c r="C30" s="10" t="s">
        <v>259</v>
      </c>
      <c r="D30" s="12"/>
      <c r="E30" s="11"/>
      <c r="F30" s="14">
        <v>1.29</v>
      </c>
      <c r="G30" s="15" t="s">
        <v>1</v>
      </c>
      <c r="H30" s="11">
        <v>1</v>
      </c>
      <c r="I30" s="14">
        <v>0.9</v>
      </c>
      <c r="J30" s="11">
        <v>7.62</v>
      </c>
      <c r="K30" s="14">
        <v>6.86</v>
      </c>
    </row>
    <row r="31" spans="1:11" ht="14.5" x14ac:dyDescent="0.25">
      <c r="A31" s="10"/>
      <c r="B31" s="10"/>
      <c r="C31" s="10" t="s">
        <v>260</v>
      </c>
      <c r="D31" s="12" t="s">
        <v>261</v>
      </c>
      <c r="E31" s="11">
        <v>90</v>
      </c>
      <c r="F31" s="14"/>
      <c r="G31" s="13"/>
      <c r="H31" s="11"/>
      <c r="I31" s="14">
        <v>356.13</v>
      </c>
      <c r="J31" s="11">
        <v>90</v>
      </c>
      <c r="K31" s="14">
        <v>20317.22</v>
      </c>
    </row>
    <row r="32" spans="1:11" ht="14.5" x14ac:dyDescent="0.25">
      <c r="A32" s="10"/>
      <c r="B32" s="10"/>
      <c r="C32" s="10" t="s">
        <v>262</v>
      </c>
      <c r="D32" s="12" t="s">
        <v>261</v>
      </c>
      <c r="E32" s="11">
        <v>46</v>
      </c>
      <c r="F32" s="14"/>
      <c r="G32" s="13"/>
      <c r="H32" s="11"/>
      <c r="I32" s="14">
        <v>182.02</v>
      </c>
      <c r="J32" s="11">
        <v>46</v>
      </c>
      <c r="K32" s="14">
        <v>10384.36</v>
      </c>
    </row>
    <row r="33" spans="1:11" ht="14.5" x14ac:dyDescent="0.25">
      <c r="A33" s="17"/>
      <c r="B33" s="17"/>
      <c r="C33" s="17" t="s">
        <v>263</v>
      </c>
      <c r="D33" s="18" t="s">
        <v>264</v>
      </c>
      <c r="E33" s="19">
        <v>29.96</v>
      </c>
      <c r="F33" s="20"/>
      <c r="G33" s="21" t="s">
        <v>13</v>
      </c>
      <c r="H33" s="19">
        <v>1</v>
      </c>
      <c r="I33" s="20">
        <v>25.17</v>
      </c>
      <c r="J33" s="19"/>
      <c r="K33" s="20"/>
    </row>
    <row r="34" spans="1:11" ht="14" x14ac:dyDescent="0.25">
      <c r="C34" s="22" t="s">
        <v>265</v>
      </c>
      <c r="H34" s="143">
        <v>935.56</v>
      </c>
      <c r="I34" s="143"/>
      <c r="J34" s="143">
        <v>53292.28</v>
      </c>
      <c r="K34" s="143"/>
    </row>
    <row r="35" spans="1:11" ht="14" x14ac:dyDescent="0.25">
      <c r="C35" s="22" t="s">
        <v>267</v>
      </c>
      <c r="H35" s="141">
        <v>935.56</v>
      </c>
      <c r="I35" s="141"/>
      <c r="J35" s="141">
        <v>53292.28</v>
      </c>
      <c r="K35" s="141"/>
    </row>
    <row r="37" spans="1:11" ht="68" x14ac:dyDescent="0.25">
      <c r="A37" s="38">
        <v>2</v>
      </c>
      <c r="B37" s="38" t="s">
        <v>409</v>
      </c>
      <c r="C37" s="38" t="s">
        <v>2044</v>
      </c>
      <c r="D37" s="39" t="s">
        <v>11</v>
      </c>
      <c r="E37" s="40">
        <v>7</v>
      </c>
      <c r="F37" s="41">
        <v>7308.8</v>
      </c>
      <c r="G37" s="42" t="s">
        <v>1</v>
      </c>
      <c r="H37" s="40">
        <v>1</v>
      </c>
      <c r="I37" s="41">
        <v>51161.599999999999</v>
      </c>
      <c r="J37" s="40">
        <v>7.54</v>
      </c>
      <c r="K37" s="41">
        <v>385758.46</v>
      </c>
    </row>
    <row r="38" spans="1:11" ht="14" x14ac:dyDescent="0.25">
      <c r="A38" s="43"/>
      <c r="B38" s="43"/>
      <c r="C38" s="44" t="s">
        <v>267</v>
      </c>
      <c r="D38" s="43"/>
      <c r="E38" s="43"/>
      <c r="F38" s="43"/>
      <c r="G38" s="43"/>
      <c r="H38" s="156">
        <v>51161.599999999999</v>
      </c>
      <c r="I38" s="156"/>
      <c r="J38" s="156">
        <v>385758.46</v>
      </c>
      <c r="K38" s="156"/>
    </row>
    <row r="40" spans="1:11" ht="79" x14ac:dyDescent="0.25">
      <c r="A40" s="10">
        <v>3</v>
      </c>
      <c r="B40" s="10" t="s">
        <v>1667</v>
      </c>
      <c r="C40" s="10" t="s">
        <v>1668</v>
      </c>
      <c r="D40" s="12" t="s">
        <v>24</v>
      </c>
      <c r="E40" s="11">
        <v>23</v>
      </c>
      <c r="F40" s="14"/>
      <c r="G40" s="13"/>
      <c r="H40" s="11"/>
      <c r="I40" s="14"/>
      <c r="J40" s="11"/>
      <c r="K40" s="14"/>
    </row>
    <row r="41" spans="1:11" ht="14.5" x14ac:dyDescent="0.25">
      <c r="A41" s="10"/>
      <c r="B41" s="10"/>
      <c r="C41" s="10" t="s">
        <v>256</v>
      </c>
      <c r="D41" s="12"/>
      <c r="E41" s="11"/>
      <c r="F41" s="14">
        <v>77.349999999999994</v>
      </c>
      <c r="G41" s="15" t="s">
        <v>13</v>
      </c>
      <c r="H41" s="11">
        <v>1</v>
      </c>
      <c r="I41" s="14">
        <v>2134.86</v>
      </c>
      <c r="J41" s="11">
        <v>57.05</v>
      </c>
      <c r="K41" s="14">
        <v>121793.76</v>
      </c>
    </row>
    <row r="42" spans="1:11" ht="14.5" x14ac:dyDescent="0.25">
      <c r="A42" s="10"/>
      <c r="B42" s="10"/>
      <c r="C42" s="10" t="s">
        <v>257</v>
      </c>
      <c r="D42" s="12"/>
      <c r="E42" s="11"/>
      <c r="F42" s="14">
        <v>0.05</v>
      </c>
      <c r="G42" s="15" t="s">
        <v>13</v>
      </c>
      <c r="H42" s="11">
        <v>1</v>
      </c>
      <c r="I42" s="14">
        <v>1.38</v>
      </c>
      <c r="J42" s="11">
        <v>20.399999999999999</v>
      </c>
      <c r="K42" s="14">
        <v>28.15</v>
      </c>
    </row>
    <row r="43" spans="1:11" ht="14.5" x14ac:dyDescent="0.25">
      <c r="A43" s="10"/>
      <c r="B43" s="10"/>
      <c r="C43" s="10" t="s">
        <v>258</v>
      </c>
      <c r="D43" s="12"/>
      <c r="E43" s="11"/>
      <c r="F43" s="14">
        <v>0.01</v>
      </c>
      <c r="G43" s="15" t="s">
        <v>13</v>
      </c>
      <c r="H43" s="11">
        <v>1</v>
      </c>
      <c r="I43" s="16">
        <v>0.28000000000000003</v>
      </c>
      <c r="J43" s="11">
        <v>57.05</v>
      </c>
      <c r="K43" s="16">
        <v>15.97</v>
      </c>
    </row>
    <row r="44" spans="1:11" ht="14.5" x14ac:dyDescent="0.25">
      <c r="A44" s="10"/>
      <c r="B44" s="10"/>
      <c r="C44" s="10" t="s">
        <v>259</v>
      </c>
      <c r="D44" s="12"/>
      <c r="E44" s="11"/>
      <c r="F44" s="14">
        <v>4.83</v>
      </c>
      <c r="G44" s="15" t="s">
        <v>1</v>
      </c>
      <c r="H44" s="11">
        <v>1</v>
      </c>
      <c r="I44" s="14">
        <v>111.09</v>
      </c>
      <c r="J44" s="11">
        <v>10.18</v>
      </c>
      <c r="K44" s="14">
        <v>1130.9000000000001</v>
      </c>
    </row>
    <row r="45" spans="1:11" ht="14.5" x14ac:dyDescent="0.25">
      <c r="A45" s="10"/>
      <c r="B45" s="10"/>
      <c r="C45" s="10" t="s">
        <v>260</v>
      </c>
      <c r="D45" s="12" t="s">
        <v>261</v>
      </c>
      <c r="E45" s="11">
        <v>90</v>
      </c>
      <c r="F45" s="14"/>
      <c r="G45" s="13"/>
      <c r="H45" s="11"/>
      <c r="I45" s="14">
        <v>1921.63</v>
      </c>
      <c r="J45" s="11">
        <v>90</v>
      </c>
      <c r="K45" s="14">
        <v>109628.76</v>
      </c>
    </row>
    <row r="46" spans="1:11" ht="14.5" x14ac:dyDescent="0.25">
      <c r="A46" s="10"/>
      <c r="B46" s="10"/>
      <c r="C46" s="10" t="s">
        <v>262</v>
      </c>
      <c r="D46" s="12" t="s">
        <v>261</v>
      </c>
      <c r="E46" s="11">
        <v>46</v>
      </c>
      <c r="F46" s="14"/>
      <c r="G46" s="13"/>
      <c r="H46" s="11"/>
      <c r="I46" s="14">
        <v>982.16</v>
      </c>
      <c r="J46" s="11">
        <v>46</v>
      </c>
      <c r="K46" s="14">
        <v>56032.480000000003</v>
      </c>
    </row>
    <row r="47" spans="1:11" ht="14.5" x14ac:dyDescent="0.25">
      <c r="A47" s="17"/>
      <c r="B47" s="17"/>
      <c r="C47" s="17" t="s">
        <v>263</v>
      </c>
      <c r="D47" s="18" t="s">
        <v>264</v>
      </c>
      <c r="E47" s="19">
        <v>5.7</v>
      </c>
      <c r="F47" s="20"/>
      <c r="G47" s="21" t="s">
        <v>13</v>
      </c>
      <c r="H47" s="19">
        <v>1</v>
      </c>
      <c r="I47" s="20">
        <v>157.32</v>
      </c>
      <c r="J47" s="19"/>
      <c r="K47" s="20"/>
    </row>
    <row r="48" spans="1:11" ht="14" x14ac:dyDescent="0.25">
      <c r="C48" s="22" t="s">
        <v>265</v>
      </c>
      <c r="H48" s="143">
        <v>5151.12</v>
      </c>
      <c r="I48" s="143"/>
      <c r="J48" s="143">
        <v>288614.05</v>
      </c>
      <c r="K48" s="143"/>
    </row>
    <row r="49" spans="1:11" ht="14" x14ac:dyDescent="0.25">
      <c r="C49" s="22" t="s">
        <v>267</v>
      </c>
      <c r="H49" s="141">
        <v>5151.12</v>
      </c>
      <c r="I49" s="141"/>
      <c r="J49" s="141">
        <v>288614.05</v>
      </c>
      <c r="K49" s="141"/>
    </row>
    <row r="51" spans="1:11" ht="82" x14ac:dyDescent="0.25">
      <c r="A51" s="38">
        <v>4</v>
      </c>
      <c r="B51" s="38" t="s">
        <v>409</v>
      </c>
      <c r="C51" s="38" t="s">
        <v>2045</v>
      </c>
      <c r="D51" s="39" t="s">
        <v>11</v>
      </c>
      <c r="E51" s="40">
        <v>23</v>
      </c>
      <c r="F51" s="41">
        <v>1801.7</v>
      </c>
      <c r="G51" s="42" t="s">
        <v>1</v>
      </c>
      <c r="H51" s="40">
        <v>1</v>
      </c>
      <c r="I51" s="41">
        <v>41439.1</v>
      </c>
      <c r="J51" s="40">
        <v>7.54</v>
      </c>
      <c r="K51" s="41">
        <v>312450.81</v>
      </c>
    </row>
    <row r="52" spans="1:11" ht="14" x14ac:dyDescent="0.25">
      <c r="A52" s="43"/>
      <c r="B52" s="43"/>
      <c r="C52" s="44" t="s">
        <v>267</v>
      </c>
      <c r="D52" s="43"/>
      <c r="E52" s="43"/>
      <c r="F52" s="43"/>
      <c r="G52" s="43"/>
      <c r="H52" s="156">
        <v>41439.1</v>
      </c>
      <c r="I52" s="156"/>
      <c r="J52" s="156">
        <v>312450.81</v>
      </c>
      <c r="K52" s="156"/>
    </row>
    <row r="54" spans="1:11" ht="79" x14ac:dyDescent="0.25">
      <c r="A54" s="10">
        <v>5</v>
      </c>
      <c r="B54" s="10" t="s">
        <v>1669</v>
      </c>
      <c r="C54" s="10" t="s">
        <v>1670</v>
      </c>
      <c r="D54" s="12" t="s">
        <v>24</v>
      </c>
      <c r="E54" s="11">
        <v>23</v>
      </c>
      <c r="F54" s="14"/>
      <c r="G54" s="13"/>
      <c r="H54" s="11"/>
      <c r="I54" s="14"/>
      <c r="J54" s="11"/>
      <c r="K54" s="14"/>
    </row>
    <row r="55" spans="1:11" ht="14.5" x14ac:dyDescent="0.25">
      <c r="A55" s="10"/>
      <c r="B55" s="10"/>
      <c r="C55" s="10" t="s">
        <v>256</v>
      </c>
      <c r="D55" s="12"/>
      <c r="E55" s="11"/>
      <c r="F55" s="14">
        <v>5.81</v>
      </c>
      <c r="G55" s="15" t="s">
        <v>13</v>
      </c>
      <c r="H55" s="11">
        <v>1</v>
      </c>
      <c r="I55" s="14">
        <v>160.36000000000001</v>
      </c>
      <c r="J55" s="11">
        <v>57.05</v>
      </c>
      <c r="K55" s="14">
        <v>9148.5400000000009</v>
      </c>
    </row>
    <row r="56" spans="1:11" ht="14.5" x14ac:dyDescent="0.25">
      <c r="A56" s="10"/>
      <c r="B56" s="10"/>
      <c r="C56" s="10" t="s">
        <v>257</v>
      </c>
      <c r="D56" s="12"/>
      <c r="E56" s="11"/>
      <c r="F56" s="14">
        <v>28.19</v>
      </c>
      <c r="G56" s="15" t="s">
        <v>13</v>
      </c>
      <c r="H56" s="11">
        <v>1</v>
      </c>
      <c r="I56" s="14">
        <v>778.04</v>
      </c>
      <c r="J56" s="11">
        <v>15.9</v>
      </c>
      <c r="K56" s="14">
        <v>12370.84</v>
      </c>
    </row>
    <row r="57" spans="1:11" ht="14.5" x14ac:dyDescent="0.25">
      <c r="A57" s="10"/>
      <c r="B57" s="10"/>
      <c r="C57" s="10" t="s">
        <v>258</v>
      </c>
      <c r="D57" s="12"/>
      <c r="E57" s="11"/>
      <c r="F57" s="14">
        <v>3.16</v>
      </c>
      <c r="G57" s="15" t="s">
        <v>13</v>
      </c>
      <c r="H57" s="11">
        <v>1</v>
      </c>
      <c r="I57" s="16">
        <v>87.22</v>
      </c>
      <c r="J57" s="11">
        <v>57.05</v>
      </c>
      <c r="K57" s="16">
        <v>4975.8999999999996</v>
      </c>
    </row>
    <row r="58" spans="1:11" ht="14.5" x14ac:dyDescent="0.25">
      <c r="A58" s="10"/>
      <c r="B58" s="10"/>
      <c r="C58" s="10" t="s">
        <v>260</v>
      </c>
      <c r="D58" s="12" t="s">
        <v>261</v>
      </c>
      <c r="E58" s="11">
        <v>90</v>
      </c>
      <c r="F58" s="14"/>
      <c r="G58" s="13"/>
      <c r="H58" s="11"/>
      <c r="I58" s="14">
        <v>222.82</v>
      </c>
      <c r="J58" s="11">
        <v>90</v>
      </c>
      <c r="K58" s="14">
        <v>12712</v>
      </c>
    </row>
    <row r="59" spans="1:11" ht="14.5" x14ac:dyDescent="0.25">
      <c r="A59" s="10"/>
      <c r="B59" s="10"/>
      <c r="C59" s="10" t="s">
        <v>262</v>
      </c>
      <c r="D59" s="12" t="s">
        <v>261</v>
      </c>
      <c r="E59" s="11">
        <v>46</v>
      </c>
      <c r="F59" s="14"/>
      <c r="G59" s="13"/>
      <c r="H59" s="11"/>
      <c r="I59" s="14">
        <v>113.89</v>
      </c>
      <c r="J59" s="11">
        <v>46</v>
      </c>
      <c r="K59" s="14">
        <v>6497.24</v>
      </c>
    </row>
    <row r="60" spans="1:11" ht="14.5" x14ac:dyDescent="0.25">
      <c r="A60" s="17"/>
      <c r="B60" s="17"/>
      <c r="C60" s="17" t="s">
        <v>263</v>
      </c>
      <c r="D60" s="18" t="s">
        <v>264</v>
      </c>
      <c r="E60" s="19">
        <v>0.52</v>
      </c>
      <c r="F60" s="20"/>
      <c r="G60" s="21" t="s">
        <v>13</v>
      </c>
      <c r="H60" s="19">
        <v>1</v>
      </c>
      <c r="I60" s="20">
        <v>14.35</v>
      </c>
      <c r="J60" s="19"/>
      <c r="K60" s="20"/>
    </row>
    <row r="61" spans="1:11" ht="14" x14ac:dyDescent="0.25">
      <c r="C61" s="22" t="s">
        <v>265</v>
      </c>
      <c r="H61" s="143">
        <v>1275.1099999999999</v>
      </c>
      <c r="I61" s="143"/>
      <c r="J61" s="143">
        <v>40728.620000000003</v>
      </c>
      <c r="K61" s="143"/>
    </row>
    <row r="62" spans="1:11" ht="14" x14ac:dyDescent="0.25">
      <c r="C62" s="22" t="s">
        <v>267</v>
      </c>
      <c r="H62" s="141">
        <v>1275.1099999999999</v>
      </c>
      <c r="I62" s="141"/>
      <c r="J62" s="141">
        <v>40728.620000000003</v>
      </c>
      <c r="K62" s="141"/>
    </row>
    <row r="64" spans="1:11" ht="68" x14ac:dyDescent="0.25">
      <c r="A64" s="17">
        <v>6</v>
      </c>
      <c r="B64" s="17" t="s">
        <v>409</v>
      </c>
      <c r="C64" s="17" t="s">
        <v>2046</v>
      </c>
      <c r="D64" s="18" t="s">
        <v>1610</v>
      </c>
      <c r="E64" s="19">
        <v>23</v>
      </c>
      <c r="F64" s="20">
        <v>1846.47</v>
      </c>
      <c r="G64" s="21" t="s">
        <v>1</v>
      </c>
      <c r="H64" s="19">
        <v>1</v>
      </c>
      <c r="I64" s="20">
        <v>42468.81</v>
      </c>
      <c r="J64" s="19">
        <v>7.54</v>
      </c>
      <c r="K64" s="20">
        <v>320214.83</v>
      </c>
    </row>
    <row r="65" spans="1:11" ht="14" x14ac:dyDescent="0.25">
      <c r="C65" s="22" t="s">
        <v>267</v>
      </c>
      <c r="H65" s="143">
        <v>42468.81</v>
      </c>
      <c r="I65" s="143"/>
      <c r="J65" s="143">
        <v>320214.83</v>
      </c>
      <c r="K65" s="143"/>
    </row>
    <row r="67" spans="1:11" ht="79" x14ac:dyDescent="0.25">
      <c r="A67" s="10">
        <v>7</v>
      </c>
      <c r="B67" s="10" t="s">
        <v>992</v>
      </c>
      <c r="C67" s="10" t="s">
        <v>993</v>
      </c>
      <c r="D67" s="12" t="s">
        <v>24</v>
      </c>
      <c r="E67" s="11">
        <v>24</v>
      </c>
      <c r="F67" s="14"/>
      <c r="G67" s="13"/>
      <c r="H67" s="11"/>
      <c r="I67" s="14"/>
      <c r="J67" s="11"/>
      <c r="K67" s="14"/>
    </row>
    <row r="68" spans="1:11" x14ac:dyDescent="0.25">
      <c r="C68" s="23" t="s">
        <v>1682</v>
      </c>
    </row>
    <row r="69" spans="1:11" ht="14.5" x14ac:dyDescent="0.25">
      <c r="A69" s="10"/>
      <c r="B69" s="10"/>
      <c r="C69" s="10" t="s">
        <v>256</v>
      </c>
      <c r="D69" s="12"/>
      <c r="E69" s="11"/>
      <c r="F69" s="14">
        <v>10.6</v>
      </c>
      <c r="G69" s="15" t="s">
        <v>13</v>
      </c>
      <c r="H69" s="11">
        <v>1</v>
      </c>
      <c r="I69" s="14">
        <v>305.27999999999997</v>
      </c>
      <c r="J69" s="11">
        <v>57.05</v>
      </c>
      <c r="K69" s="14">
        <v>17416.22</v>
      </c>
    </row>
    <row r="70" spans="1:11" ht="14.5" x14ac:dyDescent="0.25">
      <c r="A70" s="10"/>
      <c r="B70" s="10"/>
      <c r="C70" s="10" t="s">
        <v>259</v>
      </c>
      <c r="D70" s="12"/>
      <c r="E70" s="11"/>
      <c r="F70" s="14">
        <v>1.05</v>
      </c>
      <c r="G70" s="15" t="s">
        <v>1</v>
      </c>
      <c r="H70" s="11">
        <v>1</v>
      </c>
      <c r="I70" s="14">
        <v>25.2</v>
      </c>
      <c r="J70" s="11">
        <v>10.18</v>
      </c>
      <c r="K70" s="14">
        <v>256.54000000000002</v>
      </c>
    </row>
    <row r="71" spans="1:11" ht="168" x14ac:dyDescent="0.25">
      <c r="A71" s="10" t="s">
        <v>21</v>
      </c>
      <c r="B71" s="10" t="s">
        <v>1683</v>
      </c>
      <c r="C71" s="10" t="s">
        <v>2086</v>
      </c>
      <c r="D71" s="12" t="s">
        <v>38</v>
      </c>
      <c r="E71" s="11">
        <v>2</v>
      </c>
      <c r="F71" s="14">
        <v>34.130000000000003</v>
      </c>
      <c r="G71" s="15" t="s">
        <v>1</v>
      </c>
      <c r="H71" s="11">
        <v>1</v>
      </c>
      <c r="I71" s="14">
        <v>68.260000000000005</v>
      </c>
      <c r="J71" s="11">
        <v>10.59</v>
      </c>
      <c r="K71" s="14">
        <v>722.87</v>
      </c>
    </row>
    <row r="72" spans="1:11" ht="168" x14ac:dyDescent="0.25">
      <c r="A72" s="10" t="s">
        <v>1671</v>
      </c>
      <c r="B72" s="10" t="s">
        <v>1684</v>
      </c>
      <c r="C72" s="10" t="s">
        <v>2087</v>
      </c>
      <c r="D72" s="12" t="s">
        <v>38</v>
      </c>
      <c r="E72" s="11">
        <v>22</v>
      </c>
      <c r="F72" s="14">
        <v>10.94</v>
      </c>
      <c r="G72" s="15" t="s">
        <v>1</v>
      </c>
      <c r="H72" s="11">
        <v>1</v>
      </c>
      <c r="I72" s="14">
        <v>240.68</v>
      </c>
      <c r="J72" s="11">
        <v>8.9</v>
      </c>
      <c r="K72" s="14">
        <v>2142.0500000000002</v>
      </c>
    </row>
    <row r="73" spans="1:11" ht="14.5" x14ac:dyDescent="0.25">
      <c r="A73" s="10"/>
      <c r="B73" s="10"/>
      <c r="C73" s="10" t="s">
        <v>260</v>
      </c>
      <c r="D73" s="12" t="s">
        <v>261</v>
      </c>
      <c r="E73" s="11">
        <v>90</v>
      </c>
      <c r="F73" s="14"/>
      <c r="G73" s="13"/>
      <c r="H73" s="11"/>
      <c r="I73" s="14">
        <v>274.75</v>
      </c>
      <c r="J73" s="11">
        <v>90</v>
      </c>
      <c r="K73" s="14">
        <v>15674.6</v>
      </c>
    </row>
    <row r="74" spans="1:11" ht="14.5" x14ac:dyDescent="0.25">
      <c r="A74" s="10"/>
      <c r="B74" s="10"/>
      <c r="C74" s="10" t="s">
        <v>262</v>
      </c>
      <c r="D74" s="12" t="s">
        <v>261</v>
      </c>
      <c r="E74" s="11">
        <v>46</v>
      </c>
      <c r="F74" s="14"/>
      <c r="G74" s="13"/>
      <c r="H74" s="11"/>
      <c r="I74" s="14">
        <v>140.43</v>
      </c>
      <c r="J74" s="11">
        <v>46</v>
      </c>
      <c r="K74" s="14">
        <v>8011.46</v>
      </c>
    </row>
    <row r="75" spans="1:11" ht="14.5" x14ac:dyDescent="0.25">
      <c r="A75" s="17"/>
      <c r="B75" s="17"/>
      <c r="C75" s="17" t="s">
        <v>263</v>
      </c>
      <c r="D75" s="18" t="s">
        <v>264</v>
      </c>
      <c r="E75" s="19">
        <v>0.84</v>
      </c>
      <c r="F75" s="20"/>
      <c r="G75" s="21" t="s">
        <v>13</v>
      </c>
      <c r="H75" s="19">
        <v>1</v>
      </c>
      <c r="I75" s="20">
        <v>24.19</v>
      </c>
      <c r="J75" s="19"/>
      <c r="K75" s="20"/>
    </row>
    <row r="76" spans="1:11" ht="14" x14ac:dyDescent="0.25">
      <c r="C76" s="22" t="s">
        <v>265</v>
      </c>
      <c r="H76" s="143">
        <v>745.66</v>
      </c>
      <c r="I76" s="143"/>
      <c r="J76" s="143">
        <v>41358.82</v>
      </c>
      <c r="K76" s="143"/>
    </row>
    <row r="77" spans="1:11" ht="14" x14ac:dyDescent="0.25">
      <c r="C77" s="22" t="s">
        <v>266</v>
      </c>
      <c r="H77" s="141">
        <v>308.94</v>
      </c>
      <c r="I77" s="141"/>
      <c r="J77" s="141">
        <v>2864.92</v>
      </c>
      <c r="K77" s="141"/>
    </row>
    <row r="78" spans="1:11" ht="14" x14ac:dyDescent="0.25">
      <c r="C78" s="22" t="s">
        <v>267</v>
      </c>
      <c r="H78" s="141">
        <v>1054.5999999999999</v>
      </c>
      <c r="I78" s="141"/>
      <c r="J78" s="141">
        <v>44223.74</v>
      </c>
      <c r="K78" s="141"/>
    </row>
    <row r="80" spans="1:11" ht="79" x14ac:dyDescent="0.25">
      <c r="A80" s="10">
        <v>8</v>
      </c>
      <c r="B80" s="10" t="s">
        <v>1672</v>
      </c>
      <c r="C80" s="10" t="s">
        <v>1673</v>
      </c>
      <c r="D80" s="12" t="s">
        <v>24</v>
      </c>
      <c r="E80" s="11">
        <v>26</v>
      </c>
      <c r="F80" s="14"/>
      <c r="G80" s="13"/>
      <c r="H80" s="11"/>
      <c r="I80" s="14"/>
      <c r="J80" s="11"/>
      <c r="K80" s="14"/>
    </row>
    <row r="81" spans="1:11" ht="14.5" x14ac:dyDescent="0.25">
      <c r="A81" s="10"/>
      <c r="B81" s="10"/>
      <c r="C81" s="10" t="s">
        <v>256</v>
      </c>
      <c r="D81" s="12"/>
      <c r="E81" s="11"/>
      <c r="F81" s="14">
        <v>59.08</v>
      </c>
      <c r="G81" s="15" t="s">
        <v>13</v>
      </c>
      <c r="H81" s="11">
        <v>1</v>
      </c>
      <c r="I81" s="14">
        <v>1843.3</v>
      </c>
      <c r="J81" s="11">
        <v>57.05</v>
      </c>
      <c r="K81" s="14">
        <v>105160.27</v>
      </c>
    </row>
    <row r="82" spans="1:11" ht="14.5" x14ac:dyDescent="0.25">
      <c r="A82" s="10"/>
      <c r="B82" s="10"/>
      <c r="C82" s="10" t="s">
        <v>257</v>
      </c>
      <c r="D82" s="12"/>
      <c r="E82" s="11"/>
      <c r="F82" s="14">
        <v>1.65</v>
      </c>
      <c r="G82" s="15" t="s">
        <v>13</v>
      </c>
      <c r="H82" s="11">
        <v>1</v>
      </c>
      <c r="I82" s="14">
        <v>51.48</v>
      </c>
      <c r="J82" s="11">
        <v>10.76</v>
      </c>
      <c r="K82" s="14">
        <v>553.91999999999996</v>
      </c>
    </row>
    <row r="83" spans="1:11" ht="14.5" x14ac:dyDescent="0.25">
      <c r="A83" s="10"/>
      <c r="B83" s="10"/>
      <c r="C83" s="10" t="s">
        <v>259</v>
      </c>
      <c r="D83" s="12"/>
      <c r="E83" s="11"/>
      <c r="F83" s="14">
        <v>14.92</v>
      </c>
      <c r="G83" s="15" t="s">
        <v>1</v>
      </c>
      <c r="H83" s="11">
        <v>1</v>
      </c>
      <c r="I83" s="14">
        <v>387.92</v>
      </c>
      <c r="J83" s="11">
        <v>4.3</v>
      </c>
      <c r="K83" s="14">
        <v>1668.06</v>
      </c>
    </row>
    <row r="84" spans="1:11" ht="14.5" x14ac:dyDescent="0.25">
      <c r="A84" s="10"/>
      <c r="B84" s="10"/>
      <c r="C84" s="10" t="s">
        <v>260</v>
      </c>
      <c r="D84" s="12" t="s">
        <v>261</v>
      </c>
      <c r="E84" s="11">
        <v>90</v>
      </c>
      <c r="F84" s="14"/>
      <c r="G84" s="13"/>
      <c r="H84" s="11"/>
      <c r="I84" s="14">
        <v>1658.97</v>
      </c>
      <c r="J84" s="11">
        <v>90</v>
      </c>
      <c r="K84" s="14">
        <v>94644.24</v>
      </c>
    </row>
    <row r="85" spans="1:11" ht="14.5" x14ac:dyDescent="0.25">
      <c r="A85" s="10"/>
      <c r="B85" s="10"/>
      <c r="C85" s="10" t="s">
        <v>262</v>
      </c>
      <c r="D85" s="12" t="s">
        <v>261</v>
      </c>
      <c r="E85" s="11">
        <v>46</v>
      </c>
      <c r="F85" s="14"/>
      <c r="G85" s="13"/>
      <c r="H85" s="11"/>
      <c r="I85" s="14">
        <v>847.92</v>
      </c>
      <c r="J85" s="11">
        <v>46</v>
      </c>
      <c r="K85" s="14">
        <v>48373.72</v>
      </c>
    </row>
    <row r="86" spans="1:11" ht="14.5" x14ac:dyDescent="0.25">
      <c r="A86" s="17"/>
      <c r="B86" s="17"/>
      <c r="C86" s="17" t="s">
        <v>263</v>
      </c>
      <c r="D86" s="18" t="s">
        <v>264</v>
      </c>
      <c r="E86" s="19">
        <v>4.68</v>
      </c>
      <c r="F86" s="20"/>
      <c r="G86" s="21" t="s">
        <v>13</v>
      </c>
      <c r="H86" s="19">
        <v>1</v>
      </c>
      <c r="I86" s="20">
        <v>146.02000000000001</v>
      </c>
      <c r="J86" s="19"/>
      <c r="K86" s="20"/>
    </row>
    <row r="87" spans="1:11" ht="14" x14ac:dyDescent="0.25">
      <c r="C87" s="22" t="s">
        <v>265</v>
      </c>
      <c r="H87" s="143">
        <v>4789.59</v>
      </c>
      <c r="I87" s="143"/>
      <c r="J87" s="143">
        <v>250400.21</v>
      </c>
      <c r="K87" s="143"/>
    </row>
    <row r="88" spans="1:11" ht="14" x14ac:dyDescent="0.25">
      <c r="C88" s="22" t="s">
        <v>267</v>
      </c>
      <c r="H88" s="141">
        <v>4789.59</v>
      </c>
      <c r="I88" s="141"/>
      <c r="J88" s="141">
        <v>250400.21</v>
      </c>
      <c r="K88" s="141"/>
    </row>
    <row r="90" spans="1:11" ht="82" x14ac:dyDescent="0.25">
      <c r="A90" s="38">
        <v>9</v>
      </c>
      <c r="B90" s="38" t="s">
        <v>409</v>
      </c>
      <c r="C90" s="38" t="s">
        <v>2088</v>
      </c>
      <c r="D90" s="39" t="s">
        <v>11</v>
      </c>
      <c r="E90" s="40">
        <v>26</v>
      </c>
      <c r="F90" s="41">
        <v>1801.7</v>
      </c>
      <c r="G90" s="42" t="s">
        <v>1</v>
      </c>
      <c r="H90" s="40">
        <v>1</v>
      </c>
      <c r="I90" s="41">
        <v>46844.2</v>
      </c>
      <c r="J90" s="40">
        <v>7.54</v>
      </c>
      <c r="K90" s="41">
        <v>353205.27</v>
      </c>
    </row>
    <row r="91" spans="1:11" ht="14" x14ac:dyDescent="0.25">
      <c r="A91" s="43"/>
      <c r="B91" s="43"/>
      <c r="C91" s="44" t="s">
        <v>267</v>
      </c>
      <c r="D91" s="43"/>
      <c r="E91" s="43"/>
      <c r="F91" s="43"/>
      <c r="G91" s="43"/>
      <c r="H91" s="156">
        <v>46844.2</v>
      </c>
      <c r="I91" s="156"/>
      <c r="J91" s="156">
        <v>353205.27</v>
      </c>
      <c r="K91" s="156"/>
    </row>
    <row r="92" spans="1:11" x14ac:dyDescent="0.2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</row>
    <row r="93" spans="1:11" ht="54" x14ac:dyDescent="0.25">
      <c r="A93" s="38">
        <v>10</v>
      </c>
      <c r="B93" s="38" t="s">
        <v>409</v>
      </c>
      <c r="C93" s="38" t="s">
        <v>2047</v>
      </c>
      <c r="D93" s="39" t="s">
        <v>11</v>
      </c>
      <c r="E93" s="40">
        <v>50</v>
      </c>
      <c r="F93" s="41">
        <v>2.04</v>
      </c>
      <c r="G93" s="42" t="s">
        <v>1</v>
      </c>
      <c r="H93" s="40">
        <v>1</v>
      </c>
      <c r="I93" s="41">
        <v>102</v>
      </c>
      <c r="J93" s="40">
        <v>7.54</v>
      </c>
      <c r="K93" s="41">
        <v>769.08</v>
      </c>
    </row>
    <row r="94" spans="1:11" ht="14" x14ac:dyDescent="0.25">
      <c r="A94" s="43"/>
      <c r="B94" s="43"/>
      <c r="C94" s="44" t="s">
        <v>267</v>
      </c>
      <c r="D94" s="43"/>
      <c r="E94" s="43"/>
      <c r="F94" s="43"/>
      <c r="G94" s="43"/>
      <c r="H94" s="156">
        <v>102</v>
      </c>
      <c r="I94" s="156"/>
      <c r="J94" s="156">
        <v>769.08</v>
      </c>
      <c r="K94" s="156"/>
    </row>
    <row r="96" spans="1:11" ht="79" x14ac:dyDescent="0.25">
      <c r="A96" s="10">
        <v>11</v>
      </c>
      <c r="B96" s="10" t="s">
        <v>908</v>
      </c>
      <c r="C96" s="10" t="s">
        <v>909</v>
      </c>
      <c r="D96" s="12" t="s">
        <v>24</v>
      </c>
      <c r="E96" s="11">
        <v>43</v>
      </c>
      <c r="F96" s="14"/>
      <c r="G96" s="13"/>
      <c r="H96" s="11"/>
      <c r="I96" s="14"/>
      <c r="J96" s="11"/>
      <c r="K96" s="14"/>
    </row>
    <row r="97" spans="1:11" x14ac:dyDescent="0.25">
      <c r="C97" s="23" t="s">
        <v>1685</v>
      </c>
    </row>
    <row r="98" spans="1:11" ht="14.5" x14ac:dyDescent="0.25">
      <c r="A98" s="10"/>
      <c r="B98" s="10"/>
      <c r="C98" s="10" t="s">
        <v>256</v>
      </c>
      <c r="D98" s="12"/>
      <c r="E98" s="11"/>
      <c r="F98" s="14">
        <v>11.89</v>
      </c>
      <c r="G98" s="15" t="s">
        <v>13</v>
      </c>
      <c r="H98" s="11">
        <v>1</v>
      </c>
      <c r="I98" s="14">
        <v>613.52</v>
      </c>
      <c r="J98" s="11">
        <v>57.05</v>
      </c>
      <c r="K98" s="14">
        <v>35001.32</v>
      </c>
    </row>
    <row r="99" spans="1:11" ht="14.5" x14ac:dyDescent="0.25">
      <c r="A99" s="10"/>
      <c r="B99" s="10"/>
      <c r="C99" s="10" t="s">
        <v>259</v>
      </c>
      <c r="D99" s="12"/>
      <c r="E99" s="11"/>
      <c r="F99" s="14">
        <v>1.67</v>
      </c>
      <c r="G99" s="15" t="s">
        <v>1</v>
      </c>
      <c r="H99" s="11">
        <v>1</v>
      </c>
      <c r="I99" s="14">
        <v>71.81</v>
      </c>
      <c r="J99" s="11">
        <v>17.41</v>
      </c>
      <c r="K99" s="14">
        <v>1250.21</v>
      </c>
    </row>
    <row r="100" spans="1:11" ht="154" x14ac:dyDescent="0.25">
      <c r="A100" s="10" t="s">
        <v>25</v>
      </c>
      <c r="B100" s="10" t="s">
        <v>1686</v>
      </c>
      <c r="C100" s="10" t="s">
        <v>2089</v>
      </c>
      <c r="D100" s="12" t="s">
        <v>38</v>
      </c>
      <c r="E100" s="11">
        <v>23</v>
      </c>
      <c r="F100" s="14">
        <v>71.12</v>
      </c>
      <c r="G100" s="15" t="s">
        <v>1</v>
      </c>
      <c r="H100" s="11">
        <v>1</v>
      </c>
      <c r="I100" s="14">
        <v>1635.76</v>
      </c>
      <c r="J100" s="11">
        <v>10.97</v>
      </c>
      <c r="K100" s="14">
        <v>17944.29</v>
      </c>
    </row>
    <row r="101" spans="1:11" ht="14.5" x14ac:dyDescent="0.25">
      <c r="A101" s="10"/>
      <c r="B101" s="10"/>
      <c r="C101" s="10" t="s">
        <v>260</v>
      </c>
      <c r="D101" s="12" t="s">
        <v>261</v>
      </c>
      <c r="E101" s="11">
        <v>95</v>
      </c>
      <c r="F101" s="14"/>
      <c r="G101" s="13"/>
      <c r="H101" s="11"/>
      <c r="I101" s="14">
        <v>582.84</v>
      </c>
      <c r="J101" s="11">
        <v>95</v>
      </c>
      <c r="K101" s="14">
        <v>33251.25</v>
      </c>
    </row>
    <row r="102" spans="1:11" ht="14.5" x14ac:dyDescent="0.25">
      <c r="A102" s="10"/>
      <c r="B102" s="10"/>
      <c r="C102" s="10" t="s">
        <v>262</v>
      </c>
      <c r="D102" s="12" t="s">
        <v>261</v>
      </c>
      <c r="E102" s="11">
        <v>53</v>
      </c>
      <c r="F102" s="14"/>
      <c r="G102" s="13"/>
      <c r="H102" s="11"/>
      <c r="I102" s="14">
        <v>325.17</v>
      </c>
      <c r="J102" s="11">
        <v>53</v>
      </c>
      <c r="K102" s="14">
        <v>18550.7</v>
      </c>
    </row>
    <row r="103" spans="1:11" ht="14.5" x14ac:dyDescent="0.25">
      <c r="A103" s="17"/>
      <c r="B103" s="17"/>
      <c r="C103" s="17" t="s">
        <v>263</v>
      </c>
      <c r="D103" s="18" t="s">
        <v>264</v>
      </c>
      <c r="E103" s="19">
        <v>1</v>
      </c>
      <c r="F103" s="20"/>
      <c r="G103" s="21" t="s">
        <v>13</v>
      </c>
      <c r="H103" s="19">
        <v>1</v>
      </c>
      <c r="I103" s="20">
        <v>51.6</v>
      </c>
      <c r="J103" s="19"/>
      <c r="K103" s="20"/>
    </row>
    <row r="104" spans="1:11" ht="14" x14ac:dyDescent="0.25">
      <c r="C104" s="22" t="s">
        <v>265</v>
      </c>
      <c r="H104" s="143">
        <v>1593.34</v>
      </c>
      <c r="I104" s="143"/>
      <c r="J104" s="143">
        <v>88053.48</v>
      </c>
      <c r="K104" s="143"/>
    </row>
    <row r="105" spans="1:11" ht="14" x14ac:dyDescent="0.25">
      <c r="C105" s="22" t="s">
        <v>266</v>
      </c>
      <c r="H105" s="141">
        <v>1635.76</v>
      </c>
      <c r="I105" s="141"/>
      <c r="J105" s="141">
        <v>17944.29</v>
      </c>
      <c r="K105" s="141"/>
    </row>
    <row r="106" spans="1:11" ht="14" x14ac:dyDescent="0.25">
      <c r="C106" s="22" t="s">
        <v>267</v>
      </c>
      <c r="H106" s="141">
        <v>3229.1</v>
      </c>
      <c r="I106" s="141"/>
      <c r="J106" s="141">
        <v>105997.77</v>
      </c>
      <c r="K106" s="141"/>
    </row>
    <row r="108" spans="1:11" ht="54" x14ac:dyDescent="0.25">
      <c r="A108" s="38">
        <v>12</v>
      </c>
      <c r="B108" s="38" t="s">
        <v>409</v>
      </c>
      <c r="C108" s="38" t="s">
        <v>2048</v>
      </c>
      <c r="D108" s="39" t="s">
        <v>11</v>
      </c>
      <c r="E108" s="40">
        <v>20</v>
      </c>
      <c r="F108" s="41">
        <v>130.32</v>
      </c>
      <c r="G108" s="42" t="s">
        <v>1</v>
      </c>
      <c r="H108" s="40">
        <v>1</v>
      </c>
      <c r="I108" s="41">
        <v>2606.4</v>
      </c>
      <c r="J108" s="40">
        <v>7.54</v>
      </c>
      <c r="K108" s="41">
        <v>19652.259999999998</v>
      </c>
    </row>
    <row r="109" spans="1:11" ht="14" x14ac:dyDescent="0.25">
      <c r="A109" s="43"/>
      <c r="B109" s="43"/>
      <c r="C109" s="44" t="s">
        <v>267</v>
      </c>
      <c r="D109" s="43"/>
      <c r="E109" s="43"/>
      <c r="F109" s="43"/>
      <c r="G109" s="43"/>
      <c r="H109" s="156">
        <v>2606.4</v>
      </c>
      <c r="I109" s="156"/>
      <c r="J109" s="156">
        <v>19652.259999999998</v>
      </c>
      <c r="K109" s="156"/>
    </row>
    <row r="111" spans="1:11" ht="79" x14ac:dyDescent="0.25">
      <c r="A111" s="10">
        <v>13</v>
      </c>
      <c r="B111" s="10" t="s">
        <v>998</v>
      </c>
      <c r="C111" s="10" t="s">
        <v>999</v>
      </c>
      <c r="D111" s="12" t="s">
        <v>24</v>
      </c>
      <c r="E111" s="11">
        <v>4</v>
      </c>
      <c r="F111" s="14"/>
      <c r="G111" s="13"/>
      <c r="H111" s="11"/>
      <c r="I111" s="14"/>
      <c r="J111" s="11"/>
      <c r="K111" s="14"/>
    </row>
    <row r="112" spans="1:11" ht="14.5" x14ac:dyDescent="0.25">
      <c r="A112" s="10"/>
      <c r="B112" s="10"/>
      <c r="C112" s="10" t="s">
        <v>256</v>
      </c>
      <c r="D112" s="12"/>
      <c r="E112" s="11"/>
      <c r="F112" s="14">
        <v>18.940000000000001</v>
      </c>
      <c r="G112" s="15" t="s">
        <v>13</v>
      </c>
      <c r="H112" s="11">
        <v>1</v>
      </c>
      <c r="I112" s="14">
        <v>90.91</v>
      </c>
      <c r="J112" s="11">
        <v>57.05</v>
      </c>
      <c r="K112" s="14">
        <v>5186.42</v>
      </c>
    </row>
    <row r="113" spans="1:11" ht="14.5" x14ac:dyDescent="0.25">
      <c r="A113" s="10"/>
      <c r="B113" s="10"/>
      <c r="C113" s="10" t="s">
        <v>257</v>
      </c>
      <c r="D113" s="12"/>
      <c r="E113" s="11"/>
      <c r="F113" s="14">
        <v>0.02</v>
      </c>
      <c r="G113" s="15" t="s">
        <v>13</v>
      </c>
      <c r="H113" s="11">
        <v>1</v>
      </c>
      <c r="I113" s="14">
        <v>0.1</v>
      </c>
      <c r="J113" s="11">
        <v>13.5</v>
      </c>
      <c r="K113" s="14">
        <v>1.35</v>
      </c>
    </row>
    <row r="114" spans="1:11" ht="14.5" x14ac:dyDescent="0.25">
      <c r="A114" s="10"/>
      <c r="B114" s="10"/>
      <c r="C114" s="10" t="s">
        <v>259</v>
      </c>
      <c r="D114" s="12"/>
      <c r="E114" s="11"/>
      <c r="F114" s="14">
        <v>2.34</v>
      </c>
      <c r="G114" s="15" t="s">
        <v>1</v>
      </c>
      <c r="H114" s="11">
        <v>1</v>
      </c>
      <c r="I114" s="14">
        <v>9.36</v>
      </c>
      <c r="J114" s="11">
        <v>9.91</v>
      </c>
      <c r="K114" s="14">
        <v>92.76</v>
      </c>
    </row>
    <row r="115" spans="1:11" ht="14.5" x14ac:dyDescent="0.25">
      <c r="A115" s="10"/>
      <c r="B115" s="10"/>
      <c r="C115" s="10" t="s">
        <v>260</v>
      </c>
      <c r="D115" s="12" t="s">
        <v>261</v>
      </c>
      <c r="E115" s="11">
        <v>90</v>
      </c>
      <c r="F115" s="14"/>
      <c r="G115" s="13"/>
      <c r="H115" s="11"/>
      <c r="I115" s="14">
        <v>81.819999999999993</v>
      </c>
      <c r="J115" s="11">
        <v>90</v>
      </c>
      <c r="K115" s="14">
        <v>4667.78</v>
      </c>
    </row>
    <row r="116" spans="1:11" ht="14.5" x14ac:dyDescent="0.25">
      <c r="A116" s="10"/>
      <c r="B116" s="10"/>
      <c r="C116" s="10" t="s">
        <v>262</v>
      </c>
      <c r="D116" s="12" t="s">
        <v>261</v>
      </c>
      <c r="E116" s="11">
        <v>46</v>
      </c>
      <c r="F116" s="14"/>
      <c r="G116" s="13"/>
      <c r="H116" s="11"/>
      <c r="I116" s="14">
        <v>41.82</v>
      </c>
      <c r="J116" s="11">
        <v>46</v>
      </c>
      <c r="K116" s="14">
        <v>2385.75</v>
      </c>
    </row>
    <row r="117" spans="1:11" ht="14.5" x14ac:dyDescent="0.25">
      <c r="A117" s="17"/>
      <c r="B117" s="17"/>
      <c r="C117" s="17" t="s">
        <v>263</v>
      </c>
      <c r="D117" s="18" t="s">
        <v>264</v>
      </c>
      <c r="E117" s="19">
        <v>1.36</v>
      </c>
      <c r="F117" s="20"/>
      <c r="G117" s="21" t="s">
        <v>13</v>
      </c>
      <c r="H117" s="19">
        <v>1</v>
      </c>
      <c r="I117" s="20">
        <v>6.53</v>
      </c>
      <c r="J117" s="19"/>
      <c r="K117" s="20"/>
    </row>
    <row r="118" spans="1:11" ht="14" x14ac:dyDescent="0.25">
      <c r="C118" s="22" t="s">
        <v>265</v>
      </c>
      <c r="H118" s="143">
        <v>224.01</v>
      </c>
      <c r="I118" s="143"/>
      <c r="J118" s="143">
        <v>12334.06</v>
      </c>
      <c r="K118" s="143"/>
    </row>
    <row r="119" spans="1:11" ht="14" x14ac:dyDescent="0.25">
      <c r="C119" s="22" t="s">
        <v>267</v>
      </c>
      <c r="H119" s="141">
        <v>224.01</v>
      </c>
      <c r="I119" s="141"/>
      <c r="J119" s="141">
        <v>12334.06</v>
      </c>
      <c r="K119" s="141"/>
    </row>
    <row r="121" spans="1:11" ht="54" x14ac:dyDescent="0.25">
      <c r="A121" s="17">
        <v>14</v>
      </c>
      <c r="B121" s="17" t="s">
        <v>409</v>
      </c>
      <c r="C121" s="17" t="s">
        <v>2049</v>
      </c>
      <c r="D121" s="18" t="s">
        <v>1610</v>
      </c>
      <c r="E121" s="19">
        <v>4</v>
      </c>
      <c r="F121" s="20">
        <v>981.98</v>
      </c>
      <c r="G121" s="21" t="s">
        <v>1</v>
      </c>
      <c r="H121" s="19">
        <v>1</v>
      </c>
      <c r="I121" s="20">
        <v>3927.92</v>
      </c>
      <c r="J121" s="19">
        <v>7.54</v>
      </c>
      <c r="K121" s="20">
        <v>29616.52</v>
      </c>
    </row>
    <row r="122" spans="1:11" ht="14" x14ac:dyDescent="0.25">
      <c r="C122" s="22" t="s">
        <v>267</v>
      </c>
      <c r="H122" s="143">
        <v>3927.92</v>
      </c>
      <c r="I122" s="143"/>
      <c r="J122" s="143">
        <v>29616.52</v>
      </c>
      <c r="K122" s="143"/>
    </row>
    <row r="124" spans="1:11" ht="42" x14ac:dyDescent="0.25">
      <c r="A124" s="17">
        <v>15</v>
      </c>
      <c r="B124" s="17" t="s">
        <v>1022</v>
      </c>
      <c r="C124" s="17" t="s">
        <v>1000</v>
      </c>
      <c r="D124" s="18" t="s">
        <v>38</v>
      </c>
      <c r="E124" s="19">
        <v>8</v>
      </c>
      <c r="F124" s="20">
        <v>89.39</v>
      </c>
      <c r="G124" s="21" t="s">
        <v>1</v>
      </c>
      <c r="H124" s="19">
        <v>1</v>
      </c>
      <c r="I124" s="20">
        <v>715.12</v>
      </c>
      <c r="J124" s="19">
        <v>6.65</v>
      </c>
      <c r="K124" s="20">
        <v>4755.55</v>
      </c>
    </row>
    <row r="125" spans="1:11" ht="14" x14ac:dyDescent="0.25">
      <c r="C125" s="22" t="s">
        <v>267</v>
      </c>
      <c r="H125" s="143">
        <v>715.12</v>
      </c>
      <c r="I125" s="143"/>
      <c r="J125" s="143">
        <v>4755.55</v>
      </c>
      <c r="K125" s="143"/>
    </row>
    <row r="127" spans="1:11" ht="79" x14ac:dyDescent="0.25">
      <c r="A127" s="10">
        <v>16</v>
      </c>
      <c r="B127" s="10" t="s">
        <v>1035</v>
      </c>
      <c r="C127" s="10" t="s">
        <v>1036</v>
      </c>
      <c r="D127" s="12" t="s">
        <v>24</v>
      </c>
      <c r="E127" s="11">
        <v>1</v>
      </c>
      <c r="F127" s="14"/>
      <c r="G127" s="13"/>
      <c r="H127" s="11"/>
      <c r="I127" s="14"/>
      <c r="J127" s="11"/>
      <c r="K127" s="14"/>
    </row>
    <row r="128" spans="1:11" ht="14.5" x14ac:dyDescent="0.25">
      <c r="A128" s="10"/>
      <c r="B128" s="10"/>
      <c r="C128" s="10" t="s">
        <v>256</v>
      </c>
      <c r="D128" s="12"/>
      <c r="E128" s="11"/>
      <c r="F128" s="14">
        <v>11.65</v>
      </c>
      <c r="G128" s="15" t="s">
        <v>13</v>
      </c>
      <c r="H128" s="11">
        <v>1</v>
      </c>
      <c r="I128" s="14">
        <v>13.98</v>
      </c>
      <c r="J128" s="11">
        <v>57.05</v>
      </c>
      <c r="K128" s="14">
        <v>797.56</v>
      </c>
    </row>
    <row r="129" spans="1:11" ht="14.5" x14ac:dyDescent="0.25">
      <c r="A129" s="10"/>
      <c r="B129" s="10"/>
      <c r="C129" s="10" t="s">
        <v>257</v>
      </c>
      <c r="D129" s="12"/>
      <c r="E129" s="11"/>
      <c r="F129" s="14">
        <v>0.5</v>
      </c>
      <c r="G129" s="15" t="s">
        <v>13</v>
      </c>
      <c r="H129" s="11">
        <v>1</v>
      </c>
      <c r="I129" s="14">
        <v>0.6</v>
      </c>
      <c r="J129" s="11">
        <v>17.399999999999999</v>
      </c>
      <c r="K129" s="14">
        <v>10.44</v>
      </c>
    </row>
    <row r="130" spans="1:11" ht="14.5" x14ac:dyDescent="0.25">
      <c r="A130" s="10"/>
      <c r="B130" s="10"/>
      <c r="C130" s="10" t="s">
        <v>258</v>
      </c>
      <c r="D130" s="12"/>
      <c r="E130" s="11"/>
      <c r="F130" s="14">
        <v>0.08</v>
      </c>
      <c r="G130" s="15" t="s">
        <v>13</v>
      </c>
      <c r="H130" s="11">
        <v>1</v>
      </c>
      <c r="I130" s="16">
        <v>0.1</v>
      </c>
      <c r="J130" s="11">
        <v>57.05</v>
      </c>
      <c r="K130" s="16">
        <v>5.71</v>
      </c>
    </row>
    <row r="131" spans="1:11" ht="14.5" x14ac:dyDescent="0.25">
      <c r="A131" s="10"/>
      <c r="B131" s="10"/>
      <c r="C131" s="10" t="s">
        <v>260</v>
      </c>
      <c r="D131" s="12" t="s">
        <v>261</v>
      </c>
      <c r="E131" s="11">
        <v>90</v>
      </c>
      <c r="F131" s="14"/>
      <c r="G131" s="13"/>
      <c r="H131" s="11"/>
      <c r="I131" s="14">
        <v>12.67</v>
      </c>
      <c r="J131" s="11">
        <v>90</v>
      </c>
      <c r="K131" s="14">
        <v>722.94</v>
      </c>
    </row>
    <row r="132" spans="1:11" ht="14.5" x14ac:dyDescent="0.25">
      <c r="A132" s="10"/>
      <c r="B132" s="10"/>
      <c r="C132" s="10" t="s">
        <v>262</v>
      </c>
      <c r="D132" s="12" t="s">
        <v>261</v>
      </c>
      <c r="E132" s="11">
        <v>46</v>
      </c>
      <c r="F132" s="14"/>
      <c r="G132" s="13"/>
      <c r="H132" s="11"/>
      <c r="I132" s="14">
        <v>6.48</v>
      </c>
      <c r="J132" s="11">
        <v>46</v>
      </c>
      <c r="K132" s="14">
        <v>369.5</v>
      </c>
    </row>
    <row r="133" spans="1:11" ht="14.5" x14ac:dyDescent="0.25">
      <c r="A133" s="17"/>
      <c r="B133" s="17"/>
      <c r="C133" s="17" t="s">
        <v>263</v>
      </c>
      <c r="D133" s="18" t="s">
        <v>264</v>
      </c>
      <c r="E133" s="19">
        <v>1.03</v>
      </c>
      <c r="F133" s="20"/>
      <c r="G133" s="21" t="s">
        <v>13</v>
      </c>
      <c r="H133" s="19">
        <v>1</v>
      </c>
      <c r="I133" s="20">
        <v>1.24</v>
      </c>
      <c r="J133" s="19"/>
      <c r="K133" s="20"/>
    </row>
    <row r="134" spans="1:11" ht="14" x14ac:dyDescent="0.25">
      <c r="C134" s="22" t="s">
        <v>265</v>
      </c>
      <c r="H134" s="143">
        <v>33.729999999999997</v>
      </c>
      <c r="I134" s="143"/>
      <c r="J134" s="143">
        <v>1900.44</v>
      </c>
      <c r="K134" s="143"/>
    </row>
    <row r="135" spans="1:11" ht="14" x14ac:dyDescent="0.25">
      <c r="C135" s="22" t="s">
        <v>267</v>
      </c>
      <c r="H135" s="141">
        <v>33.729999999999997</v>
      </c>
      <c r="I135" s="141"/>
      <c r="J135" s="141">
        <v>1900.44</v>
      </c>
      <c r="K135" s="141"/>
    </row>
    <row r="137" spans="1:11" ht="54" x14ac:dyDescent="0.25">
      <c r="A137" s="38">
        <v>17</v>
      </c>
      <c r="B137" s="38" t="s">
        <v>409</v>
      </c>
      <c r="C137" s="38" t="s">
        <v>2050</v>
      </c>
      <c r="D137" s="39" t="s">
        <v>11</v>
      </c>
      <c r="E137" s="40">
        <v>1</v>
      </c>
      <c r="F137" s="41">
        <v>189.02</v>
      </c>
      <c r="G137" s="42" t="s">
        <v>1</v>
      </c>
      <c r="H137" s="40">
        <v>1</v>
      </c>
      <c r="I137" s="41">
        <v>189.02</v>
      </c>
      <c r="J137" s="40">
        <v>7.54</v>
      </c>
      <c r="K137" s="41">
        <v>1425.21</v>
      </c>
    </row>
    <row r="138" spans="1:11" ht="14" x14ac:dyDescent="0.25">
      <c r="A138" s="43"/>
      <c r="B138" s="43"/>
      <c r="C138" s="44" t="s">
        <v>267</v>
      </c>
      <c r="D138" s="43"/>
      <c r="E138" s="43"/>
      <c r="F138" s="43"/>
      <c r="G138" s="43"/>
      <c r="H138" s="156">
        <v>189.02</v>
      </c>
      <c r="I138" s="156"/>
      <c r="J138" s="156">
        <v>1425.21</v>
      </c>
      <c r="K138" s="156"/>
    </row>
    <row r="140" spans="1:11" ht="79" x14ac:dyDescent="0.25">
      <c r="A140" s="10">
        <v>18</v>
      </c>
      <c r="B140" s="10" t="s">
        <v>1572</v>
      </c>
      <c r="C140" s="10" t="s">
        <v>1573</v>
      </c>
      <c r="D140" s="12" t="s">
        <v>1609</v>
      </c>
      <c r="E140" s="11">
        <v>3</v>
      </c>
      <c r="F140" s="14"/>
      <c r="G140" s="13"/>
      <c r="H140" s="11"/>
      <c r="I140" s="14"/>
      <c r="J140" s="11"/>
      <c r="K140" s="14"/>
    </row>
    <row r="141" spans="1:11" ht="14.5" x14ac:dyDescent="0.25">
      <c r="A141" s="10"/>
      <c r="B141" s="10"/>
      <c r="C141" s="10" t="s">
        <v>256</v>
      </c>
      <c r="D141" s="12"/>
      <c r="E141" s="11"/>
      <c r="F141" s="14">
        <v>1.45</v>
      </c>
      <c r="G141" s="15" t="s">
        <v>13</v>
      </c>
      <c r="H141" s="11">
        <v>1</v>
      </c>
      <c r="I141" s="14">
        <v>5.22</v>
      </c>
      <c r="J141" s="11">
        <v>57.05</v>
      </c>
      <c r="K141" s="14">
        <v>297.8</v>
      </c>
    </row>
    <row r="142" spans="1:11" ht="14.5" x14ac:dyDescent="0.25">
      <c r="A142" s="10"/>
      <c r="B142" s="10"/>
      <c r="C142" s="10" t="s">
        <v>260</v>
      </c>
      <c r="D142" s="12" t="s">
        <v>261</v>
      </c>
      <c r="E142" s="11">
        <v>90</v>
      </c>
      <c r="F142" s="14"/>
      <c r="G142" s="13"/>
      <c r="H142" s="11"/>
      <c r="I142" s="14">
        <v>4.7</v>
      </c>
      <c r="J142" s="11">
        <v>90</v>
      </c>
      <c r="K142" s="14">
        <v>268.02</v>
      </c>
    </row>
    <row r="143" spans="1:11" ht="14.5" x14ac:dyDescent="0.25">
      <c r="A143" s="10"/>
      <c r="B143" s="10"/>
      <c r="C143" s="10" t="s">
        <v>262</v>
      </c>
      <c r="D143" s="12" t="s">
        <v>261</v>
      </c>
      <c r="E143" s="11">
        <v>46</v>
      </c>
      <c r="F143" s="14"/>
      <c r="G143" s="13"/>
      <c r="H143" s="11"/>
      <c r="I143" s="14">
        <v>2.4</v>
      </c>
      <c r="J143" s="11">
        <v>46</v>
      </c>
      <c r="K143" s="14">
        <v>136.99</v>
      </c>
    </row>
    <row r="144" spans="1:11" ht="14.5" x14ac:dyDescent="0.25">
      <c r="A144" s="17"/>
      <c r="B144" s="17"/>
      <c r="C144" s="17" t="s">
        <v>263</v>
      </c>
      <c r="D144" s="18" t="s">
        <v>264</v>
      </c>
      <c r="E144" s="19">
        <v>0.13</v>
      </c>
      <c r="F144" s="20"/>
      <c r="G144" s="21" t="s">
        <v>13</v>
      </c>
      <c r="H144" s="19">
        <v>1</v>
      </c>
      <c r="I144" s="20">
        <v>0.47</v>
      </c>
      <c r="J144" s="19"/>
      <c r="K144" s="20"/>
    </row>
    <row r="145" spans="1:11" ht="14" x14ac:dyDescent="0.25">
      <c r="C145" s="22" t="s">
        <v>265</v>
      </c>
      <c r="H145" s="143">
        <v>12.32</v>
      </c>
      <c r="I145" s="143"/>
      <c r="J145" s="143">
        <v>702.81</v>
      </c>
      <c r="K145" s="143"/>
    </row>
    <row r="146" spans="1:11" ht="14" x14ac:dyDescent="0.25">
      <c r="C146" s="22" t="s">
        <v>267</v>
      </c>
      <c r="H146" s="141">
        <v>12.32</v>
      </c>
      <c r="I146" s="141"/>
      <c r="J146" s="141">
        <v>702.81</v>
      </c>
      <c r="K146" s="141"/>
    </row>
    <row r="148" spans="1:11" ht="68" x14ac:dyDescent="0.25">
      <c r="A148" s="17">
        <v>19</v>
      </c>
      <c r="B148" s="17" t="s">
        <v>409</v>
      </c>
      <c r="C148" s="17" t="s">
        <v>2051</v>
      </c>
      <c r="D148" s="18" t="s">
        <v>11</v>
      </c>
      <c r="E148" s="19">
        <v>3</v>
      </c>
      <c r="F148" s="20">
        <v>55.2</v>
      </c>
      <c r="G148" s="21" t="s">
        <v>1</v>
      </c>
      <c r="H148" s="19">
        <v>1</v>
      </c>
      <c r="I148" s="20">
        <v>165.6</v>
      </c>
      <c r="J148" s="19">
        <v>7.54</v>
      </c>
      <c r="K148" s="20">
        <v>1248.6199999999999</v>
      </c>
    </row>
    <row r="149" spans="1:11" ht="14" x14ac:dyDescent="0.25">
      <c r="C149" s="22" t="s">
        <v>267</v>
      </c>
      <c r="H149" s="143">
        <v>165.6</v>
      </c>
      <c r="I149" s="143"/>
      <c r="J149" s="143">
        <v>1248.6199999999999</v>
      </c>
      <c r="K149" s="143"/>
    </row>
    <row r="151" spans="1:11" ht="79" x14ac:dyDescent="0.25">
      <c r="A151" s="10">
        <v>20</v>
      </c>
      <c r="B151" s="10" t="s">
        <v>998</v>
      </c>
      <c r="C151" s="10" t="s">
        <v>999</v>
      </c>
      <c r="D151" s="12" t="s">
        <v>24</v>
      </c>
      <c r="E151" s="11">
        <v>1</v>
      </c>
      <c r="F151" s="14"/>
      <c r="G151" s="13"/>
      <c r="H151" s="11"/>
      <c r="I151" s="14"/>
      <c r="J151" s="11"/>
      <c r="K151" s="14"/>
    </row>
    <row r="152" spans="1:11" ht="14.5" x14ac:dyDescent="0.25">
      <c r="A152" s="10"/>
      <c r="B152" s="10"/>
      <c r="C152" s="10" t="s">
        <v>256</v>
      </c>
      <c r="D152" s="12"/>
      <c r="E152" s="11"/>
      <c r="F152" s="14">
        <v>18.940000000000001</v>
      </c>
      <c r="G152" s="15" t="s">
        <v>13</v>
      </c>
      <c r="H152" s="11">
        <v>1</v>
      </c>
      <c r="I152" s="14">
        <v>22.73</v>
      </c>
      <c r="J152" s="11">
        <v>57.05</v>
      </c>
      <c r="K152" s="14">
        <v>1296.75</v>
      </c>
    </row>
    <row r="153" spans="1:11" ht="14.5" x14ac:dyDescent="0.25">
      <c r="A153" s="10"/>
      <c r="B153" s="10"/>
      <c r="C153" s="10" t="s">
        <v>257</v>
      </c>
      <c r="D153" s="12"/>
      <c r="E153" s="11"/>
      <c r="F153" s="14">
        <v>0.02</v>
      </c>
      <c r="G153" s="15" t="s">
        <v>13</v>
      </c>
      <c r="H153" s="11">
        <v>1</v>
      </c>
      <c r="I153" s="14">
        <v>0.02</v>
      </c>
      <c r="J153" s="11">
        <v>13.5</v>
      </c>
      <c r="K153" s="14">
        <v>0.27</v>
      </c>
    </row>
    <row r="154" spans="1:11" ht="14.5" x14ac:dyDescent="0.25">
      <c r="A154" s="10"/>
      <c r="B154" s="10"/>
      <c r="C154" s="10" t="s">
        <v>259</v>
      </c>
      <c r="D154" s="12"/>
      <c r="E154" s="11"/>
      <c r="F154" s="14">
        <v>2.34</v>
      </c>
      <c r="G154" s="15" t="s">
        <v>1</v>
      </c>
      <c r="H154" s="11">
        <v>1</v>
      </c>
      <c r="I154" s="14">
        <v>2.34</v>
      </c>
      <c r="J154" s="11">
        <v>9.91</v>
      </c>
      <c r="K154" s="14">
        <v>23.19</v>
      </c>
    </row>
    <row r="155" spans="1:11" ht="14.5" x14ac:dyDescent="0.25">
      <c r="A155" s="10"/>
      <c r="B155" s="10"/>
      <c r="C155" s="10" t="s">
        <v>260</v>
      </c>
      <c r="D155" s="12" t="s">
        <v>261</v>
      </c>
      <c r="E155" s="11">
        <v>90</v>
      </c>
      <c r="F155" s="14"/>
      <c r="G155" s="13"/>
      <c r="H155" s="11"/>
      <c r="I155" s="14">
        <v>20.46</v>
      </c>
      <c r="J155" s="11">
        <v>90</v>
      </c>
      <c r="K155" s="14">
        <v>1167.08</v>
      </c>
    </row>
    <row r="156" spans="1:11" ht="14.5" x14ac:dyDescent="0.25">
      <c r="A156" s="10"/>
      <c r="B156" s="10"/>
      <c r="C156" s="10" t="s">
        <v>262</v>
      </c>
      <c r="D156" s="12" t="s">
        <v>261</v>
      </c>
      <c r="E156" s="11">
        <v>46</v>
      </c>
      <c r="F156" s="14"/>
      <c r="G156" s="13"/>
      <c r="H156" s="11"/>
      <c r="I156" s="14">
        <v>10.46</v>
      </c>
      <c r="J156" s="11">
        <v>46</v>
      </c>
      <c r="K156" s="14">
        <v>596.51</v>
      </c>
    </row>
    <row r="157" spans="1:11" ht="14.5" x14ac:dyDescent="0.25">
      <c r="A157" s="17"/>
      <c r="B157" s="17"/>
      <c r="C157" s="17" t="s">
        <v>263</v>
      </c>
      <c r="D157" s="18" t="s">
        <v>264</v>
      </c>
      <c r="E157" s="19">
        <v>1.36</v>
      </c>
      <c r="F157" s="20"/>
      <c r="G157" s="21" t="s">
        <v>13</v>
      </c>
      <c r="H157" s="19">
        <v>1</v>
      </c>
      <c r="I157" s="20">
        <v>1.63</v>
      </c>
      <c r="J157" s="19"/>
      <c r="K157" s="20"/>
    </row>
    <row r="158" spans="1:11" ht="14" x14ac:dyDescent="0.25">
      <c r="C158" s="22" t="s">
        <v>265</v>
      </c>
      <c r="H158" s="143">
        <v>56.01</v>
      </c>
      <c r="I158" s="143"/>
      <c r="J158" s="143">
        <v>3083.8</v>
      </c>
      <c r="K158" s="143"/>
    </row>
    <row r="159" spans="1:11" ht="14" x14ac:dyDescent="0.25">
      <c r="C159" s="22" t="s">
        <v>267</v>
      </c>
      <c r="H159" s="141">
        <v>56.01</v>
      </c>
      <c r="I159" s="141"/>
      <c r="J159" s="141">
        <v>3083.8</v>
      </c>
      <c r="K159" s="141"/>
    </row>
    <row r="161" spans="1:11" ht="54" x14ac:dyDescent="0.25">
      <c r="A161" s="38">
        <v>21</v>
      </c>
      <c r="B161" s="38" t="s">
        <v>409</v>
      </c>
      <c r="C161" s="38" t="s">
        <v>2052</v>
      </c>
      <c r="D161" s="39" t="s">
        <v>11</v>
      </c>
      <c r="E161" s="40">
        <v>1</v>
      </c>
      <c r="F161" s="41">
        <v>4549.59</v>
      </c>
      <c r="G161" s="42" t="s">
        <v>1</v>
      </c>
      <c r="H161" s="40">
        <v>1</v>
      </c>
      <c r="I161" s="41">
        <v>4549.59</v>
      </c>
      <c r="J161" s="40">
        <v>7.54</v>
      </c>
      <c r="K161" s="41">
        <v>34303.910000000003</v>
      </c>
    </row>
    <row r="162" spans="1:11" ht="14" x14ac:dyDescent="0.25">
      <c r="A162" s="43"/>
      <c r="B162" s="43"/>
      <c r="C162" s="44" t="s">
        <v>267</v>
      </c>
      <c r="D162" s="43"/>
      <c r="E162" s="43"/>
      <c r="F162" s="43"/>
      <c r="G162" s="43"/>
      <c r="H162" s="156">
        <v>4549.59</v>
      </c>
      <c r="I162" s="156"/>
      <c r="J162" s="156">
        <v>34303.910000000003</v>
      </c>
      <c r="K162" s="156"/>
    </row>
    <row r="164" spans="1:11" ht="79" x14ac:dyDescent="0.25">
      <c r="A164" s="10">
        <v>22</v>
      </c>
      <c r="B164" s="10" t="s">
        <v>1583</v>
      </c>
      <c r="C164" s="10" t="s">
        <v>1584</v>
      </c>
      <c r="D164" s="12" t="s">
        <v>24</v>
      </c>
      <c r="E164" s="11">
        <v>1</v>
      </c>
      <c r="F164" s="14"/>
      <c r="G164" s="13"/>
      <c r="H164" s="11"/>
      <c r="I164" s="14"/>
      <c r="J164" s="11"/>
      <c r="K164" s="14"/>
    </row>
    <row r="165" spans="1:11" ht="14.5" x14ac:dyDescent="0.25">
      <c r="A165" s="10"/>
      <c r="B165" s="10"/>
      <c r="C165" s="10" t="s">
        <v>256</v>
      </c>
      <c r="D165" s="12"/>
      <c r="E165" s="11"/>
      <c r="F165" s="14">
        <v>78.239999999999995</v>
      </c>
      <c r="G165" s="15" t="s">
        <v>13</v>
      </c>
      <c r="H165" s="11">
        <v>1</v>
      </c>
      <c r="I165" s="14">
        <v>93.89</v>
      </c>
      <c r="J165" s="11">
        <v>57.05</v>
      </c>
      <c r="K165" s="14">
        <v>5356.42</v>
      </c>
    </row>
    <row r="166" spans="1:11" ht="14.5" x14ac:dyDescent="0.25">
      <c r="A166" s="10"/>
      <c r="B166" s="10"/>
      <c r="C166" s="10" t="s">
        <v>257</v>
      </c>
      <c r="D166" s="12"/>
      <c r="E166" s="11"/>
      <c r="F166" s="14">
        <v>28.71</v>
      </c>
      <c r="G166" s="15" t="s">
        <v>13</v>
      </c>
      <c r="H166" s="11">
        <v>1</v>
      </c>
      <c r="I166" s="14">
        <v>34.450000000000003</v>
      </c>
      <c r="J166" s="11">
        <v>16.510000000000002</v>
      </c>
      <c r="K166" s="14">
        <v>568.77</v>
      </c>
    </row>
    <row r="167" spans="1:11" ht="14.5" x14ac:dyDescent="0.25">
      <c r="A167" s="10"/>
      <c r="B167" s="10"/>
      <c r="C167" s="10" t="s">
        <v>258</v>
      </c>
      <c r="D167" s="12"/>
      <c r="E167" s="11"/>
      <c r="F167" s="14">
        <v>3.16</v>
      </c>
      <c r="G167" s="15" t="s">
        <v>13</v>
      </c>
      <c r="H167" s="11">
        <v>1</v>
      </c>
      <c r="I167" s="16">
        <v>3.79</v>
      </c>
      <c r="J167" s="11">
        <v>57.05</v>
      </c>
      <c r="K167" s="16">
        <v>216.22</v>
      </c>
    </row>
    <row r="168" spans="1:11" ht="14.5" x14ac:dyDescent="0.25">
      <c r="A168" s="10"/>
      <c r="B168" s="10"/>
      <c r="C168" s="10" t="s">
        <v>259</v>
      </c>
      <c r="D168" s="12"/>
      <c r="E168" s="11"/>
      <c r="F168" s="14">
        <v>12.35</v>
      </c>
      <c r="G168" s="15" t="s">
        <v>1</v>
      </c>
      <c r="H168" s="11">
        <v>1</v>
      </c>
      <c r="I168" s="14">
        <v>12.35</v>
      </c>
      <c r="J168" s="11">
        <v>14.64</v>
      </c>
      <c r="K168" s="14">
        <v>180.8</v>
      </c>
    </row>
    <row r="169" spans="1:11" ht="14.5" x14ac:dyDescent="0.25">
      <c r="A169" s="10"/>
      <c r="B169" s="10"/>
      <c r="C169" s="10" t="s">
        <v>260</v>
      </c>
      <c r="D169" s="12" t="s">
        <v>261</v>
      </c>
      <c r="E169" s="11">
        <v>90</v>
      </c>
      <c r="F169" s="14"/>
      <c r="G169" s="13"/>
      <c r="H169" s="11"/>
      <c r="I169" s="14">
        <v>87.91</v>
      </c>
      <c r="J169" s="11">
        <v>90</v>
      </c>
      <c r="K169" s="14">
        <v>5015.38</v>
      </c>
    </row>
    <row r="170" spans="1:11" ht="14.5" x14ac:dyDescent="0.25">
      <c r="A170" s="10"/>
      <c r="B170" s="10"/>
      <c r="C170" s="10" t="s">
        <v>262</v>
      </c>
      <c r="D170" s="12" t="s">
        <v>261</v>
      </c>
      <c r="E170" s="11">
        <v>46</v>
      </c>
      <c r="F170" s="14"/>
      <c r="G170" s="13"/>
      <c r="H170" s="11"/>
      <c r="I170" s="14">
        <v>44.93</v>
      </c>
      <c r="J170" s="11">
        <v>46</v>
      </c>
      <c r="K170" s="14">
        <v>2563.41</v>
      </c>
    </row>
    <row r="171" spans="1:11" ht="14.5" x14ac:dyDescent="0.25">
      <c r="A171" s="17"/>
      <c r="B171" s="17"/>
      <c r="C171" s="17" t="s">
        <v>263</v>
      </c>
      <c r="D171" s="18" t="s">
        <v>264</v>
      </c>
      <c r="E171" s="19">
        <v>6.2</v>
      </c>
      <c r="F171" s="20"/>
      <c r="G171" s="21" t="s">
        <v>13</v>
      </c>
      <c r="H171" s="19">
        <v>1</v>
      </c>
      <c r="I171" s="20">
        <v>7.44</v>
      </c>
      <c r="J171" s="19"/>
      <c r="K171" s="20"/>
    </row>
    <row r="172" spans="1:11" ht="14" x14ac:dyDescent="0.25">
      <c r="C172" s="22" t="s">
        <v>265</v>
      </c>
      <c r="H172" s="143">
        <v>273.52999999999997</v>
      </c>
      <c r="I172" s="143"/>
      <c r="J172" s="143">
        <v>13684.78</v>
      </c>
      <c r="K172" s="143"/>
    </row>
    <row r="173" spans="1:11" ht="14" x14ac:dyDescent="0.25">
      <c r="C173" s="22" t="s">
        <v>267</v>
      </c>
      <c r="H173" s="141">
        <v>273.52999999999997</v>
      </c>
      <c r="I173" s="141"/>
      <c r="J173" s="141">
        <v>13684.78</v>
      </c>
      <c r="K173" s="141"/>
    </row>
    <row r="175" spans="1:11" ht="54" x14ac:dyDescent="0.25">
      <c r="A175" s="17">
        <v>23</v>
      </c>
      <c r="B175" s="17" t="s">
        <v>409</v>
      </c>
      <c r="C175" s="17" t="s">
        <v>1699</v>
      </c>
      <c r="D175" s="18" t="s">
        <v>11</v>
      </c>
      <c r="E175" s="19">
        <v>1</v>
      </c>
      <c r="F175" s="20">
        <v>1698.59</v>
      </c>
      <c r="G175" s="21" t="s">
        <v>1</v>
      </c>
      <c r="H175" s="19">
        <v>1</v>
      </c>
      <c r="I175" s="20">
        <v>1698.59</v>
      </c>
      <c r="J175" s="19">
        <v>7.54</v>
      </c>
      <c r="K175" s="20">
        <v>12807.37</v>
      </c>
    </row>
    <row r="176" spans="1:11" ht="14" x14ac:dyDescent="0.25">
      <c r="C176" s="22" t="s">
        <v>267</v>
      </c>
      <c r="H176" s="143">
        <v>1698.59</v>
      </c>
      <c r="I176" s="143"/>
      <c r="J176" s="143">
        <v>12807.37</v>
      </c>
      <c r="K176" s="143"/>
    </row>
    <row r="179" spans="1:11" ht="14" x14ac:dyDescent="0.3">
      <c r="A179" s="140" t="s">
        <v>1062</v>
      </c>
      <c r="B179" s="140"/>
      <c r="C179" s="140"/>
      <c r="D179" s="140"/>
      <c r="E179" s="140"/>
      <c r="F179" s="140"/>
      <c r="G179" s="140"/>
      <c r="H179" s="141">
        <v>212902.63</v>
      </c>
      <c r="I179" s="142"/>
      <c r="J179" s="141">
        <v>2291170.4500000002</v>
      </c>
      <c r="K179" s="142"/>
    </row>
    <row r="181" spans="1:11" ht="16.5" x14ac:dyDescent="0.25">
      <c r="A181" s="144" t="s">
        <v>951</v>
      </c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</row>
    <row r="182" spans="1:11" ht="79" x14ac:dyDescent="0.25">
      <c r="A182" s="10">
        <v>24</v>
      </c>
      <c r="B182" s="10" t="s">
        <v>1003</v>
      </c>
      <c r="C182" s="10" t="s">
        <v>1004</v>
      </c>
      <c r="D182" s="12" t="s">
        <v>50</v>
      </c>
      <c r="E182" s="11">
        <v>2</v>
      </c>
      <c r="F182" s="14"/>
      <c r="G182" s="13"/>
      <c r="H182" s="11"/>
      <c r="I182" s="14"/>
      <c r="J182" s="11"/>
      <c r="K182" s="14"/>
    </row>
    <row r="183" spans="1:11" x14ac:dyDescent="0.25">
      <c r="C183" s="23" t="s">
        <v>400</v>
      </c>
    </row>
    <row r="184" spans="1:11" ht="14.5" x14ac:dyDescent="0.25">
      <c r="A184" s="10"/>
      <c r="B184" s="10"/>
      <c r="C184" s="10" t="s">
        <v>256</v>
      </c>
      <c r="D184" s="12"/>
      <c r="E184" s="11"/>
      <c r="F184" s="14">
        <v>185.09</v>
      </c>
      <c r="G184" s="15" t="s">
        <v>13</v>
      </c>
      <c r="H184" s="11">
        <v>1</v>
      </c>
      <c r="I184" s="14">
        <v>444.22</v>
      </c>
      <c r="J184" s="11">
        <v>57.05</v>
      </c>
      <c r="K184" s="14">
        <v>25342.75</v>
      </c>
    </row>
    <row r="185" spans="1:11" ht="14.5" x14ac:dyDescent="0.25">
      <c r="A185" s="10"/>
      <c r="B185" s="10"/>
      <c r="C185" s="10" t="s">
        <v>257</v>
      </c>
      <c r="D185" s="12"/>
      <c r="E185" s="11"/>
      <c r="F185" s="14">
        <v>32.74</v>
      </c>
      <c r="G185" s="15" t="s">
        <v>13</v>
      </c>
      <c r="H185" s="11">
        <v>1</v>
      </c>
      <c r="I185" s="14">
        <v>78.58</v>
      </c>
      <c r="J185" s="11">
        <v>18.920000000000002</v>
      </c>
      <c r="K185" s="14">
        <v>1486.73</v>
      </c>
    </row>
    <row r="186" spans="1:11" ht="14.5" x14ac:dyDescent="0.25">
      <c r="A186" s="10"/>
      <c r="B186" s="10"/>
      <c r="C186" s="10" t="s">
        <v>258</v>
      </c>
      <c r="D186" s="12"/>
      <c r="E186" s="11"/>
      <c r="F186" s="14">
        <v>5.46</v>
      </c>
      <c r="G186" s="15" t="s">
        <v>13</v>
      </c>
      <c r="H186" s="11">
        <v>1</v>
      </c>
      <c r="I186" s="16">
        <v>13.1</v>
      </c>
      <c r="J186" s="11">
        <v>57.05</v>
      </c>
      <c r="K186" s="16">
        <v>747.36</v>
      </c>
    </row>
    <row r="187" spans="1:11" ht="14.5" x14ac:dyDescent="0.25">
      <c r="A187" s="10"/>
      <c r="B187" s="10"/>
      <c r="C187" s="10" t="s">
        <v>259</v>
      </c>
      <c r="D187" s="12"/>
      <c r="E187" s="11"/>
      <c r="F187" s="14">
        <v>343.03</v>
      </c>
      <c r="G187" s="15" t="s">
        <v>1</v>
      </c>
      <c r="H187" s="11">
        <v>1</v>
      </c>
      <c r="I187" s="14">
        <v>686.06</v>
      </c>
      <c r="J187" s="11">
        <v>10.18</v>
      </c>
      <c r="K187" s="14">
        <v>6984.09</v>
      </c>
    </row>
    <row r="188" spans="1:11" ht="42" x14ac:dyDescent="0.25">
      <c r="A188" s="10" t="s">
        <v>42</v>
      </c>
      <c r="B188" s="10" t="s">
        <v>1026</v>
      </c>
      <c r="C188" s="10" t="s">
        <v>1006</v>
      </c>
      <c r="D188" s="12" t="s">
        <v>52</v>
      </c>
      <c r="E188" s="11">
        <v>204</v>
      </c>
      <c r="F188" s="14">
        <v>2.67</v>
      </c>
      <c r="G188" s="15" t="s">
        <v>1</v>
      </c>
      <c r="H188" s="11">
        <v>1</v>
      </c>
      <c r="I188" s="14">
        <v>544.67999999999995</v>
      </c>
      <c r="J188" s="11">
        <v>3.77</v>
      </c>
      <c r="K188" s="14">
        <v>2053.44</v>
      </c>
    </row>
    <row r="189" spans="1:11" ht="42" x14ac:dyDescent="0.25">
      <c r="A189" s="10" t="s">
        <v>1674</v>
      </c>
      <c r="B189" s="10" t="s">
        <v>1687</v>
      </c>
      <c r="C189" s="10" t="s">
        <v>1675</v>
      </c>
      <c r="D189" s="12" t="s">
        <v>34</v>
      </c>
      <c r="E189" s="11">
        <v>6</v>
      </c>
      <c r="F189" s="14">
        <v>135.68</v>
      </c>
      <c r="G189" s="15" t="s">
        <v>1</v>
      </c>
      <c r="H189" s="11">
        <v>1</v>
      </c>
      <c r="I189" s="14">
        <v>814.08</v>
      </c>
      <c r="J189" s="11">
        <v>1.51</v>
      </c>
      <c r="K189" s="14">
        <v>1229.26</v>
      </c>
    </row>
    <row r="190" spans="1:11" ht="14.5" x14ac:dyDescent="0.25">
      <c r="A190" s="10"/>
      <c r="B190" s="10"/>
      <c r="C190" s="10" t="s">
        <v>260</v>
      </c>
      <c r="D190" s="12" t="s">
        <v>261</v>
      </c>
      <c r="E190" s="11">
        <v>97</v>
      </c>
      <c r="F190" s="14"/>
      <c r="G190" s="13"/>
      <c r="H190" s="11"/>
      <c r="I190" s="14">
        <v>443.6</v>
      </c>
      <c r="J190" s="11">
        <v>97</v>
      </c>
      <c r="K190" s="14">
        <v>25307.41</v>
      </c>
    </row>
    <row r="191" spans="1:11" ht="14.5" x14ac:dyDescent="0.25">
      <c r="A191" s="10"/>
      <c r="B191" s="10"/>
      <c r="C191" s="10" t="s">
        <v>262</v>
      </c>
      <c r="D191" s="12" t="s">
        <v>261</v>
      </c>
      <c r="E191" s="11">
        <v>51</v>
      </c>
      <c r="F191" s="14"/>
      <c r="G191" s="13"/>
      <c r="H191" s="11"/>
      <c r="I191" s="14">
        <v>233.23</v>
      </c>
      <c r="J191" s="11">
        <v>51</v>
      </c>
      <c r="K191" s="14">
        <v>13305.96</v>
      </c>
    </row>
    <row r="192" spans="1:11" ht="14.5" x14ac:dyDescent="0.25">
      <c r="A192" s="17"/>
      <c r="B192" s="17"/>
      <c r="C192" s="17" t="s">
        <v>263</v>
      </c>
      <c r="D192" s="18" t="s">
        <v>264</v>
      </c>
      <c r="E192" s="19">
        <v>14.37</v>
      </c>
      <c r="F192" s="20"/>
      <c r="G192" s="21" t="s">
        <v>13</v>
      </c>
      <c r="H192" s="19">
        <v>1</v>
      </c>
      <c r="I192" s="20">
        <v>34.49</v>
      </c>
      <c r="J192" s="19"/>
      <c r="K192" s="20"/>
    </row>
    <row r="193" spans="1:11" ht="14" x14ac:dyDescent="0.25">
      <c r="C193" s="22" t="s">
        <v>265</v>
      </c>
      <c r="H193" s="143">
        <v>3244.45</v>
      </c>
      <c r="I193" s="143"/>
      <c r="J193" s="143">
        <v>75709.64</v>
      </c>
      <c r="K193" s="143"/>
    </row>
    <row r="194" spans="1:11" ht="14" x14ac:dyDescent="0.25">
      <c r="C194" s="22" t="s">
        <v>267</v>
      </c>
      <c r="H194" s="141">
        <v>3244.45</v>
      </c>
      <c r="I194" s="141"/>
      <c r="J194" s="141">
        <v>75709.64</v>
      </c>
      <c r="K194" s="141"/>
    </row>
    <row r="196" spans="1:11" ht="79" x14ac:dyDescent="0.25">
      <c r="A196" s="10">
        <v>25</v>
      </c>
      <c r="B196" s="10" t="s">
        <v>287</v>
      </c>
      <c r="C196" s="10" t="s">
        <v>91</v>
      </c>
      <c r="D196" s="12" t="s">
        <v>50</v>
      </c>
      <c r="E196" s="11">
        <v>5.4</v>
      </c>
      <c r="F196" s="14"/>
      <c r="G196" s="13"/>
      <c r="H196" s="11"/>
      <c r="I196" s="14"/>
      <c r="J196" s="11"/>
      <c r="K196" s="14"/>
    </row>
    <row r="197" spans="1:11" x14ac:dyDescent="0.25">
      <c r="C197" s="23" t="s">
        <v>1688</v>
      </c>
    </row>
    <row r="198" spans="1:11" ht="14.5" x14ac:dyDescent="0.25">
      <c r="A198" s="10"/>
      <c r="B198" s="10"/>
      <c r="C198" s="10" t="s">
        <v>256</v>
      </c>
      <c r="D198" s="12"/>
      <c r="E198" s="11"/>
      <c r="F198" s="14">
        <v>192.26</v>
      </c>
      <c r="G198" s="15" t="s">
        <v>13</v>
      </c>
      <c r="H198" s="11">
        <v>1</v>
      </c>
      <c r="I198" s="14">
        <v>1245.8399999999999</v>
      </c>
      <c r="J198" s="11">
        <v>57.05</v>
      </c>
      <c r="K198" s="14">
        <v>71075.17</v>
      </c>
    </row>
    <row r="199" spans="1:11" ht="14.5" x14ac:dyDescent="0.25">
      <c r="A199" s="10"/>
      <c r="B199" s="10"/>
      <c r="C199" s="10" t="s">
        <v>257</v>
      </c>
      <c r="D199" s="12"/>
      <c r="E199" s="11"/>
      <c r="F199" s="14">
        <v>32.869999999999997</v>
      </c>
      <c r="G199" s="15" t="s">
        <v>13</v>
      </c>
      <c r="H199" s="11">
        <v>1</v>
      </c>
      <c r="I199" s="14">
        <v>213</v>
      </c>
      <c r="J199" s="11">
        <v>19.239999999999998</v>
      </c>
      <c r="K199" s="14">
        <v>4098.12</v>
      </c>
    </row>
    <row r="200" spans="1:11" ht="14.5" x14ac:dyDescent="0.25">
      <c r="A200" s="10"/>
      <c r="B200" s="10"/>
      <c r="C200" s="10" t="s">
        <v>258</v>
      </c>
      <c r="D200" s="12"/>
      <c r="E200" s="11"/>
      <c r="F200" s="14">
        <v>5.71</v>
      </c>
      <c r="G200" s="15" t="s">
        <v>13</v>
      </c>
      <c r="H200" s="11">
        <v>1</v>
      </c>
      <c r="I200" s="16">
        <v>37</v>
      </c>
      <c r="J200" s="11">
        <v>57.05</v>
      </c>
      <c r="K200" s="16">
        <v>2110.85</v>
      </c>
    </row>
    <row r="201" spans="1:11" ht="14.5" x14ac:dyDescent="0.25">
      <c r="A201" s="10"/>
      <c r="B201" s="10"/>
      <c r="C201" s="10" t="s">
        <v>259</v>
      </c>
      <c r="D201" s="12"/>
      <c r="E201" s="11"/>
      <c r="F201" s="14">
        <v>314.29000000000002</v>
      </c>
      <c r="G201" s="15" t="s">
        <v>1</v>
      </c>
      <c r="H201" s="11">
        <v>1</v>
      </c>
      <c r="I201" s="14">
        <v>1697.17</v>
      </c>
      <c r="J201" s="11">
        <v>10.18</v>
      </c>
      <c r="K201" s="14">
        <v>17277.189999999999</v>
      </c>
    </row>
    <row r="202" spans="1:11" ht="42" x14ac:dyDescent="0.25">
      <c r="A202" s="10" t="s">
        <v>1054</v>
      </c>
      <c r="B202" s="10" t="s">
        <v>93</v>
      </c>
      <c r="C202" s="10" t="s">
        <v>94</v>
      </c>
      <c r="D202" s="12" t="s">
        <v>52</v>
      </c>
      <c r="E202" s="11">
        <v>550.79999999999995</v>
      </c>
      <c r="F202" s="14">
        <v>3.45</v>
      </c>
      <c r="G202" s="15" t="s">
        <v>1</v>
      </c>
      <c r="H202" s="11">
        <v>1</v>
      </c>
      <c r="I202" s="14">
        <v>1900.26</v>
      </c>
      <c r="J202" s="11">
        <v>3.85</v>
      </c>
      <c r="K202" s="14">
        <v>7316</v>
      </c>
    </row>
    <row r="203" spans="1:11" ht="42" x14ac:dyDescent="0.25">
      <c r="A203" s="10" t="s">
        <v>1055</v>
      </c>
      <c r="B203" s="10" t="s">
        <v>1564</v>
      </c>
      <c r="C203" s="10" t="s">
        <v>1556</v>
      </c>
      <c r="D203" s="12" t="s">
        <v>34</v>
      </c>
      <c r="E203" s="11">
        <v>16.2</v>
      </c>
      <c r="F203" s="14">
        <v>146.88999999999999</v>
      </c>
      <c r="G203" s="15" t="s">
        <v>1</v>
      </c>
      <c r="H203" s="11">
        <v>1</v>
      </c>
      <c r="I203" s="14">
        <v>2379.62</v>
      </c>
      <c r="J203" s="11">
        <v>1.77</v>
      </c>
      <c r="K203" s="14">
        <v>4211.93</v>
      </c>
    </row>
    <row r="204" spans="1:11" ht="14.5" x14ac:dyDescent="0.25">
      <c r="A204" s="10"/>
      <c r="B204" s="10"/>
      <c r="C204" s="10" t="s">
        <v>260</v>
      </c>
      <c r="D204" s="12" t="s">
        <v>261</v>
      </c>
      <c r="E204" s="11">
        <v>97</v>
      </c>
      <c r="F204" s="14"/>
      <c r="G204" s="13"/>
      <c r="H204" s="11"/>
      <c r="I204" s="14">
        <v>1244.3499999999999</v>
      </c>
      <c r="J204" s="11">
        <v>97</v>
      </c>
      <c r="K204" s="14">
        <v>70990.44</v>
      </c>
    </row>
    <row r="205" spans="1:11" ht="14.5" x14ac:dyDescent="0.25">
      <c r="A205" s="10"/>
      <c r="B205" s="10"/>
      <c r="C205" s="10" t="s">
        <v>262</v>
      </c>
      <c r="D205" s="12" t="s">
        <v>261</v>
      </c>
      <c r="E205" s="11">
        <v>51</v>
      </c>
      <c r="F205" s="14"/>
      <c r="G205" s="13"/>
      <c r="H205" s="11"/>
      <c r="I205" s="14">
        <v>654.25</v>
      </c>
      <c r="J205" s="11">
        <v>51</v>
      </c>
      <c r="K205" s="14">
        <v>37324.870000000003</v>
      </c>
    </row>
    <row r="206" spans="1:11" ht="14.5" x14ac:dyDescent="0.25">
      <c r="A206" s="17"/>
      <c r="B206" s="17"/>
      <c r="C206" s="17" t="s">
        <v>263</v>
      </c>
      <c r="D206" s="18" t="s">
        <v>264</v>
      </c>
      <c r="E206" s="19">
        <v>15</v>
      </c>
      <c r="F206" s="20"/>
      <c r="G206" s="21" t="s">
        <v>13</v>
      </c>
      <c r="H206" s="19">
        <v>1</v>
      </c>
      <c r="I206" s="20">
        <v>97.2</v>
      </c>
      <c r="J206" s="19"/>
      <c r="K206" s="20"/>
    </row>
    <row r="207" spans="1:11" ht="14" x14ac:dyDescent="0.25">
      <c r="C207" s="22" t="s">
        <v>265</v>
      </c>
      <c r="H207" s="143">
        <v>9334.49</v>
      </c>
      <c r="I207" s="143"/>
      <c r="J207" s="143">
        <v>212293.72</v>
      </c>
      <c r="K207" s="143"/>
    </row>
    <row r="208" spans="1:11" ht="14" x14ac:dyDescent="0.25">
      <c r="C208" s="22" t="s">
        <v>267</v>
      </c>
      <c r="H208" s="141">
        <v>9334.49</v>
      </c>
      <c r="I208" s="141"/>
      <c r="J208" s="141">
        <v>212293.72</v>
      </c>
      <c r="K208" s="141"/>
    </row>
    <row r="210" spans="1:11" ht="28" x14ac:dyDescent="0.25">
      <c r="A210" s="17">
        <v>26</v>
      </c>
      <c r="B210" s="17" t="s">
        <v>964</v>
      </c>
      <c r="C210" s="17" t="s">
        <v>940</v>
      </c>
      <c r="D210" s="18" t="s">
        <v>9</v>
      </c>
      <c r="E210" s="19">
        <v>1</v>
      </c>
      <c r="F210" s="20">
        <v>42.53</v>
      </c>
      <c r="G210" s="21" t="s">
        <v>1</v>
      </c>
      <c r="H210" s="19">
        <v>1</v>
      </c>
      <c r="I210" s="20">
        <v>42.53</v>
      </c>
      <c r="J210" s="19">
        <v>4.22</v>
      </c>
      <c r="K210" s="20">
        <v>179.48</v>
      </c>
    </row>
    <row r="211" spans="1:11" ht="14" x14ac:dyDescent="0.25">
      <c r="C211" s="22" t="s">
        <v>267</v>
      </c>
      <c r="H211" s="143">
        <v>42.53</v>
      </c>
      <c r="I211" s="143"/>
      <c r="J211" s="143">
        <v>179.48</v>
      </c>
      <c r="K211" s="143"/>
    </row>
    <row r="213" spans="1:11" ht="79" x14ac:dyDescent="0.25">
      <c r="A213" s="10">
        <v>27</v>
      </c>
      <c r="B213" s="10" t="s">
        <v>280</v>
      </c>
      <c r="C213" s="10" t="s">
        <v>58</v>
      </c>
      <c r="D213" s="12" t="s">
        <v>50</v>
      </c>
      <c r="E213" s="11">
        <v>2</v>
      </c>
      <c r="F213" s="14"/>
      <c r="G213" s="13"/>
      <c r="H213" s="11"/>
      <c r="I213" s="14"/>
      <c r="J213" s="11"/>
      <c r="K213" s="14"/>
    </row>
    <row r="214" spans="1:11" x14ac:dyDescent="0.25">
      <c r="C214" s="23" t="s">
        <v>1689</v>
      </c>
    </row>
    <row r="215" spans="1:11" ht="14.5" x14ac:dyDescent="0.25">
      <c r="A215" s="10"/>
      <c r="B215" s="10"/>
      <c r="C215" s="10" t="s">
        <v>256</v>
      </c>
      <c r="D215" s="12"/>
      <c r="E215" s="11"/>
      <c r="F215" s="14">
        <v>55.23</v>
      </c>
      <c r="G215" s="15" t="s">
        <v>13</v>
      </c>
      <c r="H215" s="11">
        <v>1</v>
      </c>
      <c r="I215" s="14">
        <v>132.55000000000001</v>
      </c>
      <c r="J215" s="11">
        <v>57.05</v>
      </c>
      <c r="K215" s="14">
        <v>7561.98</v>
      </c>
    </row>
    <row r="216" spans="1:11" ht="14.5" x14ac:dyDescent="0.25">
      <c r="A216" s="10"/>
      <c r="B216" s="10"/>
      <c r="C216" s="10" t="s">
        <v>257</v>
      </c>
      <c r="D216" s="12"/>
      <c r="E216" s="11"/>
      <c r="F216" s="14">
        <v>2.62</v>
      </c>
      <c r="G216" s="15" t="s">
        <v>13</v>
      </c>
      <c r="H216" s="11">
        <v>1</v>
      </c>
      <c r="I216" s="14">
        <v>6.29</v>
      </c>
      <c r="J216" s="11">
        <v>15.96</v>
      </c>
      <c r="K216" s="14">
        <v>100.39</v>
      </c>
    </row>
    <row r="217" spans="1:11" ht="14.5" x14ac:dyDescent="0.25">
      <c r="A217" s="10"/>
      <c r="B217" s="10"/>
      <c r="C217" s="10" t="s">
        <v>258</v>
      </c>
      <c r="D217" s="12"/>
      <c r="E217" s="11"/>
      <c r="F217" s="14">
        <v>0.3</v>
      </c>
      <c r="G217" s="15" t="s">
        <v>13</v>
      </c>
      <c r="H217" s="11">
        <v>1</v>
      </c>
      <c r="I217" s="16">
        <v>0.72</v>
      </c>
      <c r="J217" s="11">
        <v>57.05</v>
      </c>
      <c r="K217" s="16">
        <v>41.08</v>
      </c>
    </row>
    <row r="218" spans="1:11" ht="14.5" x14ac:dyDescent="0.25">
      <c r="A218" s="10"/>
      <c r="B218" s="10"/>
      <c r="C218" s="10" t="s">
        <v>259</v>
      </c>
      <c r="D218" s="12"/>
      <c r="E218" s="11"/>
      <c r="F218" s="14">
        <v>58.15</v>
      </c>
      <c r="G218" s="15" t="s">
        <v>1</v>
      </c>
      <c r="H218" s="11">
        <v>1</v>
      </c>
      <c r="I218" s="14">
        <v>116.3</v>
      </c>
      <c r="J218" s="11">
        <v>3.64</v>
      </c>
      <c r="K218" s="14">
        <v>423.33</v>
      </c>
    </row>
    <row r="219" spans="1:11" ht="70" x14ac:dyDescent="0.25">
      <c r="A219" s="10" t="s">
        <v>926</v>
      </c>
      <c r="B219" s="10" t="s">
        <v>1690</v>
      </c>
      <c r="C219" s="10" t="s">
        <v>1706</v>
      </c>
      <c r="D219" s="12" t="s">
        <v>60</v>
      </c>
      <c r="E219" s="11">
        <v>72.099999999999994</v>
      </c>
      <c r="F219" s="14">
        <v>5285.94</v>
      </c>
      <c r="G219" s="15" t="s">
        <v>1</v>
      </c>
      <c r="H219" s="11">
        <v>1</v>
      </c>
      <c r="I219" s="14">
        <v>381116.27</v>
      </c>
      <c r="J219" s="11">
        <v>3.82</v>
      </c>
      <c r="K219" s="14">
        <v>1455864.15</v>
      </c>
    </row>
    <row r="220" spans="1:11" ht="14.5" x14ac:dyDescent="0.25">
      <c r="A220" s="10"/>
      <c r="B220" s="10"/>
      <c r="C220" s="10" t="s">
        <v>260</v>
      </c>
      <c r="D220" s="12" t="s">
        <v>261</v>
      </c>
      <c r="E220" s="11">
        <v>97</v>
      </c>
      <c r="F220" s="14"/>
      <c r="G220" s="13"/>
      <c r="H220" s="11"/>
      <c r="I220" s="14">
        <v>129.27000000000001</v>
      </c>
      <c r="J220" s="11">
        <v>97</v>
      </c>
      <c r="K220" s="14">
        <v>7374.97</v>
      </c>
    </row>
    <row r="221" spans="1:11" ht="14.5" x14ac:dyDescent="0.25">
      <c r="A221" s="10"/>
      <c r="B221" s="10"/>
      <c r="C221" s="10" t="s">
        <v>262</v>
      </c>
      <c r="D221" s="12" t="s">
        <v>261</v>
      </c>
      <c r="E221" s="11">
        <v>51</v>
      </c>
      <c r="F221" s="14"/>
      <c r="G221" s="13"/>
      <c r="H221" s="11"/>
      <c r="I221" s="14">
        <v>67.97</v>
      </c>
      <c r="J221" s="11">
        <v>51</v>
      </c>
      <c r="K221" s="14">
        <v>3877.56</v>
      </c>
    </row>
    <row r="222" spans="1:11" ht="14.5" x14ac:dyDescent="0.25">
      <c r="A222" s="17"/>
      <c r="B222" s="17"/>
      <c r="C222" s="17" t="s">
        <v>263</v>
      </c>
      <c r="D222" s="18" t="s">
        <v>264</v>
      </c>
      <c r="E222" s="19">
        <v>4.49</v>
      </c>
      <c r="F222" s="20"/>
      <c r="G222" s="21" t="s">
        <v>13</v>
      </c>
      <c r="H222" s="19">
        <v>1</v>
      </c>
      <c r="I222" s="20">
        <v>10.78</v>
      </c>
      <c r="J222" s="19"/>
      <c r="K222" s="20"/>
    </row>
    <row r="223" spans="1:11" ht="14" x14ac:dyDescent="0.25">
      <c r="C223" s="22" t="s">
        <v>265</v>
      </c>
      <c r="H223" s="143">
        <v>381568.65</v>
      </c>
      <c r="I223" s="143"/>
      <c r="J223" s="143">
        <v>1475202.38</v>
      </c>
      <c r="K223" s="143"/>
    </row>
    <row r="224" spans="1:11" ht="14" x14ac:dyDescent="0.25">
      <c r="C224" s="22" t="s">
        <v>267</v>
      </c>
      <c r="H224" s="141">
        <v>381568.65</v>
      </c>
      <c r="I224" s="141"/>
      <c r="J224" s="141">
        <v>1475202.38</v>
      </c>
      <c r="K224" s="141"/>
    </row>
    <row r="226" spans="1:11" ht="27" x14ac:dyDescent="0.25">
      <c r="A226" s="17">
        <v>28</v>
      </c>
      <c r="B226" s="17" t="s">
        <v>409</v>
      </c>
      <c r="C226" s="17" t="s">
        <v>1700</v>
      </c>
      <c r="D226" s="18" t="s">
        <v>52</v>
      </c>
      <c r="E226" s="19">
        <v>81.599999999999994</v>
      </c>
      <c r="F226" s="20">
        <v>2.85</v>
      </c>
      <c r="G226" s="21" t="s">
        <v>1</v>
      </c>
      <c r="H226" s="19">
        <v>1</v>
      </c>
      <c r="I226" s="20">
        <v>232.56</v>
      </c>
      <c r="J226" s="19">
        <v>10.18</v>
      </c>
      <c r="K226" s="20">
        <v>2367.46</v>
      </c>
    </row>
    <row r="227" spans="1:11" ht="14" x14ac:dyDescent="0.25">
      <c r="C227" s="22" t="s">
        <v>267</v>
      </c>
      <c r="H227" s="143">
        <v>232.56</v>
      </c>
      <c r="I227" s="143"/>
      <c r="J227" s="143">
        <v>2367.46</v>
      </c>
      <c r="K227" s="143"/>
    </row>
    <row r="229" spans="1:11" ht="27" x14ac:dyDescent="0.25">
      <c r="A229" s="17">
        <v>29</v>
      </c>
      <c r="B229" s="17" t="s">
        <v>409</v>
      </c>
      <c r="C229" s="17" t="s">
        <v>2053</v>
      </c>
      <c r="D229" s="18" t="s">
        <v>52</v>
      </c>
      <c r="E229" s="19">
        <v>51</v>
      </c>
      <c r="F229" s="20">
        <v>5.82</v>
      </c>
      <c r="G229" s="21" t="s">
        <v>1</v>
      </c>
      <c r="H229" s="19">
        <v>1</v>
      </c>
      <c r="I229" s="20">
        <v>296.82</v>
      </c>
      <c r="J229" s="19">
        <v>10.18</v>
      </c>
      <c r="K229" s="20">
        <v>3021.63</v>
      </c>
    </row>
    <row r="230" spans="1:11" ht="14" x14ac:dyDescent="0.25">
      <c r="C230" s="22" t="s">
        <v>267</v>
      </c>
      <c r="H230" s="143">
        <v>296.82</v>
      </c>
      <c r="I230" s="143"/>
      <c r="J230" s="143">
        <v>3021.63</v>
      </c>
      <c r="K230" s="143"/>
    </row>
    <row r="232" spans="1:11" ht="79" x14ac:dyDescent="0.25">
      <c r="A232" s="10">
        <v>30</v>
      </c>
      <c r="B232" s="10" t="s">
        <v>281</v>
      </c>
      <c r="C232" s="10" t="s">
        <v>62</v>
      </c>
      <c r="D232" s="12" t="s">
        <v>50</v>
      </c>
      <c r="E232" s="11">
        <v>5.4</v>
      </c>
      <c r="F232" s="14"/>
      <c r="G232" s="13"/>
      <c r="H232" s="11"/>
      <c r="I232" s="14"/>
      <c r="J232" s="11"/>
      <c r="K232" s="14"/>
    </row>
    <row r="233" spans="1:11" x14ac:dyDescent="0.25">
      <c r="C233" s="23" t="s">
        <v>1691</v>
      </c>
    </row>
    <row r="234" spans="1:11" ht="14.5" x14ac:dyDescent="0.25">
      <c r="A234" s="10"/>
      <c r="B234" s="10"/>
      <c r="C234" s="10" t="s">
        <v>256</v>
      </c>
      <c r="D234" s="12"/>
      <c r="E234" s="11"/>
      <c r="F234" s="14">
        <v>66.3</v>
      </c>
      <c r="G234" s="15" t="s">
        <v>13</v>
      </c>
      <c r="H234" s="11">
        <v>1</v>
      </c>
      <c r="I234" s="14">
        <v>429.62</v>
      </c>
      <c r="J234" s="11">
        <v>57.05</v>
      </c>
      <c r="K234" s="14">
        <v>24509.82</v>
      </c>
    </row>
    <row r="235" spans="1:11" ht="14.5" x14ac:dyDescent="0.25">
      <c r="A235" s="10"/>
      <c r="B235" s="10"/>
      <c r="C235" s="10" t="s">
        <v>257</v>
      </c>
      <c r="D235" s="12"/>
      <c r="E235" s="11"/>
      <c r="F235" s="14">
        <v>5.25</v>
      </c>
      <c r="G235" s="15" t="s">
        <v>13</v>
      </c>
      <c r="H235" s="11">
        <v>1</v>
      </c>
      <c r="I235" s="14">
        <v>34.020000000000003</v>
      </c>
      <c r="J235" s="11">
        <v>15.93</v>
      </c>
      <c r="K235" s="14">
        <v>541.94000000000005</v>
      </c>
    </row>
    <row r="236" spans="1:11" ht="14.5" x14ac:dyDescent="0.25">
      <c r="A236" s="10"/>
      <c r="B236" s="10"/>
      <c r="C236" s="10" t="s">
        <v>258</v>
      </c>
      <c r="D236" s="12"/>
      <c r="E236" s="11"/>
      <c r="F236" s="14">
        <v>0.59</v>
      </c>
      <c r="G236" s="15" t="s">
        <v>13</v>
      </c>
      <c r="H236" s="11">
        <v>1</v>
      </c>
      <c r="I236" s="16">
        <v>3.82</v>
      </c>
      <c r="J236" s="11">
        <v>57.05</v>
      </c>
      <c r="K236" s="16">
        <v>217.93</v>
      </c>
    </row>
    <row r="237" spans="1:11" ht="14.5" x14ac:dyDescent="0.25">
      <c r="A237" s="10"/>
      <c r="B237" s="10"/>
      <c r="C237" s="10" t="s">
        <v>259</v>
      </c>
      <c r="D237" s="12"/>
      <c r="E237" s="11"/>
      <c r="F237" s="14">
        <v>61.98</v>
      </c>
      <c r="G237" s="15" t="s">
        <v>1</v>
      </c>
      <c r="H237" s="11">
        <v>1</v>
      </c>
      <c r="I237" s="14">
        <v>334.69</v>
      </c>
      <c r="J237" s="11">
        <v>4.5</v>
      </c>
      <c r="K237" s="14">
        <v>1506.11</v>
      </c>
    </row>
    <row r="238" spans="1:11" ht="14.5" x14ac:dyDescent="0.25">
      <c r="A238" s="10"/>
      <c r="B238" s="10"/>
      <c r="C238" s="10" t="s">
        <v>260</v>
      </c>
      <c r="D238" s="12" t="s">
        <v>261</v>
      </c>
      <c r="E238" s="11">
        <v>97</v>
      </c>
      <c r="F238" s="14"/>
      <c r="G238" s="13"/>
      <c r="H238" s="11"/>
      <c r="I238" s="14">
        <v>420.44</v>
      </c>
      <c r="J238" s="11">
        <v>97</v>
      </c>
      <c r="K238" s="14">
        <v>23985.919999999998</v>
      </c>
    </row>
    <row r="239" spans="1:11" ht="14.5" x14ac:dyDescent="0.25">
      <c r="A239" s="10"/>
      <c r="B239" s="10"/>
      <c r="C239" s="10" t="s">
        <v>262</v>
      </c>
      <c r="D239" s="12" t="s">
        <v>261</v>
      </c>
      <c r="E239" s="11">
        <v>51</v>
      </c>
      <c r="F239" s="14"/>
      <c r="G239" s="13"/>
      <c r="H239" s="11"/>
      <c r="I239" s="14">
        <v>221.05</v>
      </c>
      <c r="J239" s="11">
        <v>51</v>
      </c>
      <c r="K239" s="14">
        <v>12611.15</v>
      </c>
    </row>
    <row r="240" spans="1:11" ht="14.5" x14ac:dyDescent="0.25">
      <c r="A240" s="17"/>
      <c r="B240" s="17"/>
      <c r="C240" s="17" t="s">
        <v>263</v>
      </c>
      <c r="D240" s="18" t="s">
        <v>264</v>
      </c>
      <c r="E240" s="19">
        <v>5.39</v>
      </c>
      <c r="F240" s="20"/>
      <c r="G240" s="21" t="s">
        <v>13</v>
      </c>
      <c r="H240" s="19">
        <v>1</v>
      </c>
      <c r="I240" s="20">
        <v>34.93</v>
      </c>
      <c r="J240" s="19"/>
      <c r="K240" s="20"/>
    </row>
    <row r="241" spans="1:11" ht="14" x14ac:dyDescent="0.25">
      <c r="C241" s="22" t="s">
        <v>265</v>
      </c>
      <c r="H241" s="143">
        <v>1439.82</v>
      </c>
      <c r="I241" s="143"/>
      <c r="J241" s="143">
        <v>63154.94</v>
      </c>
      <c r="K241" s="143"/>
    </row>
    <row r="242" spans="1:11" ht="14" x14ac:dyDescent="0.25">
      <c r="C242" s="22" t="s">
        <v>267</v>
      </c>
      <c r="H242" s="141">
        <v>1439.82</v>
      </c>
      <c r="I242" s="141"/>
      <c r="J242" s="141">
        <v>63154.94</v>
      </c>
      <c r="K242" s="141"/>
    </row>
    <row r="244" spans="1:11" ht="41" x14ac:dyDescent="0.25">
      <c r="A244" s="17">
        <v>31</v>
      </c>
      <c r="B244" s="17" t="s">
        <v>409</v>
      </c>
      <c r="C244" s="17" t="s">
        <v>1701</v>
      </c>
      <c r="D244" s="18" t="s">
        <v>52</v>
      </c>
      <c r="E244" s="19">
        <v>275.39999999999998</v>
      </c>
      <c r="F244" s="20">
        <v>5.45</v>
      </c>
      <c r="G244" s="21" t="s">
        <v>1</v>
      </c>
      <c r="H244" s="19">
        <v>1</v>
      </c>
      <c r="I244" s="20">
        <v>1500.93</v>
      </c>
      <c r="J244" s="19">
        <v>10.18</v>
      </c>
      <c r="K244" s="20">
        <v>15279.47</v>
      </c>
    </row>
    <row r="245" spans="1:11" ht="14" x14ac:dyDescent="0.25">
      <c r="C245" s="22" t="s">
        <v>267</v>
      </c>
      <c r="H245" s="143">
        <v>1500.93</v>
      </c>
      <c r="I245" s="143"/>
      <c r="J245" s="143">
        <v>15279.47</v>
      </c>
      <c r="K245" s="143"/>
    </row>
    <row r="247" spans="1:11" ht="27" x14ac:dyDescent="0.25">
      <c r="A247" s="17">
        <v>32</v>
      </c>
      <c r="B247" s="17" t="s">
        <v>409</v>
      </c>
      <c r="C247" s="17" t="s">
        <v>1702</v>
      </c>
      <c r="D247" s="18" t="s">
        <v>52</v>
      </c>
      <c r="E247" s="19">
        <v>275.39999999999998</v>
      </c>
      <c r="F247" s="20">
        <v>5.26</v>
      </c>
      <c r="G247" s="21" t="s">
        <v>1</v>
      </c>
      <c r="H247" s="19">
        <v>1</v>
      </c>
      <c r="I247" s="20">
        <v>1448.6</v>
      </c>
      <c r="J247" s="19">
        <v>10.18</v>
      </c>
      <c r="K247" s="20">
        <v>14746.75</v>
      </c>
    </row>
    <row r="248" spans="1:11" ht="14" x14ac:dyDescent="0.25">
      <c r="C248" s="22" t="s">
        <v>267</v>
      </c>
      <c r="H248" s="143">
        <v>1448.6</v>
      </c>
      <c r="I248" s="143"/>
      <c r="J248" s="143">
        <v>14746.75</v>
      </c>
      <c r="K248" s="143"/>
    </row>
    <row r="251" spans="1:11" ht="14" x14ac:dyDescent="0.3">
      <c r="A251" s="140" t="s">
        <v>957</v>
      </c>
      <c r="B251" s="140"/>
      <c r="C251" s="140"/>
      <c r="D251" s="140"/>
      <c r="E251" s="140"/>
      <c r="F251" s="140"/>
      <c r="G251" s="140"/>
      <c r="H251" s="141">
        <v>399108.85</v>
      </c>
      <c r="I251" s="142"/>
      <c r="J251" s="141">
        <v>1861955.47</v>
      </c>
      <c r="K251" s="142"/>
    </row>
    <row r="253" spans="1:11" ht="16.5" x14ac:dyDescent="0.25">
      <c r="A253" s="144" t="s">
        <v>1692</v>
      </c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</row>
    <row r="255" spans="1:11" ht="16.5" x14ac:dyDescent="0.25">
      <c r="A255" s="144" t="s">
        <v>1693</v>
      </c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</row>
    <row r="256" spans="1:11" ht="79" x14ac:dyDescent="0.25">
      <c r="A256" s="10">
        <v>33</v>
      </c>
      <c r="B256" s="10" t="s">
        <v>1676</v>
      </c>
      <c r="C256" s="10" t="s">
        <v>1677</v>
      </c>
      <c r="D256" s="12" t="s">
        <v>24</v>
      </c>
      <c r="E256" s="11">
        <v>1</v>
      </c>
      <c r="F256" s="14"/>
      <c r="G256" s="13"/>
      <c r="H256" s="11"/>
      <c r="I256" s="14"/>
      <c r="J256" s="11"/>
      <c r="K256" s="14"/>
    </row>
    <row r="257" spans="1:11" ht="14.5" x14ac:dyDescent="0.25">
      <c r="A257" s="10"/>
      <c r="B257" s="10"/>
      <c r="C257" s="10" t="s">
        <v>256</v>
      </c>
      <c r="D257" s="12"/>
      <c r="E257" s="11"/>
      <c r="F257" s="14">
        <v>29.08</v>
      </c>
      <c r="G257" s="15" t="s">
        <v>13</v>
      </c>
      <c r="H257" s="11">
        <v>1</v>
      </c>
      <c r="I257" s="14">
        <v>34.9</v>
      </c>
      <c r="J257" s="11">
        <v>57.05</v>
      </c>
      <c r="K257" s="14">
        <v>1991.05</v>
      </c>
    </row>
    <row r="258" spans="1:11" ht="14.5" x14ac:dyDescent="0.25">
      <c r="A258" s="10"/>
      <c r="B258" s="10"/>
      <c r="C258" s="10" t="s">
        <v>257</v>
      </c>
      <c r="D258" s="12"/>
      <c r="E258" s="11"/>
      <c r="F258" s="14">
        <v>1.1499999999999999</v>
      </c>
      <c r="G258" s="15" t="s">
        <v>13</v>
      </c>
      <c r="H258" s="11">
        <v>1</v>
      </c>
      <c r="I258" s="14">
        <v>1.38</v>
      </c>
      <c r="J258" s="11">
        <v>16.489999999999998</v>
      </c>
      <c r="K258" s="14">
        <v>22.76</v>
      </c>
    </row>
    <row r="259" spans="1:11" ht="14.5" x14ac:dyDescent="0.25">
      <c r="A259" s="10"/>
      <c r="B259" s="10"/>
      <c r="C259" s="10" t="s">
        <v>258</v>
      </c>
      <c r="D259" s="12"/>
      <c r="E259" s="11"/>
      <c r="F259" s="14">
        <v>0.13</v>
      </c>
      <c r="G259" s="15" t="s">
        <v>13</v>
      </c>
      <c r="H259" s="11">
        <v>1</v>
      </c>
      <c r="I259" s="16">
        <v>0.16</v>
      </c>
      <c r="J259" s="11">
        <v>57.05</v>
      </c>
      <c r="K259" s="16">
        <v>9.1300000000000008</v>
      </c>
    </row>
    <row r="260" spans="1:11" ht="14.5" x14ac:dyDescent="0.25">
      <c r="A260" s="10"/>
      <c r="B260" s="10"/>
      <c r="C260" s="10" t="s">
        <v>260</v>
      </c>
      <c r="D260" s="12" t="s">
        <v>261</v>
      </c>
      <c r="E260" s="11">
        <v>95</v>
      </c>
      <c r="F260" s="14"/>
      <c r="G260" s="13"/>
      <c r="H260" s="11"/>
      <c r="I260" s="14">
        <v>33.31</v>
      </c>
      <c r="J260" s="11">
        <v>95</v>
      </c>
      <c r="K260" s="14">
        <v>1900.17</v>
      </c>
    </row>
    <row r="261" spans="1:11" ht="14.5" x14ac:dyDescent="0.25">
      <c r="A261" s="10"/>
      <c r="B261" s="10"/>
      <c r="C261" s="10" t="s">
        <v>262</v>
      </c>
      <c r="D261" s="12" t="s">
        <v>261</v>
      </c>
      <c r="E261" s="11">
        <v>53</v>
      </c>
      <c r="F261" s="14"/>
      <c r="G261" s="13"/>
      <c r="H261" s="11"/>
      <c r="I261" s="14">
        <v>18.579999999999998</v>
      </c>
      <c r="J261" s="11">
        <v>53</v>
      </c>
      <c r="K261" s="14">
        <v>1060.0999999999999</v>
      </c>
    </row>
    <row r="262" spans="1:11" ht="14.5" x14ac:dyDescent="0.25">
      <c r="A262" s="17"/>
      <c r="B262" s="17"/>
      <c r="C262" s="17" t="s">
        <v>263</v>
      </c>
      <c r="D262" s="18" t="s">
        <v>264</v>
      </c>
      <c r="E262" s="19">
        <v>2</v>
      </c>
      <c r="F262" s="20"/>
      <c r="G262" s="21" t="s">
        <v>13</v>
      </c>
      <c r="H262" s="19">
        <v>1</v>
      </c>
      <c r="I262" s="20">
        <v>2.4</v>
      </c>
      <c r="J262" s="19"/>
      <c r="K262" s="20"/>
    </row>
    <row r="263" spans="1:11" ht="14" x14ac:dyDescent="0.25">
      <c r="C263" s="22" t="s">
        <v>265</v>
      </c>
      <c r="H263" s="143">
        <v>88.17</v>
      </c>
      <c r="I263" s="143"/>
      <c r="J263" s="143">
        <v>4974.08</v>
      </c>
      <c r="K263" s="143"/>
    </row>
    <row r="264" spans="1:11" ht="14" x14ac:dyDescent="0.25">
      <c r="C264" s="22" t="s">
        <v>267</v>
      </c>
      <c r="H264" s="141">
        <v>88.17</v>
      </c>
      <c r="I264" s="141"/>
      <c r="J264" s="141">
        <v>4974.08</v>
      </c>
      <c r="K264" s="141"/>
    </row>
    <row r="266" spans="1:11" ht="82" x14ac:dyDescent="0.25">
      <c r="A266" s="38">
        <v>34</v>
      </c>
      <c r="B266" s="38" t="s">
        <v>409</v>
      </c>
      <c r="C266" s="38" t="s">
        <v>2054</v>
      </c>
      <c r="D266" s="39" t="s">
        <v>11</v>
      </c>
      <c r="E266" s="40">
        <v>1</v>
      </c>
      <c r="F266" s="41">
        <v>940.51</v>
      </c>
      <c r="G266" s="42" t="s">
        <v>1</v>
      </c>
      <c r="H266" s="40">
        <v>1</v>
      </c>
      <c r="I266" s="41">
        <v>940.51</v>
      </c>
      <c r="J266" s="40">
        <v>7.54</v>
      </c>
      <c r="K266" s="41">
        <v>7091.45</v>
      </c>
    </row>
    <row r="267" spans="1:11" ht="14" x14ac:dyDescent="0.25">
      <c r="A267" s="43"/>
      <c r="B267" s="43"/>
      <c r="C267" s="44" t="s">
        <v>267</v>
      </c>
      <c r="D267" s="43"/>
      <c r="E267" s="43"/>
      <c r="F267" s="43"/>
      <c r="G267" s="43"/>
      <c r="H267" s="156">
        <v>940.51</v>
      </c>
      <c r="I267" s="156"/>
      <c r="J267" s="156">
        <v>7091.45</v>
      </c>
      <c r="K267" s="156"/>
    </row>
    <row r="269" spans="1:11" ht="79" x14ac:dyDescent="0.25">
      <c r="A269" s="10">
        <v>35</v>
      </c>
      <c r="B269" s="10" t="s">
        <v>1678</v>
      </c>
      <c r="C269" s="10" t="s">
        <v>1679</v>
      </c>
      <c r="D269" s="12" t="s">
        <v>226</v>
      </c>
      <c r="E269" s="11">
        <v>0.2</v>
      </c>
      <c r="F269" s="14"/>
      <c r="G269" s="13"/>
      <c r="H269" s="11"/>
      <c r="I269" s="14"/>
      <c r="J269" s="11"/>
      <c r="K269" s="14"/>
    </row>
    <row r="270" spans="1:11" x14ac:dyDescent="0.25">
      <c r="C270" s="23" t="s">
        <v>1322</v>
      </c>
    </row>
    <row r="271" spans="1:11" ht="14.5" x14ac:dyDescent="0.25">
      <c r="A271" s="10"/>
      <c r="B271" s="10"/>
      <c r="C271" s="10" t="s">
        <v>256</v>
      </c>
      <c r="D271" s="12"/>
      <c r="E271" s="11"/>
      <c r="F271" s="14">
        <v>227.44</v>
      </c>
      <c r="G271" s="15" t="s">
        <v>13</v>
      </c>
      <c r="H271" s="11">
        <v>1</v>
      </c>
      <c r="I271" s="14">
        <v>54.59</v>
      </c>
      <c r="J271" s="11">
        <v>57.05</v>
      </c>
      <c r="K271" s="14">
        <v>3114.36</v>
      </c>
    </row>
    <row r="272" spans="1:11" ht="14.5" x14ac:dyDescent="0.25">
      <c r="A272" s="10"/>
      <c r="B272" s="10"/>
      <c r="C272" s="10" t="s">
        <v>257</v>
      </c>
      <c r="D272" s="12"/>
      <c r="E272" s="11"/>
      <c r="F272" s="14">
        <v>6.07</v>
      </c>
      <c r="G272" s="15" t="s">
        <v>13</v>
      </c>
      <c r="H272" s="11">
        <v>1</v>
      </c>
      <c r="I272" s="14">
        <v>1.46</v>
      </c>
      <c r="J272" s="11">
        <v>16.43</v>
      </c>
      <c r="K272" s="14">
        <v>23.99</v>
      </c>
    </row>
    <row r="273" spans="1:11" ht="14.5" x14ac:dyDescent="0.25">
      <c r="A273" s="10"/>
      <c r="B273" s="10"/>
      <c r="C273" s="10" t="s">
        <v>258</v>
      </c>
      <c r="D273" s="12"/>
      <c r="E273" s="11"/>
      <c r="F273" s="14">
        <v>0.76</v>
      </c>
      <c r="G273" s="15" t="s">
        <v>13</v>
      </c>
      <c r="H273" s="11">
        <v>1</v>
      </c>
      <c r="I273" s="16">
        <v>0.18</v>
      </c>
      <c r="J273" s="11">
        <v>57.05</v>
      </c>
      <c r="K273" s="16">
        <v>10.27</v>
      </c>
    </row>
    <row r="274" spans="1:11" ht="14.5" x14ac:dyDescent="0.25">
      <c r="A274" s="10"/>
      <c r="B274" s="10"/>
      <c r="C274" s="10" t="s">
        <v>259</v>
      </c>
      <c r="D274" s="12"/>
      <c r="E274" s="11"/>
      <c r="F274" s="14">
        <v>2.44</v>
      </c>
      <c r="G274" s="15" t="s">
        <v>1</v>
      </c>
      <c r="H274" s="11">
        <v>1</v>
      </c>
      <c r="I274" s="14">
        <v>0.49</v>
      </c>
      <c r="J274" s="11">
        <v>7.61</v>
      </c>
      <c r="K274" s="14">
        <v>3.73</v>
      </c>
    </row>
    <row r="275" spans="1:11" ht="14.5" x14ac:dyDescent="0.25">
      <c r="A275" s="10"/>
      <c r="B275" s="10"/>
      <c r="C275" s="10" t="s">
        <v>260</v>
      </c>
      <c r="D275" s="12" t="s">
        <v>261</v>
      </c>
      <c r="E275" s="11">
        <v>90</v>
      </c>
      <c r="F275" s="14"/>
      <c r="G275" s="13"/>
      <c r="H275" s="11"/>
      <c r="I275" s="14">
        <v>49.29</v>
      </c>
      <c r="J275" s="11">
        <v>90</v>
      </c>
      <c r="K275" s="14">
        <v>2812.17</v>
      </c>
    </row>
    <row r="276" spans="1:11" ht="14.5" x14ac:dyDescent="0.25">
      <c r="A276" s="10"/>
      <c r="B276" s="10"/>
      <c r="C276" s="10" t="s">
        <v>262</v>
      </c>
      <c r="D276" s="12" t="s">
        <v>261</v>
      </c>
      <c r="E276" s="11">
        <v>46</v>
      </c>
      <c r="F276" s="14"/>
      <c r="G276" s="13"/>
      <c r="H276" s="11"/>
      <c r="I276" s="14">
        <v>25.19</v>
      </c>
      <c r="J276" s="11">
        <v>46</v>
      </c>
      <c r="K276" s="14">
        <v>1437.33</v>
      </c>
    </row>
    <row r="277" spans="1:11" ht="14.5" x14ac:dyDescent="0.25">
      <c r="A277" s="17"/>
      <c r="B277" s="17"/>
      <c r="C277" s="17" t="s">
        <v>263</v>
      </c>
      <c r="D277" s="18" t="s">
        <v>264</v>
      </c>
      <c r="E277" s="19">
        <v>14.64</v>
      </c>
      <c r="F277" s="20"/>
      <c r="G277" s="21" t="s">
        <v>13</v>
      </c>
      <c r="H277" s="19">
        <v>1</v>
      </c>
      <c r="I277" s="20">
        <v>3.51</v>
      </c>
      <c r="J277" s="19"/>
      <c r="K277" s="20"/>
    </row>
    <row r="278" spans="1:11" ht="14" x14ac:dyDescent="0.25">
      <c r="C278" s="22" t="s">
        <v>265</v>
      </c>
      <c r="H278" s="143">
        <v>131.02000000000001</v>
      </c>
      <c r="I278" s="143"/>
      <c r="J278" s="143">
        <v>7391.58</v>
      </c>
      <c r="K278" s="143"/>
    </row>
    <row r="279" spans="1:11" ht="14" x14ac:dyDescent="0.25">
      <c r="C279" s="22" t="s">
        <v>267</v>
      </c>
      <c r="H279" s="141">
        <v>131.02000000000001</v>
      </c>
      <c r="I279" s="141"/>
      <c r="J279" s="141">
        <v>7391.58</v>
      </c>
      <c r="K279" s="141"/>
    </row>
    <row r="281" spans="1:11" ht="82" x14ac:dyDescent="0.25">
      <c r="A281" s="17">
        <v>36</v>
      </c>
      <c r="B281" s="17" t="s">
        <v>409</v>
      </c>
      <c r="C281" s="17" t="s">
        <v>1703</v>
      </c>
      <c r="D281" s="18" t="s">
        <v>11</v>
      </c>
      <c r="E281" s="19">
        <v>2</v>
      </c>
      <c r="F281" s="20">
        <v>1811.91</v>
      </c>
      <c r="G281" s="21" t="s">
        <v>1</v>
      </c>
      <c r="H281" s="19">
        <v>1</v>
      </c>
      <c r="I281" s="20">
        <v>3623.82</v>
      </c>
      <c r="J281" s="19">
        <v>7.54</v>
      </c>
      <c r="K281" s="20">
        <v>27323.599999999999</v>
      </c>
    </row>
    <row r="282" spans="1:11" ht="14" x14ac:dyDescent="0.25">
      <c r="C282" s="22" t="s">
        <v>267</v>
      </c>
      <c r="H282" s="143">
        <v>3623.82</v>
      </c>
      <c r="I282" s="143"/>
      <c r="J282" s="143">
        <v>27323.599999999999</v>
      </c>
      <c r="K282" s="143"/>
    </row>
    <row r="284" spans="1:11" ht="54" x14ac:dyDescent="0.25">
      <c r="A284" s="17">
        <v>37</v>
      </c>
      <c r="B284" s="17" t="s">
        <v>409</v>
      </c>
      <c r="C284" s="17" t="s">
        <v>2055</v>
      </c>
      <c r="D284" s="18" t="s">
        <v>11</v>
      </c>
      <c r="E284" s="19">
        <v>2</v>
      </c>
      <c r="F284" s="20">
        <v>10.09</v>
      </c>
      <c r="G284" s="21" t="s">
        <v>1</v>
      </c>
      <c r="H284" s="19">
        <v>1</v>
      </c>
      <c r="I284" s="20">
        <v>20.18</v>
      </c>
      <c r="J284" s="19">
        <v>7.54</v>
      </c>
      <c r="K284" s="20">
        <v>152.16</v>
      </c>
    </row>
    <row r="285" spans="1:11" ht="14" x14ac:dyDescent="0.25">
      <c r="C285" s="22" t="s">
        <v>267</v>
      </c>
      <c r="H285" s="143">
        <v>20.18</v>
      </c>
      <c r="I285" s="143"/>
      <c r="J285" s="143">
        <v>152.16</v>
      </c>
      <c r="K285" s="143"/>
    </row>
    <row r="288" spans="1:11" ht="14" x14ac:dyDescent="0.3">
      <c r="A288" s="140" t="s">
        <v>1694</v>
      </c>
      <c r="B288" s="140"/>
      <c r="C288" s="140"/>
      <c r="D288" s="140"/>
      <c r="E288" s="140"/>
      <c r="F288" s="140"/>
      <c r="G288" s="140"/>
      <c r="H288" s="141">
        <v>4803.7</v>
      </c>
      <c r="I288" s="142"/>
      <c r="J288" s="141">
        <v>46932.87</v>
      </c>
      <c r="K288" s="142"/>
    </row>
    <row r="290" spans="1:11" ht="16.5" x14ac:dyDescent="0.25">
      <c r="A290" s="144" t="s">
        <v>1695</v>
      </c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</row>
    <row r="291" spans="1:11" ht="79" x14ac:dyDescent="0.25">
      <c r="A291" s="10">
        <v>38</v>
      </c>
      <c r="B291" s="10" t="s">
        <v>287</v>
      </c>
      <c r="C291" s="10" t="s">
        <v>91</v>
      </c>
      <c r="D291" s="12" t="s">
        <v>50</v>
      </c>
      <c r="E291" s="11">
        <v>0.6</v>
      </c>
      <c r="F291" s="14"/>
      <c r="G291" s="13"/>
      <c r="H291" s="11"/>
      <c r="I291" s="14"/>
      <c r="J291" s="11"/>
      <c r="K291" s="14"/>
    </row>
    <row r="292" spans="1:11" x14ac:dyDescent="0.25">
      <c r="C292" s="23" t="s">
        <v>378</v>
      </c>
    </row>
    <row r="293" spans="1:11" ht="14.5" x14ac:dyDescent="0.25">
      <c r="A293" s="10"/>
      <c r="B293" s="10"/>
      <c r="C293" s="10" t="s">
        <v>256</v>
      </c>
      <c r="D293" s="12"/>
      <c r="E293" s="11"/>
      <c r="F293" s="14">
        <v>192.26</v>
      </c>
      <c r="G293" s="15" t="s">
        <v>13</v>
      </c>
      <c r="H293" s="11">
        <v>1</v>
      </c>
      <c r="I293" s="14">
        <v>138.43</v>
      </c>
      <c r="J293" s="11">
        <v>57.05</v>
      </c>
      <c r="K293" s="14">
        <v>7897.43</v>
      </c>
    </row>
    <row r="294" spans="1:11" ht="14.5" x14ac:dyDescent="0.25">
      <c r="A294" s="10"/>
      <c r="B294" s="10"/>
      <c r="C294" s="10" t="s">
        <v>257</v>
      </c>
      <c r="D294" s="12"/>
      <c r="E294" s="11"/>
      <c r="F294" s="14">
        <v>32.869999999999997</v>
      </c>
      <c r="G294" s="15" t="s">
        <v>13</v>
      </c>
      <c r="H294" s="11">
        <v>1</v>
      </c>
      <c r="I294" s="14">
        <v>23.67</v>
      </c>
      <c r="J294" s="11">
        <v>19.239999999999998</v>
      </c>
      <c r="K294" s="14">
        <v>455.41</v>
      </c>
    </row>
    <row r="295" spans="1:11" ht="14.5" x14ac:dyDescent="0.25">
      <c r="A295" s="10"/>
      <c r="B295" s="10"/>
      <c r="C295" s="10" t="s">
        <v>258</v>
      </c>
      <c r="D295" s="12"/>
      <c r="E295" s="11"/>
      <c r="F295" s="14">
        <v>5.71</v>
      </c>
      <c r="G295" s="15" t="s">
        <v>13</v>
      </c>
      <c r="H295" s="11">
        <v>1</v>
      </c>
      <c r="I295" s="16">
        <v>4.1100000000000003</v>
      </c>
      <c r="J295" s="11">
        <v>57.05</v>
      </c>
      <c r="K295" s="16">
        <v>234.48</v>
      </c>
    </row>
    <row r="296" spans="1:11" ht="14.5" x14ac:dyDescent="0.25">
      <c r="A296" s="10"/>
      <c r="B296" s="10"/>
      <c r="C296" s="10" t="s">
        <v>259</v>
      </c>
      <c r="D296" s="12"/>
      <c r="E296" s="11"/>
      <c r="F296" s="14">
        <v>314.29000000000002</v>
      </c>
      <c r="G296" s="15" t="s">
        <v>1</v>
      </c>
      <c r="H296" s="11">
        <v>1</v>
      </c>
      <c r="I296" s="14">
        <v>188.57</v>
      </c>
      <c r="J296" s="11">
        <v>10.18</v>
      </c>
      <c r="K296" s="14">
        <v>1919.64</v>
      </c>
    </row>
    <row r="297" spans="1:11" ht="42" x14ac:dyDescent="0.25">
      <c r="A297" s="10" t="s">
        <v>1149</v>
      </c>
      <c r="B297" s="10" t="s">
        <v>93</v>
      </c>
      <c r="C297" s="10" t="s">
        <v>94</v>
      </c>
      <c r="D297" s="12" t="s">
        <v>52</v>
      </c>
      <c r="E297" s="11">
        <v>61.2</v>
      </c>
      <c r="F297" s="14">
        <v>3.45</v>
      </c>
      <c r="G297" s="15" t="s">
        <v>1</v>
      </c>
      <c r="H297" s="11">
        <v>1</v>
      </c>
      <c r="I297" s="14">
        <v>211.14</v>
      </c>
      <c r="J297" s="11">
        <v>3.85</v>
      </c>
      <c r="K297" s="14">
        <v>812.89</v>
      </c>
    </row>
    <row r="298" spans="1:11" ht="42" x14ac:dyDescent="0.25">
      <c r="A298" s="10" t="s">
        <v>1150</v>
      </c>
      <c r="B298" s="10" t="s">
        <v>1564</v>
      </c>
      <c r="C298" s="10" t="s">
        <v>1556</v>
      </c>
      <c r="D298" s="12" t="s">
        <v>34</v>
      </c>
      <c r="E298" s="11">
        <v>1.8</v>
      </c>
      <c r="F298" s="14">
        <v>146.88999999999999</v>
      </c>
      <c r="G298" s="15" t="s">
        <v>1</v>
      </c>
      <c r="H298" s="11">
        <v>1</v>
      </c>
      <c r="I298" s="14">
        <v>264.39999999999998</v>
      </c>
      <c r="J298" s="11">
        <v>1.77</v>
      </c>
      <c r="K298" s="14">
        <v>467.99</v>
      </c>
    </row>
    <row r="299" spans="1:11" ht="14.5" x14ac:dyDescent="0.25">
      <c r="A299" s="10"/>
      <c r="B299" s="10"/>
      <c r="C299" s="10" t="s">
        <v>260</v>
      </c>
      <c r="D299" s="12" t="s">
        <v>261</v>
      </c>
      <c r="E299" s="11">
        <v>97</v>
      </c>
      <c r="F299" s="14"/>
      <c r="G299" s="13"/>
      <c r="H299" s="11"/>
      <c r="I299" s="14">
        <v>138.26</v>
      </c>
      <c r="J299" s="11">
        <v>97</v>
      </c>
      <c r="K299" s="14">
        <v>7887.95</v>
      </c>
    </row>
    <row r="300" spans="1:11" ht="14.5" x14ac:dyDescent="0.25">
      <c r="A300" s="10"/>
      <c r="B300" s="10"/>
      <c r="C300" s="10" t="s">
        <v>262</v>
      </c>
      <c r="D300" s="12" t="s">
        <v>261</v>
      </c>
      <c r="E300" s="11">
        <v>51</v>
      </c>
      <c r="F300" s="14"/>
      <c r="G300" s="13"/>
      <c r="H300" s="11"/>
      <c r="I300" s="14">
        <v>72.7</v>
      </c>
      <c r="J300" s="11">
        <v>51</v>
      </c>
      <c r="K300" s="14">
        <v>4147.2700000000004</v>
      </c>
    </row>
    <row r="301" spans="1:11" ht="14.5" x14ac:dyDescent="0.25">
      <c r="A301" s="17"/>
      <c r="B301" s="17"/>
      <c r="C301" s="17" t="s">
        <v>263</v>
      </c>
      <c r="D301" s="18" t="s">
        <v>264</v>
      </c>
      <c r="E301" s="19">
        <v>15</v>
      </c>
      <c r="F301" s="20"/>
      <c r="G301" s="21" t="s">
        <v>13</v>
      </c>
      <c r="H301" s="19">
        <v>1</v>
      </c>
      <c r="I301" s="20">
        <v>10.8</v>
      </c>
      <c r="J301" s="19"/>
      <c r="K301" s="20"/>
    </row>
    <row r="302" spans="1:11" ht="14" x14ac:dyDescent="0.25">
      <c r="C302" s="22" t="s">
        <v>265</v>
      </c>
      <c r="H302" s="143">
        <v>1037.17</v>
      </c>
      <c r="I302" s="143"/>
      <c r="J302" s="143">
        <v>23588.58</v>
      </c>
      <c r="K302" s="143"/>
    </row>
    <row r="303" spans="1:11" ht="14" x14ac:dyDescent="0.25">
      <c r="C303" s="22" t="s">
        <v>267</v>
      </c>
      <c r="H303" s="141">
        <v>1037.17</v>
      </c>
      <c r="I303" s="141"/>
      <c r="J303" s="141">
        <v>23588.58</v>
      </c>
      <c r="K303" s="141"/>
    </row>
    <row r="305" spans="1:11" ht="79" x14ac:dyDescent="0.25">
      <c r="A305" s="10">
        <v>39</v>
      </c>
      <c r="B305" s="10" t="s">
        <v>281</v>
      </c>
      <c r="C305" s="10" t="s">
        <v>62</v>
      </c>
      <c r="D305" s="12" t="s">
        <v>50</v>
      </c>
      <c r="E305" s="11">
        <v>0.3</v>
      </c>
      <c r="F305" s="14"/>
      <c r="G305" s="13"/>
      <c r="H305" s="11"/>
      <c r="I305" s="14"/>
      <c r="J305" s="11"/>
      <c r="K305" s="14"/>
    </row>
    <row r="306" spans="1:11" x14ac:dyDescent="0.25">
      <c r="C306" s="23" t="s">
        <v>1076</v>
      </c>
    </row>
    <row r="307" spans="1:11" ht="14.5" x14ac:dyDescent="0.25">
      <c r="A307" s="10"/>
      <c r="B307" s="10"/>
      <c r="C307" s="10" t="s">
        <v>256</v>
      </c>
      <c r="D307" s="12"/>
      <c r="E307" s="11"/>
      <c r="F307" s="14">
        <v>66.3</v>
      </c>
      <c r="G307" s="15" t="s">
        <v>13</v>
      </c>
      <c r="H307" s="11">
        <v>1</v>
      </c>
      <c r="I307" s="14">
        <v>23.87</v>
      </c>
      <c r="J307" s="11">
        <v>57.05</v>
      </c>
      <c r="K307" s="14">
        <v>1361.78</v>
      </c>
    </row>
    <row r="308" spans="1:11" ht="14.5" x14ac:dyDescent="0.25">
      <c r="A308" s="10"/>
      <c r="B308" s="10"/>
      <c r="C308" s="10" t="s">
        <v>257</v>
      </c>
      <c r="D308" s="12"/>
      <c r="E308" s="11"/>
      <c r="F308" s="14">
        <v>5.25</v>
      </c>
      <c r="G308" s="15" t="s">
        <v>13</v>
      </c>
      <c r="H308" s="11">
        <v>1</v>
      </c>
      <c r="I308" s="14">
        <v>1.89</v>
      </c>
      <c r="J308" s="11">
        <v>15.93</v>
      </c>
      <c r="K308" s="14">
        <v>30.11</v>
      </c>
    </row>
    <row r="309" spans="1:11" ht="14.5" x14ac:dyDescent="0.25">
      <c r="A309" s="10"/>
      <c r="B309" s="10"/>
      <c r="C309" s="10" t="s">
        <v>258</v>
      </c>
      <c r="D309" s="12"/>
      <c r="E309" s="11"/>
      <c r="F309" s="14">
        <v>0.59</v>
      </c>
      <c r="G309" s="15" t="s">
        <v>13</v>
      </c>
      <c r="H309" s="11">
        <v>1</v>
      </c>
      <c r="I309" s="16">
        <v>0.21</v>
      </c>
      <c r="J309" s="11">
        <v>57.05</v>
      </c>
      <c r="K309" s="16">
        <v>11.98</v>
      </c>
    </row>
    <row r="310" spans="1:11" ht="14.5" x14ac:dyDescent="0.25">
      <c r="A310" s="10"/>
      <c r="B310" s="10"/>
      <c r="C310" s="10" t="s">
        <v>259</v>
      </c>
      <c r="D310" s="12"/>
      <c r="E310" s="11"/>
      <c r="F310" s="14">
        <v>61.98</v>
      </c>
      <c r="G310" s="15" t="s">
        <v>1</v>
      </c>
      <c r="H310" s="11">
        <v>1</v>
      </c>
      <c r="I310" s="14">
        <v>18.59</v>
      </c>
      <c r="J310" s="11">
        <v>4.5</v>
      </c>
      <c r="K310" s="14">
        <v>83.66</v>
      </c>
    </row>
    <row r="311" spans="1:11" ht="14.5" x14ac:dyDescent="0.25">
      <c r="A311" s="10"/>
      <c r="B311" s="10"/>
      <c r="C311" s="10" t="s">
        <v>260</v>
      </c>
      <c r="D311" s="12" t="s">
        <v>261</v>
      </c>
      <c r="E311" s="11">
        <v>97</v>
      </c>
      <c r="F311" s="14"/>
      <c r="G311" s="13"/>
      <c r="H311" s="11"/>
      <c r="I311" s="14">
        <v>23.36</v>
      </c>
      <c r="J311" s="11">
        <v>97</v>
      </c>
      <c r="K311" s="14">
        <v>1332.55</v>
      </c>
    </row>
    <row r="312" spans="1:11" ht="14.5" x14ac:dyDescent="0.25">
      <c r="A312" s="10"/>
      <c r="B312" s="10"/>
      <c r="C312" s="10" t="s">
        <v>262</v>
      </c>
      <c r="D312" s="12" t="s">
        <v>261</v>
      </c>
      <c r="E312" s="11">
        <v>51</v>
      </c>
      <c r="F312" s="14"/>
      <c r="G312" s="13"/>
      <c r="H312" s="11"/>
      <c r="I312" s="14">
        <v>12.28</v>
      </c>
      <c r="J312" s="11">
        <v>51</v>
      </c>
      <c r="K312" s="14">
        <v>700.62</v>
      </c>
    </row>
    <row r="313" spans="1:11" ht="14.5" x14ac:dyDescent="0.25">
      <c r="A313" s="17"/>
      <c r="B313" s="17"/>
      <c r="C313" s="17" t="s">
        <v>263</v>
      </c>
      <c r="D313" s="18" t="s">
        <v>264</v>
      </c>
      <c r="E313" s="19">
        <v>5.39</v>
      </c>
      <c r="F313" s="20"/>
      <c r="G313" s="21" t="s">
        <v>13</v>
      </c>
      <c r="H313" s="19">
        <v>1</v>
      </c>
      <c r="I313" s="20">
        <v>1.94</v>
      </c>
      <c r="J313" s="19"/>
      <c r="K313" s="20"/>
    </row>
    <row r="314" spans="1:11" ht="14" x14ac:dyDescent="0.25">
      <c r="C314" s="22" t="s">
        <v>265</v>
      </c>
      <c r="H314" s="143">
        <v>79.989999999999995</v>
      </c>
      <c r="I314" s="143"/>
      <c r="J314" s="143">
        <v>3508.72</v>
      </c>
      <c r="K314" s="143"/>
    </row>
    <row r="315" spans="1:11" ht="14" x14ac:dyDescent="0.25">
      <c r="C315" s="22" t="s">
        <v>267</v>
      </c>
      <c r="H315" s="141">
        <v>79.989999999999995</v>
      </c>
      <c r="I315" s="141"/>
      <c r="J315" s="141">
        <v>3508.72</v>
      </c>
      <c r="K315" s="141"/>
    </row>
    <row r="317" spans="1:11" ht="55" x14ac:dyDescent="0.25">
      <c r="A317" s="17">
        <v>40</v>
      </c>
      <c r="B317" s="17" t="s">
        <v>409</v>
      </c>
      <c r="C317" s="17" t="s">
        <v>1704</v>
      </c>
      <c r="D317" s="18" t="s">
        <v>52</v>
      </c>
      <c r="E317" s="19">
        <v>30.6</v>
      </c>
      <c r="F317" s="20">
        <v>4.12</v>
      </c>
      <c r="G317" s="21" t="s">
        <v>1</v>
      </c>
      <c r="H317" s="19">
        <v>1</v>
      </c>
      <c r="I317" s="20">
        <v>126.07</v>
      </c>
      <c r="J317" s="19">
        <v>10.18</v>
      </c>
      <c r="K317" s="20">
        <v>1283.3900000000001</v>
      </c>
    </row>
    <row r="318" spans="1:11" ht="14" x14ac:dyDescent="0.25">
      <c r="C318" s="22" t="s">
        <v>267</v>
      </c>
      <c r="H318" s="143">
        <v>126.07</v>
      </c>
      <c r="I318" s="143"/>
      <c r="J318" s="143">
        <v>1283.3900000000001</v>
      </c>
      <c r="K318" s="143"/>
    </row>
    <row r="320" spans="1:11" ht="79" x14ac:dyDescent="0.25">
      <c r="A320" s="10">
        <v>41</v>
      </c>
      <c r="B320" s="10" t="s">
        <v>280</v>
      </c>
      <c r="C320" s="10" t="s">
        <v>58</v>
      </c>
      <c r="D320" s="12" t="s">
        <v>50</v>
      </c>
      <c r="E320" s="11">
        <v>0.3</v>
      </c>
      <c r="F320" s="14"/>
      <c r="G320" s="13"/>
      <c r="H320" s="11"/>
      <c r="I320" s="14"/>
      <c r="J320" s="11"/>
      <c r="K320" s="14"/>
    </row>
    <row r="321" spans="1:11" x14ac:dyDescent="0.25">
      <c r="C321" s="23" t="s">
        <v>1076</v>
      </c>
    </row>
    <row r="322" spans="1:11" ht="14.5" x14ac:dyDescent="0.25">
      <c r="A322" s="10"/>
      <c r="B322" s="10"/>
      <c r="C322" s="10" t="s">
        <v>256</v>
      </c>
      <c r="D322" s="12"/>
      <c r="E322" s="11"/>
      <c r="F322" s="14">
        <v>55.23</v>
      </c>
      <c r="G322" s="15" t="s">
        <v>13</v>
      </c>
      <c r="H322" s="11">
        <v>1</v>
      </c>
      <c r="I322" s="14">
        <v>19.88</v>
      </c>
      <c r="J322" s="11">
        <v>57.05</v>
      </c>
      <c r="K322" s="14">
        <v>1134.1500000000001</v>
      </c>
    </row>
    <row r="323" spans="1:11" ht="14.5" x14ac:dyDescent="0.25">
      <c r="A323" s="10"/>
      <c r="B323" s="10"/>
      <c r="C323" s="10" t="s">
        <v>257</v>
      </c>
      <c r="D323" s="12"/>
      <c r="E323" s="11"/>
      <c r="F323" s="14">
        <v>2.62</v>
      </c>
      <c r="G323" s="15" t="s">
        <v>13</v>
      </c>
      <c r="H323" s="11">
        <v>1</v>
      </c>
      <c r="I323" s="14">
        <v>0.94</v>
      </c>
      <c r="J323" s="11">
        <v>15.96</v>
      </c>
      <c r="K323" s="14">
        <v>15</v>
      </c>
    </row>
    <row r="324" spans="1:11" ht="14.5" x14ac:dyDescent="0.25">
      <c r="A324" s="10"/>
      <c r="B324" s="10"/>
      <c r="C324" s="10" t="s">
        <v>258</v>
      </c>
      <c r="D324" s="12"/>
      <c r="E324" s="11"/>
      <c r="F324" s="14">
        <v>0.3</v>
      </c>
      <c r="G324" s="15" t="s">
        <v>13</v>
      </c>
      <c r="H324" s="11">
        <v>1</v>
      </c>
      <c r="I324" s="16">
        <v>0.11</v>
      </c>
      <c r="J324" s="11">
        <v>57.05</v>
      </c>
      <c r="K324" s="16">
        <v>6.28</v>
      </c>
    </row>
    <row r="325" spans="1:11" ht="14.5" x14ac:dyDescent="0.25">
      <c r="A325" s="10"/>
      <c r="B325" s="10"/>
      <c r="C325" s="10" t="s">
        <v>259</v>
      </c>
      <c r="D325" s="12"/>
      <c r="E325" s="11"/>
      <c r="F325" s="14">
        <v>58.15</v>
      </c>
      <c r="G325" s="15" t="s">
        <v>1</v>
      </c>
      <c r="H325" s="11">
        <v>1</v>
      </c>
      <c r="I325" s="14">
        <v>17.45</v>
      </c>
      <c r="J325" s="11">
        <v>3.64</v>
      </c>
      <c r="K325" s="14">
        <v>63.52</v>
      </c>
    </row>
    <row r="326" spans="1:11" ht="14.5" x14ac:dyDescent="0.25">
      <c r="A326" s="10"/>
      <c r="B326" s="10"/>
      <c r="C326" s="10" t="s">
        <v>260</v>
      </c>
      <c r="D326" s="12" t="s">
        <v>261</v>
      </c>
      <c r="E326" s="11">
        <v>97</v>
      </c>
      <c r="F326" s="14"/>
      <c r="G326" s="13"/>
      <c r="H326" s="11"/>
      <c r="I326" s="14">
        <v>19.39</v>
      </c>
      <c r="J326" s="11">
        <v>97</v>
      </c>
      <c r="K326" s="14">
        <v>1106.22</v>
      </c>
    </row>
    <row r="327" spans="1:11" ht="14.5" x14ac:dyDescent="0.25">
      <c r="A327" s="10"/>
      <c r="B327" s="10"/>
      <c r="C327" s="10" t="s">
        <v>262</v>
      </c>
      <c r="D327" s="12" t="s">
        <v>261</v>
      </c>
      <c r="E327" s="11">
        <v>51</v>
      </c>
      <c r="F327" s="14"/>
      <c r="G327" s="13"/>
      <c r="H327" s="11"/>
      <c r="I327" s="14">
        <v>10.19</v>
      </c>
      <c r="J327" s="11">
        <v>51</v>
      </c>
      <c r="K327" s="14">
        <v>581.62</v>
      </c>
    </row>
    <row r="328" spans="1:11" ht="14.5" x14ac:dyDescent="0.25">
      <c r="A328" s="17"/>
      <c r="B328" s="17"/>
      <c r="C328" s="17" t="s">
        <v>263</v>
      </c>
      <c r="D328" s="18" t="s">
        <v>264</v>
      </c>
      <c r="E328" s="19">
        <v>4.49</v>
      </c>
      <c r="F328" s="20"/>
      <c r="G328" s="21" t="s">
        <v>13</v>
      </c>
      <c r="H328" s="19">
        <v>1</v>
      </c>
      <c r="I328" s="20">
        <v>1.62</v>
      </c>
      <c r="J328" s="19"/>
      <c r="K328" s="20"/>
    </row>
    <row r="329" spans="1:11" ht="14" x14ac:dyDescent="0.25">
      <c r="C329" s="22" t="s">
        <v>265</v>
      </c>
      <c r="H329" s="143">
        <v>67.849999999999994</v>
      </c>
      <c r="I329" s="143"/>
      <c r="J329" s="143">
        <v>2900.51</v>
      </c>
      <c r="K329" s="143"/>
    </row>
    <row r="330" spans="1:11" ht="14" x14ac:dyDescent="0.25">
      <c r="C330" s="22" t="s">
        <v>267</v>
      </c>
      <c r="H330" s="141">
        <v>67.849999999999994</v>
      </c>
      <c r="I330" s="141"/>
      <c r="J330" s="141">
        <v>2900.51</v>
      </c>
      <c r="K330" s="141"/>
    </row>
    <row r="332" spans="1:11" ht="55" x14ac:dyDescent="0.25">
      <c r="A332" s="17">
        <v>42</v>
      </c>
      <c r="B332" s="17" t="s">
        <v>409</v>
      </c>
      <c r="C332" s="17" t="s">
        <v>1705</v>
      </c>
      <c r="D332" s="18" t="s">
        <v>52</v>
      </c>
      <c r="E332" s="19">
        <v>30.6</v>
      </c>
      <c r="F332" s="20">
        <v>3.08</v>
      </c>
      <c r="G332" s="21" t="s">
        <v>1</v>
      </c>
      <c r="H332" s="19">
        <v>1</v>
      </c>
      <c r="I332" s="20">
        <v>94.25</v>
      </c>
      <c r="J332" s="19">
        <v>10.18</v>
      </c>
      <c r="K332" s="20">
        <v>959.47</v>
      </c>
    </row>
    <row r="333" spans="1:11" ht="14" x14ac:dyDescent="0.25">
      <c r="C333" s="22" t="s">
        <v>267</v>
      </c>
      <c r="H333" s="143">
        <v>94.25</v>
      </c>
      <c r="I333" s="143"/>
      <c r="J333" s="143">
        <v>959.47</v>
      </c>
      <c r="K333" s="143"/>
    </row>
    <row r="336" spans="1:11" ht="14" x14ac:dyDescent="0.3">
      <c r="A336" s="140" t="s">
        <v>1696</v>
      </c>
      <c r="B336" s="140"/>
      <c r="C336" s="140"/>
      <c r="D336" s="140"/>
      <c r="E336" s="140"/>
      <c r="F336" s="140"/>
      <c r="G336" s="140"/>
      <c r="H336" s="141">
        <v>1405.33</v>
      </c>
      <c r="I336" s="142"/>
      <c r="J336" s="141">
        <v>32240.67</v>
      </c>
      <c r="K336" s="142"/>
    </row>
    <row r="338" spans="1:11" ht="14" x14ac:dyDescent="0.3">
      <c r="A338" s="140" t="s">
        <v>1697</v>
      </c>
      <c r="B338" s="140"/>
      <c r="C338" s="140"/>
      <c r="D338" s="140"/>
      <c r="E338" s="140"/>
      <c r="F338" s="140"/>
      <c r="G338" s="140"/>
      <c r="H338" s="141">
        <v>6209.03</v>
      </c>
      <c r="I338" s="142"/>
      <c r="J338" s="141">
        <v>79173.539999999994</v>
      </c>
      <c r="K338" s="142"/>
    </row>
    <row r="340" spans="1:11" ht="14" x14ac:dyDescent="0.3">
      <c r="A340" s="140" t="s">
        <v>435</v>
      </c>
      <c r="B340" s="140"/>
      <c r="C340" s="140"/>
      <c r="D340" s="140"/>
      <c r="E340" s="140"/>
      <c r="F340" s="140"/>
      <c r="G340" s="140"/>
      <c r="H340" s="141">
        <v>618220.51</v>
      </c>
      <c r="I340" s="142"/>
      <c r="J340" s="141">
        <v>4232299.46</v>
      </c>
      <c r="K340" s="142"/>
    </row>
  </sheetData>
  <mergeCells count="164">
    <mergeCell ref="E17:H17"/>
    <mergeCell ref="E18:H18"/>
    <mergeCell ref="A21:K21"/>
    <mergeCell ref="E13:H13"/>
    <mergeCell ref="E14:H14"/>
    <mergeCell ref="E15:H15"/>
    <mergeCell ref="E16:H16"/>
    <mergeCell ref="J2:K2"/>
    <mergeCell ref="A3:K3"/>
    <mergeCell ref="A4:K4"/>
    <mergeCell ref="A6:K6"/>
    <mergeCell ref="A8:K8"/>
    <mergeCell ref="A9:K9"/>
    <mergeCell ref="H38:I38"/>
    <mergeCell ref="J38:K38"/>
    <mergeCell ref="H48:I48"/>
    <mergeCell ref="J48:K48"/>
    <mergeCell ref="A24:K24"/>
    <mergeCell ref="H34:I34"/>
    <mergeCell ref="J34:K34"/>
    <mergeCell ref="H35:I35"/>
    <mergeCell ref="J35:K35"/>
    <mergeCell ref="H62:I62"/>
    <mergeCell ref="J62:K62"/>
    <mergeCell ref="H65:I65"/>
    <mergeCell ref="J65:K65"/>
    <mergeCell ref="H49:I49"/>
    <mergeCell ref="J49:K49"/>
    <mergeCell ref="H52:I52"/>
    <mergeCell ref="J52:K52"/>
    <mergeCell ref="H61:I61"/>
    <mergeCell ref="J61:K61"/>
    <mergeCell ref="H87:I87"/>
    <mergeCell ref="J87:K87"/>
    <mergeCell ref="H88:I88"/>
    <mergeCell ref="J88:K88"/>
    <mergeCell ref="H76:I76"/>
    <mergeCell ref="J76:K76"/>
    <mergeCell ref="H77:I77"/>
    <mergeCell ref="J77:K77"/>
    <mergeCell ref="H78:I78"/>
    <mergeCell ref="J78:K78"/>
    <mergeCell ref="H105:I105"/>
    <mergeCell ref="J105:K105"/>
    <mergeCell ref="H106:I106"/>
    <mergeCell ref="J106:K106"/>
    <mergeCell ref="H109:I109"/>
    <mergeCell ref="J109:K109"/>
    <mergeCell ref="H91:I91"/>
    <mergeCell ref="J91:K91"/>
    <mergeCell ref="H94:I94"/>
    <mergeCell ref="J94:K94"/>
    <mergeCell ref="H104:I104"/>
    <mergeCell ref="J104:K104"/>
    <mergeCell ref="H122:I122"/>
    <mergeCell ref="J122:K122"/>
    <mergeCell ref="H125:I125"/>
    <mergeCell ref="J125:K125"/>
    <mergeCell ref="H134:I134"/>
    <mergeCell ref="J134:K134"/>
    <mergeCell ref="H118:I118"/>
    <mergeCell ref="J118:K118"/>
    <mergeCell ref="H119:I119"/>
    <mergeCell ref="J119:K119"/>
    <mergeCell ref="H149:I149"/>
    <mergeCell ref="J149:K149"/>
    <mergeCell ref="H158:I158"/>
    <mergeCell ref="J158:K158"/>
    <mergeCell ref="H145:I145"/>
    <mergeCell ref="J145:K145"/>
    <mergeCell ref="H146:I146"/>
    <mergeCell ref="J146:K146"/>
    <mergeCell ref="H135:I135"/>
    <mergeCell ref="J135:K135"/>
    <mergeCell ref="H138:I138"/>
    <mergeCell ref="J138:K138"/>
    <mergeCell ref="H173:I173"/>
    <mergeCell ref="J173:K173"/>
    <mergeCell ref="H176:I176"/>
    <mergeCell ref="J176:K176"/>
    <mergeCell ref="H159:I159"/>
    <mergeCell ref="J159:K159"/>
    <mergeCell ref="H162:I162"/>
    <mergeCell ref="J162:K162"/>
    <mergeCell ref="H172:I172"/>
    <mergeCell ref="J172:K172"/>
    <mergeCell ref="H208:I208"/>
    <mergeCell ref="J208:K208"/>
    <mergeCell ref="H211:I211"/>
    <mergeCell ref="J211:K211"/>
    <mergeCell ref="H194:I194"/>
    <mergeCell ref="J194:K194"/>
    <mergeCell ref="H207:I207"/>
    <mergeCell ref="J207:K207"/>
    <mergeCell ref="A179:G179"/>
    <mergeCell ref="H179:I179"/>
    <mergeCell ref="J179:K179"/>
    <mergeCell ref="A181:K181"/>
    <mergeCell ref="H193:I193"/>
    <mergeCell ref="J193:K193"/>
    <mergeCell ref="H227:I227"/>
    <mergeCell ref="J227:K227"/>
    <mergeCell ref="H230:I230"/>
    <mergeCell ref="J230:K230"/>
    <mergeCell ref="H241:I241"/>
    <mergeCell ref="J241:K241"/>
    <mergeCell ref="H223:I223"/>
    <mergeCell ref="J223:K223"/>
    <mergeCell ref="H224:I224"/>
    <mergeCell ref="J224:K224"/>
    <mergeCell ref="H248:I248"/>
    <mergeCell ref="J248:K248"/>
    <mergeCell ref="A251:G251"/>
    <mergeCell ref="H251:I251"/>
    <mergeCell ref="J251:K251"/>
    <mergeCell ref="A253:K253"/>
    <mergeCell ref="H242:I242"/>
    <mergeCell ref="J242:K242"/>
    <mergeCell ref="H245:I245"/>
    <mergeCell ref="J245:K245"/>
    <mergeCell ref="H267:I267"/>
    <mergeCell ref="J267:K267"/>
    <mergeCell ref="H278:I278"/>
    <mergeCell ref="J278:K278"/>
    <mergeCell ref="A255:K255"/>
    <mergeCell ref="H263:I263"/>
    <mergeCell ref="J263:K263"/>
    <mergeCell ref="H264:I264"/>
    <mergeCell ref="J264:K264"/>
    <mergeCell ref="A288:G288"/>
    <mergeCell ref="H288:I288"/>
    <mergeCell ref="J288:K288"/>
    <mergeCell ref="A290:K290"/>
    <mergeCell ref="H302:I302"/>
    <mergeCell ref="J302:K302"/>
    <mergeCell ref="H279:I279"/>
    <mergeCell ref="J279:K279"/>
    <mergeCell ref="H282:I282"/>
    <mergeCell ref="J282:K282"/>
    <mergeCell ref="H285:I285"/>
    <mergeCell ref="J285:K285"/>
    <mergeCell ref="H329:I329"/>
    <mergeCell ref="J329:K329"/>
    <mergeCell ref="H330:I330"/>
    <mergeCell ref="J330:K330"/>
    <mergeCell ref="H315:I315"/>
    <mergeCell ref="J315:K315"/>
    <mergeCell ref="H318:I318"/>
    <mergeCell ref="J318:K318"/>
    <mergeCell ref="H303:I303"/>
    <mergeCell ref="J303:K303"/>
    <mergeCell ref="H314:I314"/>
    <mergeCell ref="J314:K314"/>
    <mergeCell ref="A340:G340"/>
    <mergeCell ref="H340:I340"/>
    <mergeCell ref="J340:K340"/>
    <mergeCell ref="H333:I333"/>
    <mergeCell ref="J333:K333"/>
    <mergeCell ref="A336:G336"/>
    <mergeCell ref="H336:I336"/>
    <mergeCell ref="J336:K336"/>
    <mergeCell ref="A338:G338"/>
    <mergeCell ref="H338:I338"/>
    <mergeCell ref="J338:K338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5523-249D-4469-8A49-AB5AB3BD19B8}">
  <dimension ref="A1:K141"/>
  <sheetViews>
    <sheetView workbookViewId="0">
      <selection activeCell="A3" sqref="A3:K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9" style="27" bestFit="1" customWidth="1"/>
    <col min="7" max="7" width="8.54296875" style="27" bestFit="1" customWidth="1"/>
    <col min="8" max="10" width="9.26953125" style="27" bestFit="1" customWidth="1"/>
    <col min="11" max="11" width="10.179687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27" customHeight="1" x14ac:dyDescent="0.25">
      <c r="A3" s="161" t="str">
        <f>ССРСС!A11</f>
        <v>Выполнение работ по капитальному ремонту здания в Басманном районе ЦАО города Москвы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1711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1713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8.2799999999999994</v>
      </c>
      <c r="J13" s="5">
        <v>97.28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0.24</v>
      </c>
      <c r="J14" s="7">
        <v>2.4900000000000002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0.84</v>
      </c>
      <c r="J15" s="7">
        <v>40.54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237</v>
      </c>
      <c r="F16" s="145"/>
      <c r="G16" s="145"/>
      <c r="H16" s="145"/>
      <c r="I16" s="7">
        <v>7.2</v>
      </c>
      <c r="J16" s="7">
        <v>54.25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0.28999999999999998</v>
      </c>
      <c r="J17" s="7">
        <v>16.32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22.01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28.5" customHeight="1" x14ac:dyDescent="0.3">
      <c r="A21" s="146" t="s">
        <v>253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1019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79" x14ac:dyDescent="0.25">
      <c r="A25" s="10">
        <v>1</v>
      </c>
      <c r="B25" s="10" t="s">
        <v>1707</v>
      </c>
      <c r="C25" s="10" t="s">
        <v>1708</v>
      </c>
      <c r="D25" s="12" t="s">
        <v>24</v>
      </c>
      <c r="E25" s="11">
        <v>1</v>
      </c>
      <c r="F25" s="14"/>
      <c r="G25" s="13"/>
      <c r="H25" s="11"/>
      <c r="I25" s="14"/>
      <c r="J25" s="11"/>
      <c r="K25" s="14"/>
    </row>
    <row r="26" spans="1:11" ht="14.5" x14ac:dyDescent="0.25">
      <c r="A26" s="10"/>
      <c r="B26" s="10"/>
      <c r="C26" s="10" t="s">
        <v>256</v>
      </c>
      <c r="D26" s="12"/>
      <c r="E26" s="11"/>
      <c r="F26" s="14">
        <v>45.8</v>
      </c>
      <c r="G26" s="15" t="s">
        <v>13</v>
      </c>
      <c r="H26" s="11">
        <v>1</v>
      </c>
      <c r="I26" s="14">
        <v>54.96</v>
      </c>
      <c r="J26" s="11">
        <v>57.05</v>
      </c>
      <c r="K26" s="14">
        <v>3135.47</v>
      </c>
    </row>
    <row r="27" spans="1:11" ht="14.5" x14ac:dyDescent="0.25">
      <c r="A27" s="10"/>
      <c r="B27" s="10"/>
      <c r="C27" s="10" t="s">
        <v>257</v>
      </c>
      <c r="D27" s="12"/>
      <c r="E27" s="11"/>
      <c r="F27" s="14">
        <v>0.08</v>
      </c>
      <c r="G27" s="15" t="s">
        <v>13</v>
      </c>
      <c r="H27" s="11">
        <v>1</v>
      </c>
      <c r="I27" s="14">
        <v>0.1</v>
      </c>
      <c r="J27" s="11">
        <v>9.8800000000000008</v>
      </c>
      <c r="K27" s="14">
        <v>0.99</v>
      </c>
    </row>
    <row r="28" spans="1:11" ht="14.5" x14ac:dyDescent="0.25">
      <c r="A28" s="10"/>
      <c r="B28" s="10"/>
      <c r="C28" s="10" t="s">
        <v>259</v>
      </c>
      <c r="D28" s="12"/>
      <c r="E28" s="11"/>
      <c r="F28" s="14">
        <v>1.78</v>
      </c>
      <c r="G28" s="15" t="s">
        <v>1</v>
      </c>
      <c r="H28" s="11">
        <v>1</v>
      </c>
      <c r="I28" s="14">
        <v>1.78</v>
      </c>
      <c r="J28" s="11">
        <v>0.93</v>
      </c>
      <c r="K28" s="14">
        <v>1.66</v>
      </c>
    </row>
    <row r="29" spans="1:11" ht="14.5" x14ac:dyDescent="0.25">
      <c r="A29" s="10"/>
      <c r="B29" s="10"/>
      <c r="C29" s="10" t="s">
        <v>260</v>
      </c>
      <c r="D29" s="12" t="s">
        <v>261</v>
      </c>
      <c r="E29" s="11">
        <v>90</v>
      </c>
      <c r="F29" s="14"/>
      <c r="G29" s="13"/>
      <c r="H29" s="11"/>
      <c r="I29" s="14">
        <v>49.46</v>
      </c>
      <c r="J29" s="11">
        <v>90</v>
      </c>
      <c r="K29" s="14">
        <v>2821.92</v>
      </c>
    </row>
    <row r="30" spans="1:11" ht="14.5" x14ac:dyDescent="0.25">
      <c r="A30" s="10"/>
      <c r="B30" s="10"/>
      <c r="C30" s="10" t="s">
        <v>262</v>
      </c>
      <c r="D30" s="12" t="s">
        <v>261</v>
      </c>
      <c r="E30" s="11">
        <v>46</v>
      </c>
      <c r="F30" s="14"/>
      <c r="G30" s="13"/>
      <c r="H30" s="11"/>
      <c r="I30" s="14">
        <v>25.28</v>
      </c>
      <c r="J30" s="11">
        <v>46</v>
      </c>
      <c r="K30" s="14">
        <v>1442.32</v>
      </c>
    </row>
    <row r="31" spans="1:11" ht="14.5" x14ac:dyDescent="0.25">
      <c r="A31" s="17"/>
      <c r="B31" s="17"/>
      <c r="C31" s="17" t="s">
        <v>263</v>
      </c>
      <c r="D31" s="18" t="s">
        <v>264</v>
      </c>
      <c r="E31" s="19">
        <v>4</v>
      </c>
      <c r="F31" s="20"/>
      <c r="G31" s="21" t="s">
        <v>13</v>
      </c>
      <c r="H31" s="19">
        <v>1</v>
      </c>
      <c r="I31" s="20">
        <v>4.8</v>
      </c>
      <c r="J31" s="19"/>
      <c r="K31" s="20"/>
    </row>
    <row r="32" spans="1:11" ht="14" x14ac:dyDescent="0.25">
      <c r="C32" s="22" t="s">
        <v>265</v>
      </c>
      <c r="H32" s="143">
        <v>131.58000000000001</v>
      </c>
      <c r="I32" s="143"/>
      <c r="J32" s="143">
        <v>7402.36</v>
      </c>
      <c r="K32" s="143"/>
    </row>
    <row r="33" spans="1:11" ht="14" x14ac:dyDescent="0.25">
      <c r="C33" s="22" t="s">
        <v>267</v>
      </c>
      <c r="H33" s="141">
        <v>131.58000000000001</v>
      </c>
      <c r="I33" s="141"/>
      <c r="J33" s="141">
        <v>7402.36</v>
      </c>
      <c r="K33" s="141"/>
    </row>
    <row r="35" spans="1:11" ht="54" x14ac:dyDescent="0.25">
      <c r="A35" s="17">
        <v>2</v>
      </c>
      <c r="B35" s="17" t="s">
        <v>409</v>
      </c>
      <c r="C35" s="17" t="s">
        <v>1714</v>
      </c>
      <c r="D35" s="18" t="s">
        <v>11</v>
      </c>
      <c r="E35" s="19">
        <v>1</v>
      </c>
      <c r="F35" s="20">
        <v>2262.61</v>
      </c>
      <c r="G35" s="21" t="s">
        <v>1</v>
      </c>
      <c r="H35" s="19">
        <v>1</v>
      </c>
      <c r="I35" s="20">
        <v>2262.61</v>
      </c>
      <c r="J35" s="19">
        <v>7.54</v>
      </c>
      <c r="K35" s="20">
        <v>17060.080000000002</v>
      </c>
    </row>
    <row r="36" spans="1:11" ht="14" x14ac:dyDescent="0.25">
      <c r="C36" s="22" t="s">
        <v>267</v>
      </c>
      <c r="H36" s="143">
        <v>2262.61</v>
      </c>
      <c r="I36" s="143"/>
      <c r="J36" s="143">
        <v>17060.080000000002</v>
      </c>
      <c r="K36" s="143"/>
    </row>
    <row r="38" spans="1:11" ht="79" x14ac:dyDescent="0.25">
      <c r="A38" s="10">
        <v>3</v>
      </c>
      <c r="B38" s="10" t="s">
        <v>1678</v>
      </c>
      <c r="C38" s="10" t="s">
        <v>1679</v>
      </c>
      <c r="D38" s="12" t="s">
        <v>226</v>
      </c>
      <c r="E38" s="11">
        <v>0.1</v>
      </c>
      <c r="F38" s="14"/>
      <c r="G38" s="13"/>
      <c r="H38" s="11"/>
      <c r="I38" s="14"/>
      <c r="J38" s="11"/>
      <c r="K38" s="14"/>
    </row>
    <row r="39" spans="1:11" x14ac:dyDescent="0.25">
      <c r="C39" s="23" t="s">
        <v>707</v>
      </c>
    </row>
    <row r="40" spans="1:11" ht="14.5" x14ac:dyDescent="0.25">
      <c r="A40" s="10"/>
      <c r="B40" s="10"/>
      <c r="C40" s="10" t="s">
        <v>256</v>
      </c>
      <c r="D40" s="12"/>
      <c r="E40" s="11"/>
      <c r="F40" s="14">
        <v>227.44</v>
      </c>
      <c r="G40" s="15" t="s">
        <v>13</v>
      </c>
      <c r="H40" s="11">
        <v>1</v>
      </c>
      <c r="I40" s="14">
        <v>27.29</v>
      </c>
      <c r="J40" s="11">
        <v>57.05</v>
      </c>
      <c r="K40" s="14">
        <v>1556.89</v>
      </c>
    </row>
    <row r="41" spans="1:11" ht="14.5" x14ac:dyDescent="0.25">
      <c r="A41" s="10"/>
      <c r="B41" s="10"/>
      <c r="C41" s="10" t="s">
        <v>257</v>
      </c>
      <c r="D41" s="12"/>
      <c r="E41" s="11"/>
      <c r="F41" s="14">
        <v>6.07</v>
      </c>
      <c r="G41" s="15" t="s">
        <v>13</v>
      </c>
      <c r="H41" s="11">
        <v>1</v>
      </c>
      <c r="I41" s="14">
        <v>0.73</v>
      </c>
      <c r="J41" s="11">
        <v>16.43</v>
      </c>
      <c r="K41" s="14">
        <v>11.99</v>
      </c>
    </row>
    <row r="42" spans="1:11" ht="14.5" x14ac:dyDescent="0.25">
      <c r="A42" s="10"/>
      <c r="B42" s="10"/>
      <c r="C42" s="10" t="s">
        <v>258</v>
      </c>
      <c r="D42" s="12"/>
      <c r="E42" s="11"/>
      <c r="F42" s="14">
        <v>0.76</v>
      </c>
      <c r="G42" s="15" t="s">
        <v>13</v>
      </c>
      <c r="H42" s="11">
        <v>1</v>
      </c>
      <c r="I42" s="16">
        <v>0.09</v>
      </c>
      <c r="J42" s="11">
        <v>57.05</v>
      </c>
      <c r="K42" s="16">
        <v>5.13</v>
      </c>
    </row>
    <row r="43" spans="1:11" ht="14.5" x14ac:dyDescent="0.25">
      <c r="A43" s="10"/>
      <c r="B43" s="10"/>
      <c r="C43" s="10" t="s">
        <v>259</v>
      </c>
      <c r="D43" s="12"/>
      <c r="E43" s="11"/>
      <c r="F43" s="14">
        <v>2.44</v>
      </c>
      <c r="G43" s="15" t="s">
        <v>1</v>
      </c>
      <c r="H43" s="11">
        <v>1</v>
      </c>
      <c r="I43" s="14">
        <v>0.24</v>
      </c>
      <c r="J43" s="11">
        <v>7.61</v>
      </c>
      <c r="K43" s="14">
        <v>1.83</v>
      </c>
    </row>
    <row r="44" spans="1:11" ht="14.5" x14ac:dyDescent="0.25">
      <c r="A44" s="10"/>
      <c r="B44" s="10"/>
      <c r="C44" s="10" t="s">
        <v>260</v>
      </c>
      <c r="D44" s="12" t="s">
        <v>261</v>
      </c>
      <c r="E44" s="11">
        <v>90</v>
      </c>
      <c r="F44" s="14"/>
      <c r="G44" s="13"/>
      <c r="H44" s="11"/>
      <c r="I44" s="14">
        <v>24.64</v>
      </c>
      <c r="J44" s="11">
        <v>90</v>
      </c>
      <c r="K44" s="14">
        <v>1405.82</v>
      </c>
    </row>
    <row r="45" spans="1:11" ht="14.5" x14ac:dyDescent="0.25">
      <c r="A45" s="10"/>
      <c r="B45" s="10"/>
      <c r="C45" s="10" t="s">
        <v>262</v>
      </c>
      <c r="D45" s="12" t="s">
        <v>261</v>
      </c>
      <c r="E45" s="11">
        <v>46</v>
      </c>
      <c r="F45" s="14"/>
      <c r="G45" s="13"/>
      <c r="H45" s="11"/>
      <c r="I45" s="14">
        <v>12.59</v>
      </c>
      <c r="J45" s="11">
        <v>46</v>
      </c>
      <c r="K45" s="14">
        <v>718.53</v>
      </c>
    </row>
    <row r="46" spans="1:11" ht="14.5" x14ac:dyDescent="0.25">
      <c r="A46" s="17"/>
      <c r="B46" s="17"/>
      <c r="C46" s="17" t="s">
        <v>263</v>
      </c>
      <c r="D46" s="18" t="s">
        <v>264</v>
      </c>
      <c r="E46" s="19">
        <v>14.64</v>
      </c>
      <c r="F46" s="20"/>
      <c r="G46" s="21" t="s">
        <v>13</v>
      </c>
      <c r="H46" s="19">
        <v>1</v>
      </c>
      <c r="I46" s="20">
        <v>1.76</v>
      </c>
      <c r="J46" s="19"/>
      <c r="K46" s="20"/>
    </row>
    <row r="47" spans="1:11" ht="14" x14ac:dyDescent="0.25">
      <c r="C47" s="22" t="s">
        <v>265</v>
      </c>
      <c r="H47" s="143">
        <v>65.489999999999995</v>
      </c>
      <c r="I47" s="143"/>
      <c r="J47" s="143">
        <v>3695.06</v>
      </c>
      <c r="K47" s="143"/>
    </row>
    <row r="48" spans="1:11" ht="14" x14ac:dyDescent="0.25">
      <c r="C48" s="22" t="s">
        <v>267</v>
      </c>
      <c r="H48" s="141">
        <v>65.489999999999995</v>
      </c>
      <c r="I48" s="141"/>
      <c r="J48" s="141">
        <v>3695.06</v>
      </c>
      <c r="K48" s="141"/>
    </row>
    <row r="50" spans="1:11" ht="68" x14ac:dyDescent="0.25">
      <c r="A50" s="17">
        <v>4</v>
      </c>
      <c r="B50" s="17" t="s">
        <v>409</v>
      </c>
      <c r="C50" s="17" t="s">
        <v>1715</v>
      </c>
      <c r="D50" s="18" t="s">
        <v>11</v>
      </c>
      <c r="E50" s="19">
        <v>1</v>
      </c>
      <c r="F50" s="20">
        <v>1401.07</v>
      </c>
      <c r="G50" s="21" t="s">
        <v>1</v>
      </c>
      <c r="H50" s="19">
        <v>1</v>
      </c>
      <c r="I50" s="20">
        <v>1401.07</v>
      </c>
      <c r="J50" s="19">
        <v>7.54</v>
      </c>
      <c r="K50" s="20">
        <v>10564.07</v>
      </c>
    </row>
    <row r="51" spans="1:11" ht="14" x14ac:dyDescent="0.25">
      <c r="C51" s="22" t="s">
        <v>267</v>
      </c>
      <c r="H51" s="143">
        <v>1401.07</v>
      </c>
      <c r="I51" s="143"/>
      <c r="J51" s="143">
        <v>10564.07</v>
      </c>
      <c r="K51" s="143"/>
    </row>
    <row r="53" spans="1:11" ht="84" x14ac:dyDescent="0.25">
      <c r="A53" s="10">
        <v>5</v>
      </c>
      <c r="B53" s="10" t="s">
        <v>1709</v>
      </c>
      <c r="C53" s="10" t="s">
        <v>1710</v>
      </c>
      <c r="D53" s="12" t="s">
        <v>1712</v>
      </c>
      <c r="E53" s="11">
        <v>2</v>
      </c>
      <c r="F53" s="14"/>
      <c r="G53" s="13"/>
      <c r="H53" s="11"/>
      <c r="I53" s="14"/>
      <c r="J53" s="11"/>
      <c r="K53" s="14"/>
    </row>
    <row r="54" spans="1:11" ht="14.5" x14ac:dyDescent="0.25">
      <c r="A54" s="10"/>
      <c r="B54" s="10"/>
      <c r="C54" s="10" t="s">
        <v>256</v>
      </c>
      <c r="D54" s="12"/>
      <c r="E54" s="11"/>
      <c r="F54" s="14">
        <v>29.08</v>
      </c>
      <c r="G54" s="15" t="s">
        <v>13</v>
      </c>
      <c r="H54" s="11">
        <v>1</v>
      </c>
      <c r="I54" s="14">
        <v>69.790000000000006</v>
      </c>
      <c r="J54" s="11">
        <v>57.05</v>
      </c>
      <c r="K54" s="14">
        <v>3981.52</v>
      </c>
    </row>
    <row r="55" spans="1:11" ht="14.5" x14ac:dyDescent="0.25">
      <c r="A55" s="10"/>
      <c r="B55" s="10"/>
      <c r="C55" s="10" t="s">
        <v>260</v>
      </c>
      <c r="D55" s="12" t="s">
        <v>261</v>
      </c>
      <c r="E55" s="11">
        <v>95</v>
      </c>
      <c r="F55" s="14"/>
      <c r="G55" s="13"/>
      <c r="H55" s="11"/>
      <c r="I55" s="14">
        <v>66.3</v>
      </c>
      <c r="J55" s="11">
        <v>95</v>
      </c>
      <c r="K55" s="14">
        <v>3782.44</v>
      </c>
    </row>
    <row r="56" spans="1:11" ht="14.5" x14ac:dyDescent="0.25">
      <c r="A56" s="10"/>
      <c r="B56" s="10"/>
      <c r="C56" s="10" t="s">
        <v>262</v>
      </c>
      <c r="D56" s="12" t="s">
        <v>261</v>
      </c>
      <c r="E56" s="11">
        <v>53</v>
      </c>
      <c r="F56" s="14"/>
      <c r="G56" s="13"/>
      <c r="H56" s="11"/>
      <c r="I56" s="14">
        <v>36.99</v>
      </c>
      <c r="J56" s="11">
        <v>53</v>
      </c>
      <c r="K56" s="14">
        <v>2110.21</v>
      </c>
    </row>
    <row r="57" spans="1:11" ht="14.5" x14ac:dyDescent="0.25">
      <c r="A57" s="17"/>
      <c r="B57" s="17"/>
      <c r="C57" s="17" t="s">
        <v>263</v>
      </c>
      <c r="D57" s="18" t="s">
        <v>264</v>
      </c>
      <c r="E57" s="19">
        <v>2</v>
      </c>
      <c r="F57" s="20"/>
      <c r="G57" s="21" t="s">
        <v>13</v>
      </c>
      <c r="H57" s="19">
        <v>1</v>
      </c>
      <c r="I57" s="20">
        <v>4.8</v>
      </c>
      <c r="J57" s="19"/>
      <c r="K57" s="20"/>
    </row>
    <row r="58" spans="1:11" ht="14" x14ac:dyDescent="0.25">
      <c r="C58" s="22" t="s">
        <v>265</v>
      </c>
      <c r="H58" s="143">
        <v>173.08</v>
      </c>
      <c r="I58" s="143"/>
      <c r="J58" s="143">
        <v>9874.17</v>
      </c>
      <c r="K58" s="143"/>
    </row>
    <row r="59" spans="1:11" ht="14" x14ac:dyDescent="0.25">
      <c r="C59" s="22" t="s">
        <v>267</v>
      </c>
      <c r="H59" s="141">
        <v>173.08</v>
      </c>
      <c r="I59" s="141"/>
      <c r="J59" s="141">
        <v>9874.17</v>
      </c>
      <c r="K59" s="141"/>
    </row>
    <row r="61" spans="1:11" ht="54" x14ac:dyDescent="0.25">
      <c r="A61" s="17">
        <v>6</v>
      </c>
      <c r="B61" s="17" t="s">
        <v>409</v>
      </c>
      <c r="C61" s="17" t="s">
        <v>1716</v>
      </c>
      <c r="D61" s="18" t="s">
        <v>11</v>
      </c>
      <c r="E61" s="19">
        <v>2</v>
      </c>
      <c r="F61" s="20">
        <v>493.94</v>
      </c>
      <c r="G61" s="21" t="s">
        <v>1</v>
      </c>
      <c r="H61" s="19">
        <v>1</v>
      </c>
      <c r="I61" s="20">
        <v>987.88</v>
      </c>
      <c r="J61" s="19">
        <v>7.54</v>
      </c>
      <c r="K61" s="20">
        <v>7448.62</v>
      </c>
    </row>
    <row r="62" spans="1:11" ht="14" x14ac:dyDescent="0.25">
      <c r="C62" s="22" t="s">
        <v>267</v>
      </c>
      <c r="H62" s="143">
        <v>987.88</v>
      </c>
      <c r="I62" s="143"/>
      <c r="J62" s="143">
        <v>7448.62</v>
      </c>
      <c r="K62" s="143"/>
    </row>
    <row r="64" spans="1:11" ht="79" x14ac:dyDescent="0.25">
      <c r="A64" s="10">
        <v>7</v>
      </c>
      <c r="B64" s="10" t="s">
        <v>908</v>
      </c>
      <c r="C64" s="10" t="s">
        <v>909</v>
      </c>
      <c r="D64" s="12" t="s">
        <v>24</v>
      </c>
      <c r="E64" s="11">
        <v>2</v>
      </c>
      <c r="F64" s="14"/>
      <c r="G64" s="13"/>
      <c r="H64" s="11"/>
      <c r="I64" s="14"/>
      <c r="J64" s="11"/>
      <c r="K64" s="14"/>
    </row>
    <row r="65" spans="1:11" ht="14.5" x14ac:dyDescent="0.25">
      <c r="A65" s="10"/>
      <c r="B65" s="10"/>
      <c r="C65" s="10" t="s">
        <v>256</v>
      </c>
      <c r="D65" s="12"/>
      <c r="E65" s="11"/>
      <c r="F65" s="14">
        <v>11.89</v>
      </c>
      <c r="G65" s="15" t="s">
        <v>13</v>
      </c>
      <c r="H65" s="11">
        <v>1</v>
      </c>
      <c r="I65" s="14">
        <v>28.54</v>
      </c>
      <c r="J65" s="11">
        <v>57.05</v>
      </c>
      <c r="K65" s="14">
        <v>1628.21</v>
      </c>
    </row>
    <row r="66" spans="1:11" ht="14.5" x14ac:dyDescent="0.25">
      <c r="A66" s="10"/>
      <c r="B66" s="10"/>
      <c r="C66" s="10" t="s">
        <v>259</v>
      </c>
      <c r="D66" s="12"/>
      <c r="E66" s="11"/>
      <c r="F66" s="14">
        <v>1.67</v>
      </c>
      <c r="G66" s="15" t="s">
        <v>1</v>
      </c>
      <c r="H66" s="11">
        <v>1</v>
      </c>
      <c r="I66" s="14">
        <v>3.34</v>
      </c>
      <c r="J66" s="11">
        <v>17.41</v>
      </c>
      <c r="K66" s="14">
        <v>58.15</v>
      </c>
    </row>
    <row r="67" spans="1:11" ht="14.5" x14ac:dyDescent="0.25">
      <c r="A67" s="10"/>
      <c r="B67" s="10"/>
      <c r="C67" s="10" t="s">
        <v>260</v>
      </c>
      <c r="D67" s="12" t="s">
        <v>261</v>
      </c>
      <c r="E67" s="11">
        <v>95</v>
      </c>
      <c r="F67" s="14"/>
      <c r="G67" s="13"/>
      <c r="H67" s="11"/>
      <c r="I67" s="14">
        <v>27.11</v>
      </c>
      <c r="J67" s="11">
        <v>95</v>
      </c>
      <c r="K67" s="14">
        <v>1546.8</v>
      </c>
    </row>
    <row r="68" spans="1:11" ht="14.5" x14ac:dyDescent="0.25">
      <c r="A68" s="10"/>
      <c r="B68" s="10"/>
      <c r="C68" s="10" t="s">
        <v>262</v>
      </c>
      <c r="D68" s="12" t="s">
        <v>261</v>
      </c>
      <c r="E68" s="11">
        <v>53</v>
      </c>
      <c r="F68" s="14"/>
      <c r="G68" s="13"/>
      <c r="H68" s="11"/>
      <c r="I68" s="14">
        <v>15.13</v>
      </c>
      <c r="J68" s="11">
        <v>53</v>
      </c>
      <c r="K68" s="14">
        <v>862.95</v>
      </c>
    </row>
    <row r="69" spans="1:11" ht="14.5" x14ac:dyDescent="0.25">
      <c r="A69" s="17"/>
      <c r="B69" s="17"/>
      <c r="C69" s="17" t="s">
        <v>263</v>
      </c>
      <c r="D69" s="18" t="s">
        <v>264</v>
      </c>
      <c r="E69" s="19">
        <v>1</v>
      </c>
      <c r="F69" s="20"/>
      <c r="G69" s="21" t="s">
        <v>13</v>
      </c>
      <c r="H69" s="19">
        <v>1</v>
      </c>
      <c r="I69" s="20">
        <v>2.4</v>
      </c>
      <c r="J69" s="19"/>
      <c r="K69" s="20"/>
    </row>
    <row r="70" spans="1:11" ht="14" x14ac:dyDescent="0.25">
      <c r="C70" s="22" t="s">
        <v>265</v>
      </c>
      <c r="H70" s="143">
        <v>74.12</v>
      </c>
      <c r="I70" s="143"/>
      <c r="J70" s="143">
        <v>4096.1099999999997</v>
      </c>
      <c r="K70" s="143"/>
    </row>
    <row r="71" spans="1:11" ht="14" x14ac:dyDescent="0.25">
      <c r="C71" s="22" t="s">
        <v>267</v>
      </c>
      <c r="H71" s="141">
        <v>74.12</v>
      </c>
      <c r="I71" s="141"/>
      <c r="J71" s="141">
        <v>4096.1099999999997</v>
      </c>
      <c r="K71" s="141"/>
    </row>
    <row r="73" spans="1:11" ht="54" x14ac:dyDescent="0.25">
      <c r="A73" s="17">
        <v>8</v>
      </c>
      <c r="B73" s="17" t="s">
        <v>409</v>
      </c>
      <c r="C73" s="17" t="s">
        <v>1717</v>
      </c>
      <c r="D73" s="18" t="s">
        <v>11</v>
      </c>
      <c r="E73" s="19">
        <v>1</v>
      </c>
      <c r="F73" s="20">
        <v>925.19</v>
      </c>
      <c r="G73" s="21" t="s">
        <v>1</v>
      </c>
      <c r="H73" s="19">
        <v>1</v>
      </c>
      <c r="I73" s="20">
        <v>925.19</v>
      </c>
      <c r="J73" s="19">
        <v>7.54</v>
      </c>
      <c r="K73" s="20">
        <v>6975.93</v>
      </c>
    </row>
    <row r="74" spans="1:11" ht="14" x14ac:dyDescent="0.25">
      <c r="C74" s="22" t="s">
        <v>267</v>
      </c>
      <c r="H74" s="143">
        <v>925.19</v>
      </c>
      <c r="I74" s="143"/>
      <c r="J74" s="143">
        <v>6975.93</v>
      </c>
      <c r="K74" s="143"/>
    </row>
    <row r="76" spans="1:11" ht="68" x14ac:dyDescent="0.25">
      <c r="A76" s="17">
        <v>9</v>
      </c>
      <c r="B76" s="17" t="s">
        <v>409</v>
      </c>
      <c r="C76" s="17" t="s">
        <v>1718</v>
      </c>
      <c r="D76" s="18" t="s">
        <v>11</v>
      </c>
      <c r="E76" s="19">
        <v>1</v>
      </c>
      <c r="F76" s="20">
        <v>1153.55</v>
      </c>
      <c r="G76" s="21" t="s">
        <v>1</v>
      </c>
      <c r="H76" s="19">
        <v>1</v>
      </c>
      <c r="I76" s="20">
        <v>1153.55</v>
      </c>
      <c r="J76" s="19">
        <v>7.54</v>
      </c>
      <c r="K76" s="20">
        <v>8697.77</v>
      </c>
    </row>
    <row r="77" spans="1:11" ht="14" x14ac:dyDescent="0.25">
      <c r="C77" s="22" t="s">
        <v>267</v>
      </c>
      <c r="H77" s="143">
        <v>1153.55</v>
      </c>
      <c r="I77" s="143"/>
      <c r="J77" s="143">
        <v>8697.77</v>
      </c>
      <c r="K77" s="143"/>
    </row>
    <row r="79" spans="1:11" ht="79" x14ac:dyDescent="0.25">
      <c r="A79" s="10">
        <v>10</v>
      </c>
      <c r="B79" s="10" t="s">
        <v>912</v>
      </c>
      <c r="C79" s="10" t="s">
        <v>913</v>
      </c>
      <c r="D79" s="12" t="s">
        <v>24</v>
      </c>
      <c r="E79" s="11">
        <v>1</v>
      </c>
      <c r="F79" s="14"/>
      <c r="G79" s="13"/>
      <c r="H79" s="11"/>
      <c r="I79" s="14"/>
      <c r="J79" s="11"/>
      <c r="K79" s="14"/>
    </row>
    <row r="80" spans="1:11" ht="14.5" x14ac:dyDescent="0.25">
      <c r="A80" s="10"/>
      <c r="B80" s="10"/>
      <c r="C80" s="10" t="s">
        <v>256</v>
      </c>
      <c r="D80" s="12"/>
      <c r="E80" s="11"/>
      <c r="F80" s="14">
        <v>40.17</v>
      </c>
      <c r="G80" s="15" t="s">
        <v>13</v>
      </c>
      <c r="H80" s="11">
        <v>1</v>
      </c>
      <c r="I80" s="14">
        <v>48.2</v>
      </c>
      <c r="J80" s="11">
        <v>57.05</v>
      </c>
      <c r="K80" s="14">
        <v>2749.81</v>
      </c>
    </row>
    <row r="81" spans="1:11" ht="14.5" x14ac:dyDescent="0.25">
      <c r="A81" s="10"/>
      <c r="B81" s="10"/>
      <c r="C81" s="10" t="s">
        <v>259</v>
      </c>
      <c r="D81" s="12"/>
      <c r="E81" s="11"/>
      <c r="F81" s="14">
        <v>2.34</v>
      </c>
      <c r="G81" s="15" t="s">
        <v>1</v>
      </c>
      <c r="H81" s="11">
        <v>1</v>
      </c>
      <c r="I81" s="14">
        <v>2.34</v>
      </c>
      <c r="J81" s="11">
        <v>9.91</v>
      </c>
      <c r="K81" s="14">
        <v>23.19</v>
      </c>
    </row>
    <row r="82" spans="1:11" ht="14.5" x14ac:dyDescent="0.25">
      <c r="A82" s="10"/>
      <c r="B82" s="10"/>
      <c r="C82" s="10" t="s">
        <v>260</v>
      </c>
      <c r="D82" s="12" t="s">
        <v>261</v>
      </c>
      <c r="E82" s="11">
        <v>90</v>
      </c>
      <c r="F82" s="14"/>
      <c r="G82" s="13"/>
      <c r="H82" s="11"/>
      <c r="I82" s="14">
        <v>43.38</v>
      </c>
      <c r="J82" s="11">
        <v>90</v>
      </c>
      <c r="K82" s="14">
        <v>2474.83</v>
      </c>
    </row>
    <row r="83" spans="1:11" ht="14.5" x14ac:dyDescent="0.25">
      <c r="A83" s="10"/>
      <c r="B83" s="10"/>
      <c r="C83" s="10" t="s">
        <v>262</v>
      </c>
      <c r="D83" s="12" t="s">
        <v>261</v>
      </c>
      <c r="E83" s="11">
        <v>46</v>
      </c>
      <c r="F83" s="14"/>
      <c r="G83" s="13"/>
      <c r="H83" s="11"/>
      <c r="I83" s="14">
        <v>22.17</v>
      </c>
      <c r="J83" s="11">
        <v>46</v>
      </c>
      <c r="K83" s="14">
        <v>1264.9100000000001</v>
      </c>
    </row>
    <row r="84" spans="1:11" ht="14.5" x14ac:dyDescent="0.25">
      <c r="A84" s="17"/>
      <c r="B84" s="17"/>
      <c r="C84" s="17" t="s">
        <v>263</v>
      </c>
      <c r="D84" s="18" t="s">
        <v>264</v>
      </c>
      <c r="E84" s="19">
        <v>3.18</v>
      </c>
      <c r="F84" s="20"/>
      <c r="G84" s="21" t="s">
        <v>13</v>
      </c>
      <c r="H84" s="19">
        <v>1</v>
      </c>
      <c r="I84" s="20">
        <v>3.82</v>
      </c>
      <c r="J84" s="19"/>
      <c r="K84" s="20"/>
    </row>
    <row r="85" spans="1:11" ht="14" x14ac:dyDescent="0.25">
      <c r="C85" s="22" t="s">
        <v>265</v>
      </c>
      <c r="H85" s="143">
        <v>116.09</v>
      </c>
      <c r="I85" s="143"/>
      <c r="J85" s="143">
        <v>6512.74</v>
      </c>
      <c r="K85" s="143"/>
    </row>
    <row r="86" spans="1:11" ht="14" x14ac:dyDescent="0.25">
      <c r="C86" s="22" t="s">
        <v>267</v>
      </c>
      <c r="H86" s="141">
        <v>116.09</v>
      </c>
      <c r="I86" s="141"/>
      <c r="J86" s="141">
        <v>6512.74</v>
      </c>
      <c r="K86" s="141"/>
    </row>
    <row r="88" spans="1:11" ht="54" x14ac:dyDescent="0.25">
      <c r="A88" s="17">
        <v>11</v>
      </c>
      <c r="B88" s="17" t="s">
        <v>409</v>
      </c>
      <c r="C88" s="17" t="s">
        <v>2056</v>
      </c>
      <c r="D88" s="18" t="s">
        <v>11</v>
      </c>
      <c r="E88" s="19">
        <v>1</v>
      </c>
      <c r="F88" s="20">
        <v>465.17</v>
      </c>
      <c r="G88" s="21" t="s">
        <v>1</v>
      </c>
      <c r="H88" s="19">
        <v>1</v>
      </c>
      <c r="I88" s="20">
        <v>465.17</v>
      </c>
      <c r="J88" s="19">
        <v>7.54</v>
      </c>
      <c r="K88" s="20">
        <v>3507.38</v>
      </c>
    </row>
    <row r="89" spans="1:11" ht="14" x14ac:dyDescent="0.25">
      <c r="C89" s="22" t="s">
        <v>267</v>
      </c>
      <c r="H89" s="143">
        <v>465.17</v>
      </c>
      <c r="I89" s="143"/>
      <c r="J89" s="143">
        <v>3507.38</v>
      </c>
      <c r="K89" s="143"/>
    </row>
    <row r="92" spans="1:11" ht="14" x14ac:dyDescent="0.3">
      <c r="A92" s="140" t="s">
        <v>1023</v>
      </c>
      <c r="B92" s="140"/>
      <c r="C92" s="140"/>
      <c r="D92" s="140"/>
      <c r="E92" s="140"/>
      <c r="F92" s="140"/>
      <c r="G92" s="140"/>
      <c r="H92" s="141">
        <v>7755.83</v>
      </c>
      <c r="I92" s="142"/>
      <c r="J92" s="141">
        <v>85834.29</v>
      </c>
      <c r="K92" s="142"/>
    </row>
    <row r="94" spans="1:11" ht="16.5" x14ac:dyDescent="0.25">
      <c r="A94" s="144" t="s">
        <v>951</v>
      </c>
      <c r="B94" s="144"/>
      <c r="C94" s="144"/>
      <c r="D94" s="144"/>
      <c r="E94" s="144"/>
      <c r="F94" s="144"/>
      <c r="G94" s="144"/>
      <c r="H94" s="144"/>
      <c r="I94" s="144"/>
      <c r="J94" s="144"/>
      <c r="K94" s="144"/>
    </row>
    <row r="95" spans="1:11" ht="79" x14ac:dyDescent="0.25">
      <c r="A95" s="10">
        <v>12</v>
      </c>
      <c r="B95" s="10" t="s">
        <v>287</v>
      </c>
      <c r="C95" s="10" t="s">
        <v>91</v>
      </c>
      <c r="D95" s="12" t="s">
        <v>50</v>
      </c>
      <c r="E95" s="11">
        <v>0.15</v>
      </c>
      <c r="F95" s="14"/>
      <c r="G95" s="13"/>
      <c r="H95" s="11"/>
      <c r="I95" s="14"/>
      <c r="J95" s="11"/>
      <c r="K95" s="14"/>
    </row>
    <row r="96" spans="1:11" x14ac:dyDescent="0.25">
      <c r="C96" s="23" t="s">
        <v>1074</v>
      </c>
    </row>
    <row r="97" spans="1:11" ht="14.5" x14ac:dyDescent="0.25">
      <c r="A97" s="10"/>
      <c r="B97" s="10"/>
      <c r="C97" s="10" t="s">
        <v>256</v>
      </c>
      <c r="D97" s="12"/>
      <c r="E97" s="11"/>
      <c r="F97" s="14">
        <v>192.26</v>
      </c>
      <c r="G97" s="15" t="s">
        <v>13</v>
      </c>
      <c r="H97" s="11">
        <v>1</v>
      </c>
      <c r="I97" s="14">
        <v>34.61</v>
      </c>
      <c r="J97" s="11">
        <v>57.05</v>
      </c>
      <c r="K97" s="14">
        <v>1974.5</v>
      </c>
    </row>
    <row r="98" spans="1:11" ht="14.5" x14ac:dyDescent="0.25">
      <c r="A98" s="10"/>
      <c r="B98" s="10"/>
      <c r="C98" s="10" t="s">
        <v>257</v>
      </c>
      <c r="D98" s="12"/>
      <c r="E98" s="11"/>
      <c r="F98" s="14">
        <v>32.869999999999997</v>
      </c>
      <c r="G98" s="15" t="s">
        <v>13</v>
      </c>
      <c r="H98" s="11">
        <v>1</v>
      </c>
      <c r="I98" s="14">
        <v>5.92</v>
      </c>
      <c r="J98" s="11">
        <v>19.239999999999998</v>
      </c>
      <c r="K98" s="14">
        <v>113.9</v>
      </c>
    </row>
    <row r="99" spans="1:11" ht="14.5" x14ac:dyDescent="0.25">
      <c r="A99" s="10"/>
      <c r="B99" s="10"/>
      <c r="C99" s="10" t="s">
        <v>258</v>
      </c>
      <c r="D99" s="12"/>
      <c r="E99" s="11"/>
      <c r="F99" s="14">
        <v>5.71</v>
      </c>
      <c r="G99" s="15" t="s">
        <v>13</v>
      </c>
      <c r="H99" s="11">
        <v>1</v>
      </c>
      <c r="I99" s="16">
        <v>1.03</v>
      </c>
      <c r="J99" s="11">
        <v>57.05</v>
      </c>
      <c r="K99" s="16">
        <v>58.76</v>
      </c>
    </row>
    <row r="100" spans="1:11" ht="14.5" x14ac:dyDescent="0.25">
      <c r="A100" s="10"/>
      <c r="B100" s="10"/>
      <c r="C100" s="10" t="s">
        <v>259</v>
      </c>
      <c r="D100" s="12"/>
      <c r="E100" s="11"/>
      <c r="F100" s="14">
        <v>314.29000000000002</v>
      </c>
      <c r="G100" s="15" t="s">
        <v>1</v>
      </c>
      <c r="H100" s="11">
        <v>1</v>
      </c>
      <c r="I100" s="14">
        <v>47.14</v>
      </c>
      <c r="J100" s="11">
        <v>10.18</v>
      </c>
      <c r="K100" s="14">
        <v>479.89</v>
      </c>
    </row>
    <row r="101" spans="1:11" ht="42" x14ac:dyDescent="0.25">
      <c r="A101" s="10" t="s">
        <v>1044</v>
      </c>
      <c r="B101" s="10" t="s">
        <v>93</v>
      </c>
      <c r="C101" s="10" t="s">
        <v>94</v>
      </c>
      <c r="D101" s="12" t="s">
        <v>52</v>
      </c>
      <c r="E101" s="11">
        <v>15.3</v>
      </c>
      <c r="F101" s="14">
        <v>3.45</v>
      </c>
      <c r="G101" s="15" t="s">
        <v>1</v>
      </c>
      <c r="H101" s="11">
        <v>1</v>
      </c>
      <c r="I101" s="14">
        <v>52.79</v>
      </c>
      <c r="J101" s="11">
        <v>3.85</v>
      </c>
      <c r="K101" s="14">
        <v>203.24</v>
      </c>
    </row>
    <row r="102" spans="1:11" ht="14.5" x14ac:dyDescent="0.25">
      <c r="A102" s="10"/>
      <c r="B102" s="10"/>
      <c r="C102" s="10" t="s">
        <v>260</v>
      </c>
      <c r="D102" s="12" t="s">
        <v>261</v>
      </c>
      <c r="E102" s="11">
        <v>97</v>
      </c>
      <c r="F102" s="14"/>
      <c r="G102" s="13"/>
      <c r="H102" s="11"/>
      <c r="I102" s="14">
        <v>34.57</v>
      </c>
      <c r="J102" s="11">
        <v>97</v>
      </c>
      <c r="K102" s="14">
        <v>1972.26</v>
      </c>
    </row>
    <row r="103" spans="1:11" ht="14.5" x14ac:dyDescent="0.25">
      <c r="A103" s="10"/>
      <c r="B103" s="10"/>
      <c r="C103" s="10" t="s">
        <v>262</v>
      </c>
      <c r="D103" s="12" t="s">
        <v>261</v>
      </c>
      <c r="E103" s="11">
        <v>51</v>
      </c>
      <c r="F103" s="14"/>
      <c r="G103" s="13"/>
      <c r="H103" s="11"/>
      <c r="I103" s="14">
        <v>18.18</v>
      </c>
      <c r="J103" s="11">
        <v>51</v>
      </c>
      <c r="K103" s="14">
        <v>1036.96</v>
      </c>
    </row>
    <row r="104" spans="1:11" ht="14.5" x14ac:dyDescent="0.25">
      <c r="A104" s="17"/>
      <c r="B104" s="17"/>
      <c r="C104" s="17" t="s">
        <v>263</v>
      </c>
      <c r="D104" s="18" t="s">
        <v>264</v>
      </c>
      <c r="E104" s="19">
        <v>15</v>
      </c>
      <c r="F104" s="20"/>
      <c r="G104" s="21" t="s">
        <v>13</v>
      </c>
      <c r="H104" s="19">
        <v>1</v>
      </c>
      <c r="I104" s="20">
        <v>2.7</v>
      </c>
      <c r="J104" s="19"/>
      <c r="K104" s="20"/>
    </row>
    <row r="105" spans="1:11" ht="14" x14ac:dyDescent="0.25">
      <c r="C105" s="22" t="s">
        <v>265</v>
      </c>
      <c r="H105" s="143">
        <v>193.21</v>
      </c>
      <c r="I105" s="143"/>
      <c r="J105" s="143">
        <v>5780.75</v>
      </c>
      <c r="K105" s="143"/>
    </row>
    <row r="106" spans="1:11" ht="14" x14ac:dyDescent="0.25">
      <c r="C106" s="22" t="s">
        <v>267</v>
      </c>
      <c r="H106" s="141">
        <v>193.21</v>
      </c>
      <c r="I106" s="141"/>
      <c r="J106" s="141">
        <v>5780.75</v>
      </c>
      <c r="K106" s="141"/>
    </row>
    <row r="108" spans="1:11" ht="79" x14ac:dyDescent="0.25">
      <c r="A108" s="10">
        <v>13</v>
      </c>
      <c r="B108" s="10" t="s">
        <v>281</v>
      </c>
      <c r="C108" s="10" t="s">
        <v>62</v>
      </c>
      <c r="D108" s="12" t="s">
        <v>50</v>
      </c>
      <c r="E108" s="11">
        <v>0.15</v>
      </c>
      <c r="F108" s="14"/>
      <c r="G108" s="13"/>
      <c r="H108" s="11"/>
      <c r="I108" s="14"/>
      <c r="J108" s="11"/>
      <c r="K108" s="14"/>
    </row>
    <row r="109" spans="1:11" x14ac:dyDescent="0.25">
      <c r="C109" s="23" t="s">
        <v>1074</v>
      </c>
    </row>
    <row r="110" spans="1:11" ht="14.5" x14ac:dyDescent="0.25">
      <c r="A110" s="10"/>
      <c r="B110" s="10"/>
      <c r="C110" s="10" t="s">
        <v>256</v>
      </c>
      <c r="D110" s="12"/>
      <c r="E110" s="11"/>
      <c r="F110" s="14">
        <v>66.3</v>
      </c>
      <c r="G110" s="15" t="s">
        <v>13</v>
      </c>
      <c r="H110" s="11">
        <v>1</v>
      </c>
      <c r="I110" s="14">
        <v>11.93</v>
      </c>
      <c r="J110" s="11">
        <v>57.05</v>
      </c>
      <c r="K110" s="14">
        <v>680.61</v>
      </c>
    </row>
    <row r="111" spans="1:11" ht="14.5" x14ac:dyDescent="0.25">
      <c r="A111" s="10"/>
      <c r="B111" s="10"/>
      <c r="C111" s="10" t="s">
        <v>257</v>
      </c>
      <c r="D111" s="12"/>
      <c r="E111" s="11"/>
      <c r="F111" s="14">
        <v>5.25</v>
      </c>
      <c r="G111" s="15" t="s">
        <v>13</v>
      </c>
      <c r="H111" s="11">
        <v>1</v>
      </c>
      <c r="I111" s="14">
        <v>0.95</v>
      </c>
      <c r="J111" s="11">
        <v>15.93</v>
      </c>
      <c r="K111" s="14">
        <v>15.13</v>
      </c>
    </row>
    <row r="112" spans="1:11" ht="14.5" x14ac:dyDescent="0.25">
      <c r="A112" s="10"/>
      <c r="B112" s="10"/>
      <c r="C112" s="10" t="s">
        <v>258</v>
      </c>
      <c r="D112" s="12"/>
      <c r="E112" s="11"/>
      <c r="F112" s="14">
        <v>0.59</v>
      </c>
      <c r="G112" s="15" t="s">
        <v>13</v>
      </c>
      <c r="H112" s="11">
        <v>1</v>
      </c>
      <c r="I112" s="16">
        <v>0.11</v>
      </c>
      <c r="J112" s="11">
        <v>57.05</v>
      </c>
      <c r="K112" s="16">
        <v>6.28</v>
      </c>
    </row>
    <row r="113" spans="1:11" ht="14.5" x14ac:dyDescent="0.25">
      <c r="A113" s="10"/>
      <c r="B113" s="10"/>
      <c r="C113" s="10" t="s">
        <v>259</v>
      </c>
      <c r="D113" s="12"/>
      <c r="E113" s="11"/>
      <c r="F113" s="14">
        <v>61.98</v>
      </c>
      <c r="G113" s="15" t="s">
        <v>1</v>
      </c>
      <c r="H113" s="11">
        <v>1</v>
      </c>
      <c r="I113" s="14">
        <v>9.3000000000000007</v>
      </c>
      <c r="J113" s="11">
        <v>4.5</v>
      </c>
      <c r="K113" s="14">
        <v>41.85</v>
      </c>
    </row>
    <row r="114" spans="1:11" ht="14.5" x14ac:dyDescent="0.25">
      <c r="A114" s="10"/>
      <c r="B114" s="10"/>
      <c r="C114" s="10" t="s">
        <v>260</v>
      </c>
      <c r="D114" s="12" t="s">
        <v>261</v>
      </c>
      <c r="E114" s="11">
        <v>97</v>
      </c>
      <c r="F114" s="14"/>
      <c r="G114" s="13"/>
      <c r="H114" s="11"/>
      <c r="I114" s="14">
        <v>11.68</v>
      </c>
      <c r="J114" s="11">
        <v>97</v>
      </c>
      <c r="K114" s="14">
        <v>666.28</v>
      </c>
    </row>
    <row r="115" spans="1:11" ht="14.5" x14ac:dyDescent="0.25">
      <c r="A115" s="10"/>
      <c r="B115" s="10"/>
      <c r="C115" s="10" t="s">
        <v>262</v>
      </c>
      <c r="D115" s="12" t="s">
        <v>261</v>
      </c>
      <c r="E115" s="11">
        <v>51</v>
      </c>
      <c r="F115" s="14"/>
      <c r="G115" s="13"/>
      <c r="H115" s="11"/>
      <c r="I115" s="14">
        <v>6.14</v>
      </c>
      <c r="J115" s="11">
        <v>51</v>
      </c>
      <c r="K115" s="14">
        <v>350.31</v>
      </c>
    </row>
    <row r="116" spans="1:11" ht="14.5" x14ac:dyDescent="0.25">
      <c r="A116" s="17"/>
      <c r="B116" s="17"/>
      <c r="C116" s="17" t="s">
        <v>263</v>
      </c>
      <c r="D116" s="18" t="s">
        <v>264</v>
      </c>
      <c r="E116" s="19">
        <v>5.39</v>
      </c>
      <c r="F116" s="20"/>
      <c r="G116" s="21" t="s">
        <v>13</v>
      </c>
      <c r="H116" s="19">
        <v>1</v>
      </c>
      <c r="I116" s="20">
        <v>0.97</v>
      </c>
      <c r="J116" s="19"/>
      <c r="K116" s="20"/>
    </row>
    <row r="117" spans="1:11" ht="14.25" customHeight="1" x14ac:dyDescent="0.25">
      <c r="C117" s="22" t="s">
        <v>265</v>
      </c>
      <c r="H117" s="143">
        <v>40</v>
      </c>
      <c r="I117" s="143"/>
      <c r="J117" s="143">
        <v>1754.18</v>
      </c>
      <c r="K117" s="143"/>
    </row>
    <row r="118" spans="1:11" ht="14" x14ac:dyDescent="0.25">
      <c r="C118" s="22" t="s">
        <v>267</v>
      </c>
      <c r="H118" s="141">
        <v>40</v>
      </c>
      <c r="I118" s="141"/>
      <c r="J118" s="141">
        <v>1754.18</v>
      </c>
      <c r="K118" s="141"/>
    </row>
    <row r="120" spans="1:11" ht="98" x14ac:dyDescent="0.25">
      <c r="A120" s="10">
        <v>14</v>
      </c>
      <c r="B120" s="10" t="s">
        <v>1014</v>
      </c>
      <c r="C120" s="10" t="s">
        <v>1015</v>
      </c>
      <c r="D120" s="12" t="s">
        <v>50</v>
      </c>
      <c r="E120" s="11">
        <v>0.35</v>
      </c>
      <c r="F120" s="14"/>
      <c r="G120" s="13"/>
      <c r="H120" s="11"/>
      <c r="I120" s="14"/>
      <c r="J120" s="11"/>
      <c r="K120" s="14"/>
    </row>
    <row r="121" spans="1:11" x14ac:dyDescent="0.25">
      <c r="C121" s="23" t="s">
        <v>1078</v>
      </c>
    </row>
    <row r="122" spans="1:11" ht="14.5" x14ac:dyDescent="0.25">
      <c r="A122" s="10"/>
      <c r="B122" s="10"/>
      <c r="C122" s="10" t="s">
        <v>256</v>
      </c>
      <c r="D122" s="12"/>
      <c r="E122" s="11"/>
      <c r="F122" s="14">
        <v>22.51</v>
      </c>
      <c r="G122" s="15" t="s">
        <v>13</v>
      </c>
      <c r="H122" s="11">
        <v>1</v>
      </c>
      <c r="I122" s="14">
        <v>9.4499999999999993</v>
      </c>
      <c r="J122" s="11">
        <v>57.05</v>
      </c>
      <c r="K122" s="14">
        <v>539.12</v>
      </c>
    </row>
    <row r="123" spans="1:11" ht="14.5" x14ac:dyDescent="0.25">
      <c r="A123" s="10"/>
      <c r="B123" s="10"/>
      <c r="C123" s="10" t="s">
        <v>257</v>
      </c>
      <c r="D123" s="12"/>
      <c r="E123" s="11"/>
      <c r="F123" s="14">
        <v>2.62</v>
      </c>
      <c r="G123" s="15" t="s">
        <v>13</v>
      </c>
      <c r="H123" s="11">
        <v>1</v>
      </c>
      <c r="I123" s="14">
        <v>1.1000000000000001</v>
      </c>
      <c r="J123" s="11">
        <v>15.96</v>
      </c>
      <c r="K123" s="14">
        <v>17.559999999999999</v>
      </c>
    </row>
    <row r="124" spans="1:11" ht="14.5" x14ac:dyDescent="0.25">
      <c r="A124" s="10"/>
      <c r="B124" s="10"/>
      <c r="C124" s="10" t="s">
        <v>258</v>
      </c>
      <c r="D124" s="12"/>
      <c r="E124" s="11"/>
      <c r="F124" s="14">
        <v>0.3</v>
      </c>
      <c r="G124" s="15" t="s">
        <v>13</v>
      </c>
      <c r="H124" s="11">
        <v>1</v>
      </c>
      <c r="I124" s="16">
        <v>0.13</v>
      </c>
      <c r="J124" s="11">
        <v>57.05</v>
      </c>
      <c r="K124" s="16">
        <v>7.42</v>
      </c>
    </row>
    <row r="125" spans="1:11" ht="14.5" x14ac:dyDescent="0.25">
      <c r="A125" s="10"/>
      <c r="B125" s="10"/>
      <c r="C125" s="10" t="s">
        <v>259</v>
      </c>
      <c r="D125" s="12"/>
      <c r="E125" s="11"/>
      <c r="F125" s="14">
        <v>55.47</v>
      </c>
      <c r="G125" s="15" t="s">
        <v>1</v>
      </c>
      <c r="H125" s="11">
        <v>1</v>
      </c>
      <c r="I125" s="14">
        <v>19.41</v>
      </c>
      <c r="J125" s="11">
        <v>3.04</v>
      </c>
      <c r="K125" s="14">
        <v>59.01</v>
      </c>
    </row>
    <row r="126" spans="1:11" ht="14.5" x14ac:dyDescent="0.25">
      <c r="A126" s="10"/>
      <c r="B126" s="10"/>
      <c r="C126" s="10" t="s">
        <v>260</v>
      </c>
      <c r="D126" s="12" t="s">
        <v>261</v>
      </c>
      <c r="E126" s="11">
        <v>97</v>
      </c>
      <c r="F126" s="14"/>
      <c r="G126" s="13"/>
      <c r="H126" s="11"/>
      <c r="I126" s="14">
        <v>9.2899999999999991</v>
      </c>
      <c r="J126" s="11">
        <v>97</v>
      </c>
      <c r="K126" s="14">
        <v>530.14</v>
      </c>
    </row>
    <row r="127" spans="1:11" ht="14.5" x14ac:dyDescent="0.25">
      <c r="A127" s="10"/>
      <c r="B127" s="10"/>
      <c r="C127" s="10" t="s">
        <v>262</v>
      </c>
      <c r="D127" s="12" t="s">
        <v>261</v>
      </c>
      <c r="E127" s="11">
        <v>51</v>
      </c>
      <c r="F127" s="14"/>
      <c r="G127" s="13"/>
      <c r="H127" s="11"/>
      <c r="I127" s="14">
        <v>4.8899999999999997</v>
      </c>
      <c r="J127" s="11">
        <v>51</v>
      </c>
      <c r="K127" s="14">
        <v>278.74</v>
      </c>
    </row>
    <row r="128" spans="1:11" ht="14.5" x14ac:dyDescent="0.25">
      <c r="A128" s="17"/>
      <c r="B128" s="17"/>
      <c r="C128" s="17" t="s">
        <v>263</v>
      </c>
      <c r="D128" s="18" t="s">
        <v>264</v>
      </c>
      <c r="E128" s="19">
        <v>1.83</v>
      </c>
      <c r="F128" s="20"/>
      <c r="G128" s="21" t="s">
        <v>13</v>
      </c>
      <c r="H128" s="19">
        <v>1</v>
      </c>
      <c r="I128" s="20">
        <v>0.77</v>
      </c>
      <c r="J128" s="19"/>
      <c r="K128" s="20"/>
    </row>
    <row r="129" spans="1:11" ht="14" x14ac:dyDescent="0.25">
      <c r="C129" s="22" t="s">
        <v>265</v>
      </c>
      <c r="H129" s="143">
        <v>44.14</v>
      </c>
      <c r="I129" s="143"/>
      <c r="J129" s="143">
        <v>1424.57</v>
      </c>
      <c r="K129" s="143"/>
    </row>
    <row r="130" spans="1:11" ht="14" x14ac:dyDescent="0.25">
      <c r="C130" s="22" t="s">
        <v>267</v>
      </c>
      <c r="H130" s="141">
        <v>44.14</v>
      </c>
      <c r="I130" s="141"/>
      <c r="J130" s="141">
        <v>1424.57</v>
      </c>
      <c r="K130" s="141"/>
    </row>
    <row r="132" spans="1:11" ht="41" x14ac:dyDescent="0.25">
      <c r="A132" s="17">
        <v>15</v>
      </c>
      <c r="B132" s="17" t="s">
        <v>409</v>
      </c>
      <c r="C132" s="17" t="s">
        <v>1720</v>
      </c>
      <c r="D132" s="18" t="s">
        <v>52</v>
      </c>
      <c r="E132" s="19">
        <v>30.6</v>
      </c>
      <c r="F132" s="20">
        <v>6.3</v>
      </c>
      <c r="G132" s="21" t="s">
        <v>1</v>
      </c>
      <c r="H132" s="19">
        <v>1</v>
      </c>
      <c r="I132" s="20">
        <v>192.78</v>
      </c>
      <c r="J132" s="19">
        <v>10.18</v>
      </c>
      <c r="K132" s="20">
        <v>1962.5</v>
      </c>
    </row>
    <row r="133" spans="1:11" ht="14" x14ac:dyDescent="0.25">
      <c r="C133" s="22" t="s">
        <v>267</v>
      </c>
      <c r="H133" s="143">
        <v>192.78</v>
      </c>
      <c r="I133" s="143"/>
      <c r="J133" s="143">
        <v>1962.5</v>
      </c>
      <c r="K133" s="143"/>
    </row>
    <row r="135" spans="1:11" ht="27" x14ac:dyDescent="0.25">
      <c r="A135" s="17">
        <v>16</v>
      </c>
      <c r="B135" s="17" t="s">
        <v>409</v>
      </c>
      <c r="C135" s="17" t="s">
        <v>1719</v>
      </c>
      <c r="D135" s="18" t="s">
        <v>52</v>
      </c>
      <c r="E135" s="19">
        <v>20.399999999999999</v>
      </c>
      <c r="F135" s="20">
        <v>2.5299999999999998</v>
      </c>
      <c r="G135" s="21" t="s">
        <v>1</v>
      </c>
      <c r="H135" s="19">
        <v>1</v>
      </c>
      <c r="I135" s="20">
        <v>51.61</v>
      </c>
      <c r="J135" s="19">
        <v>10.18</v>
      </c>
      <c r="K135" s="20">
        <v>525.39</v>
      </c>
    </row>
    <row r="136" spans="1:11" ht="14" x14ac:dyDescent="0.25">
      <c r="C136" s="22" t="s">
        <v>267</v>
      </c>
      <c r="H136" s="143">
        <v>51.61</v>
      </c>
      <c r="I136" s="143"/>
      <c r="J136" s="143">
        <v>525.39</v>
      </c>
      <c r="K136" s="143"/>
    </row>
    <row r="139" spans="1:11" ht="14" x14ac:dyDescent="0.3">
      <c r="A139" s="140" t="s">
        <v>957</v>
      </c>
      <c r="B139" s="140"/>
      <c r="C139" s="140"/>
      <c r="D139" s="140"/>
      <c r="E139" s="140"/>
      <c r="F139" s="140"/>
      <c r="G139" s="140"/>
      <c r="H139" s="141">
        <v>521.74</v>
      </c>
      <c r="I139" s="142"/>
      <c r="J139" s="141">
        <v>11447.39</v>
      </c>
      <c r="K139" s="142"/>
    </row>
    <row r="141" spans="1:11" ht="14" x14ac:dyDescent="0.3">
      <c r="A141" s="140" t="s">
        <v>970</v>
      </c>
      <c r="B141" s="140"/>
      <c r="C141" s="140"/>
      <c r="D141" s="140"/>
      <c r="E141" s="140"/>
      <c r="F141" s="140"/>
      <c r="G141" s="140"/>
      <c r="H141" s="141">
        <v>8277.57</v>
      </c>
      <c r="I141" s="142"/>
      <c r="J141" s="141">
        <v>97281.68</v>
      </c>
      <c r="K141" s="142"/>
    </row>
  </sheetData>
  <mergeCells count="72">
    <mergeCell ref="A9:K9"/>
    <mergeCell ref="J2:K2"/>
    <mergeCell ref="A3:K3"/>
    <mergeCell ref="A4:K4"/>
    <mergeCell ref="A6:K6"/>
    <mergeCell ref="A8:K8"/>
    <mergeCell ref="E17:H17"/>
    <mergeCell ref="E18:H18"/>
    <mergeCell ref="A21:K21"/>
    <mergeCell ref="E13:H13"/>
    <mergeCell ref="E14:H14"/>
    <mergeCell ref="E15:H15"/>
    <mergeCell ref="E16:H16"/>
    <mergeCell ref="H36:I36"/>
    <mergeCell ref="J36:K36"/>
    <mergeCell ref="H47:I47"/>
    <mergeCell ref="J47:K47"/>
    <mergeCell ref="A24:K24"/>
    <mergeCell ref="H32:I32"/>
    <mergeCell ref="J32:K32"/>
    <mergeCell ref="H33:I33"/>
    <mergeCell ref="J33:K33"/>
    <mergeCell ref="H48:I48"/>
    <mergeCell ref="J48:K48"/>
    <mergeCell ref="H51:I51"/>
    <mergeCell ref="J51:K51"/>
    <mergeCell ref="H58:I58"/>
    <mergeCell ref="J58:K58"/>
    <mergeCell ref="H70:I70"/>
    <mergeCell ref="J70:K70"/>
    <mergeCell ref="H71:I71"/>
    <mergeCell ref="J71:K71"/>
    <mergeCell ref="H59:I59"/>
    <mergeCell ref="J59:K59"/>
    <mergeCell ref="H62:I62"/>
    <mergeCell ref="J62:K62"/>
    <mergeCell ref="H86:I86"/>
    <mergeCell ref="J86:K86"/>
    <mergeCell ref="H89:I89"/>
    <mergeCell ref="J89:K89"/>
    <mergeCell ref="H74:I74"/>
    <mergeCell ref="J74:K74"/>
    <mergeCell ref="H77:I77"/>
    <mergeCell ref="J77:K77"/>
    <mergeCell ref="H85:I85"/>
    <mergeCell ref="J85:K85"/>
    <mergeCell ref="H106:I106"/>
    <mergeCell ref="J106:K106"/>
    <mergeCell ref="H117:I117"/>
    <mergeCell ref="J117:K117"/>
    <mergeCell ref="A92:G92"/>
    <mergeCell ref="H92:I92"/>
    <mergeCell ref="J92:K92"/>
    <mergeCell ref="A94:K94"/>
    <mergeCell ref="H105:I105"/>
    <mergeCell ref="J105:K105"/>
    <mergeCell ref="H130:I130"/>
    <mergeCell ref="J130:K130"/>
    <mergeCell ref="H133:I133"/>
    <mergeCell ref="J133:K133"/>
    <mergeCell ref="H118:I118"/>
    <mergeCell ref="J118:K118"/>
    <mergeCell ref="H129:I129"/>
    <mergeCell ref="J129:K129"/>
    <mergeCell ref="A141:G141"/>
    <mergeCell ref="H141:I141"/>
    <mergeCell ref="J141:K141"/>
    <mergeCell ref="H136:I136"/>
    <mergeCell ref="J136:K136"/>
    <mergeCell ref="A139:G139"/>
    <mergeCell ref="H139:I139"/>
    <mergeCell ref="J139:K1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E39E-7EBE-4B53-8B7C-B5BBB25FD171}">
  <dimension ref="A1:K214"/>
  <sheetViews>
    <sheetView workbookViewId="0">
      <selection activeCell="A3" sqref="A3:K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9.7265625" style="27" customWidth="1"/>
    <col min="6" max="6" width="11.7265625" style="27" customWidth="1"/>
    <col min="7" max="7" width="8.453125" style="27" bestFit="1" customWidth="1"/>
    <col min="8" max="10" width="9.1796875" style="27"/>
    <col min="11" max="11" width="11.453125" style="27" customWidth="1"/>
    <col min="12" max="16384" width="9.1796875" style="27"/>
  </cols>
  <sheetData>
    <row r="1" spans="1:11" x14ac:dyDescent="0.25">
      <c r="A1" s="1" t="s">
        <v>0</v>
      </c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1727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1885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27.09</v>
      </c>
      <c r="J13" s="5">
        <v>376.01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236</v>
      </c>
      <c r="F14" s="145"/>
      <c r="G14" s="145"/>
      <c r="H14" s="145"/>
      <c r="I14" s="7">
        <v>10.66</v>
      </c>
      <c r="J14" s="7">
        <v>269.14999999999998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237</v>
      </c>
      <c r="F15" s="145"/>
      <c r="G15" s="145"/>
      <c r="H15" s="145"/>
      <c r="I15" s="7">
        <v>16.43</v>
      </c>
      <c r="J15" s="7">
        <v>106.86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239</v>
      </c>
      <c r="F16" s="145"/>
      <c r="G16" s="145"/>
      <c r="H16" s="145"/>
      <c r="I16" s="7">
        <v>1.54</v>
      </c>
      <c r="J16" s="7">
        <v>87.96</v>
      </c>
      <c r="K16" s="2" t="s">
        <v>326</v>
      </c>
    </row>
    <row r="17" spans="1:11" ht="13.5" customHeight="1" x14ac:dyDescent="0.3">
      <c r="A17" s="2"/>
      <c r="B17" s="2"/>
      <c r="C17" s="2"/>
      <c r="D17" s="2"/>
      <c r="E17" s="145" t="s">
        <v>240</v>
      </c>
      <c r="F17" s="145"/>
      <c r="G17" s="145"/>
      <c r="H17" s="145"/>
      <c r="I17" s="7">
        <v>117.19</v>
      </c>
      <c r="J17" s="7"/>
      <c r="K17" s="2" t="s">
        <v>224</v>
      </c>
    </row>
    <row r="18" spans="1:11" ht="14" x14ac:dyDescent="0.3">
      <c r="A18" s="2"/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14" x14ac:dyDescent="0.3">
      <c r="A19" s="2" t="s">
        <v>252</v>
      </c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34.5" customHeight="1" x14ac:dyDescent="0.3">
      <c r="A20" s="146" t="s">
        <v>253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 spans="1:11" ht="98" x14ac:dyDescent="0.25">
      <c r="A21" s="8" t="s">
        <v>241</v>
      </c>
      <c r="B21" s="8" t="s">
        <v>242</v>
      </c>
      <c r="C21" s="8" t="s">
        <v>243</v>
      </c>
      <c r="D21" s="8" t="s">
        <v>244</v>
      </c>
      <c r="E21" s="8" t="s">
        <v>245</v>
      </c>
      <c r="F21" s="8" t="s">
        <v>246</v>
      </c>
      <c r="G21" s="9" t="s">
        <v>247</v>
      </c>
      <c r="H21" s="9" t="s">
        <v>248</v>
      </c>
      <c r="I21" s="8" t="s">
        <v>254</v>
      </c>
      <c r="J21" s="8" t="s">
        <v>249</v>
      </c>
      <c r="K21" s="8" t="s">
        <v>250</v>
      </c>
    </row>
    <row r="22" spans="1:11" ht="14" x14ac:dyDescent="0.25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  <c r="G22" s="8">
        <v>7</v>
      </c>
      <c r="H22" s="8">
        <v>8</v>
      </c>
      <c r="I22" s="8">
        <v>9</v>
      </c>
      <c r="J22" s="8">
        <v>10</v>
      </c>
      <c r="K22" s="8">
        <v>11</v>
      </c>
    </row>
    <row r="23" spans="1:11" ht="16.5" x14ac:dyDescent="0.25">
      <c r="A23" s="144" t="s">
        <v>1728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5" spans="1:11" ht="16.5" x14ac:dyDescent="0.25">
      <c r="A25" s="144" t="s">
        <v>1729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</row>
    <row r="26" spans="1:11" ht="79" x14ac:dyDescent="0.25">
      <c r="A26" s="10">
        <v>1</v>
      </c>
      <c r="B26" s="10" t="s">
        <v>269</v>
      </c>
      <c r="C26" s="10" t="s">
        <v>23</v>
      </c>
      <c r="D26" s="12" t="s">
        <v>24</v>
      </c>
      <c r="E26" s="11">
        <v>1</v>
      </c>
      <c r="F26" s="14"/>
      <c r="G26" s="13"/>
      <c r="H26" s="11"/>
      <c r="I26" s="14"/>
      <c r="J26" s="11"/>
      <c r="K26" s="14"/>
    </row>
    <row r="27" spans="1:11" ht="14.5" x14ac:dyDescent="0.25">
      <c r="A27" s="10"/>
      <c r="B27" s="10"/>
      <c r="C27" s="10" t="s">
        <v>256</v>
      </c>
      <c r="D27" s="12"/>
      <c r="E27" s="11"/>
      <c r="F27" s="14">
        <v>26.76</v>
      </c>
      <c r="G27" s="15" t="s">
        <v>13</v>
      </c>
      <c r="H27" s="11">
        <v>1</v>
      </c>
      <c r="I27" s="14">
        <v>32.11</v>
      </c>
      <c r="J27" s="11">
        <v>57.05</v>
      </c>
      <c r="K27" s="14">
        <v>1831.88</v>
      </c>
    </row>
    <row r="28" spans="1:11" ht="14.5" x14ac:dyDescent="0.25">
      <c r="A28" s="10"/>
      <c r="B28" s="10"/>
      <c r="C28" s="10" t="s">
        <v>257</v>
      </c>
      <c r="D28" s="12"/>
      <c r="E28" s="11"/>
      <c r="F28" s="14">
        <v>17.420000000000002</v>
      </c>
      <c r="G28" s="15" t="s">
        <v>13</v>
      </c>
      <c r="H28" s="11">
        <v>1</v>
      </c>
      <c r="I28" s="14">
        <v>20.9</v>
      </c>
      <c r="J28" s="11">
        <v>20.11</v>
      </c>
      <c r="K28" s="14">
        <v>420.3</v>
      </c>
    </row>
    <row r="29" spans="1:11" ht="14.5" x14ac:dyDescent="0.25">
      <c r="A29" s="10"/>
      <c r="B29" s="10"/>
      <c r="C29" s="10" t="s">
        <v>258</v>
      </c>
      <c r="D29" s="12"/>
      <c r="E29" s="11"/>
      <c r="F29" s="14">
        <v>3.16</v>
      </c>
      <c r="G29" s="15" t="s">
        <v>13</v>
      </c>
      <c r="H29" s="11">
        <v>1</v>
      </c>
      <c r="I29" s="16">
        <v>3.79</v>
      </c>
      <c r="J29" s="11">
        <v>57.05</v>
      </c>
      <c r="K29" s="16">
        <v>216.22</v>
      </c>
    </row>
    <row r="30" spans="1:11" ht="14.5" x14ac:dyDescent="0.25">
      <c r="A30" s="10"/>
      <c r="B30" s="10"/>
      <c r="C30" s="10" t="s">
        <v>259</v>
      </c>
      <c r="D30" s="12"/>
      <c r="E30" s="11"/>
      <c r="F30" s="14">
        <v>1.46</v>
      </c>
      <c r="G30" s="15" t="s">
        <v>1</v>
      </c>
      <c r="H30" s="11">
        <v>1</v>
      </c>
      <c r="I30" s="14">
        <v>1.46</v>
      </c>
      <c r="J30" s="11">
        <v>13.13</v>
      </c>
      <c r="K30" s="14">
        <v>19.170000000000002</v>
      </c>
    </row>
    <row r="31" spans="1:11" ht="28" x14ac:dyDescent="0.25">
      <c r="A31" s="10" t="s">
        <v>6</v>
      </c>
      <c r="B31" s="10" t="s">
        <v>26</v>
      </c>
      <c r="C31" s="10" t="s">
        <v>27</v>
      </c>
      <c r="D31" s="12" t="s">
        <v>28</v>
      </c>
      <c r="E31" s="11">
        <v>1E-4</v>
      </c>
      <c r="F31" s="14">
        <v>22524.65</v>
      </c>
      <c r="G31" s="15" t="s">
        <v>1</v>
      </c>
      <c r="H31" s="11">
        <v>1</v>
      </c>
      <c r="I31" s="14">
        <v>2.25</v>
      </c>
      <c r="J31" s="11">
        <v>5.94</v>
      </c>
      <c r="K31" s="14">
        <v>13.37</v>
      </c>
    </row>
    <row r="32" spans="1:11" ht="70" x14ac:dyDescent="0.25">
      <c r="A32" s="10" t="s">
        <v>13</v>
      </c>
      <c r="B32" s="10" t="s">
        <v>1730</v>
      </c>
      <c r="C32" s="10" t="s">
        <v>1721</v>
      </c>
      <c r="D32" s="12" t="s">
        <v>38</v>
      </c>
      <c r="E32" s="11">
        <v>1</v>
      </c>
      <c r="F32" s="14">
        <v>1975.19</v>
      </c>
      <c r="G32" s="15" t="s">
        <v>1</v>
      </c>
      <c r="H32" s="11">
        <v>1</v>
      </c>
      <c r="I32" s="14">
        <v>1975.19</v>
      </c>
      <c r="J32" s="11">
        <v>6.59</v>
      </c>
      <c r="K32" s="14">
        <v>13016.5</v>
      </c>
    </row>
    <row r="33" spans="1:11" ht="14.5" x14ac:dyDescent="0.25">
      <c r="A33" s="10"/>
      <c r="B33" s="10"/>
      <c r="C33" s="10" t="s">
        <v>260</v>
      </c>
      <c r="D33" s="12" t="s">
        <v>261</v>
      </c>
      <c r="E33" s="11">
        <v>97</v>
      </c>
      <c r="F33" s="14"/>
      <c r="G33" s="13"/>
      <c r="H33" s="11"/>
      <c r="I33" s="14">
        <v>34.82</v>
      </c>
      <c r="J33" s="11">
        <v>97</v>
      </c>
      <c r="K33" s="14">
        <v>1986.66</v>
      </c>
    </row>
    <row r="34" spans="1:11" ht="14.5" x14ac:dyDescent="0.25">
      <c r="A34" s="10"/>
      <c r="B34" s="10"/>
      <c r="C34" s="10" t="s">
        <v>262</v>
      </c>
      <c r="D34" s="12" t="s">
        <v>261</v>
      </c>
      <c r="E34" s="11">
        <v>51</v>
      </c>
      <c r="F34" s="14"/>
      <c r="G34" s="13"/>
      <c r="H34" s="11"/>
      <c r="I34" s="14">
        <v>18.309999999999999</v>
      </c>
      <c r="J34" s="11">
        <v>51</v>
      </c>
      <c r="K34" s="14">
        <v>1044.53</v>
      </c>
    </row>
    <row r="35" spans="1:11" ht="14.5" x14ac:dyDescent="0.25">
      <c r="A35" s="17"/>
      <c r="B35" s="17"/>
      <c r="C35" s="17" t="s">
        <v>263</v>
      </c>
      <c r="D35" s="18" t="s">
        <v>264</v>
      </c>
      <c r="E35" s="19">
        <v>2.06</v>
      </c>
      <c r="F35" s="20"/>
      <c r="G35" s="21" t="s">
        <v>13</v>
      </c>
      <c r="H35" s="19">
        <v>1</v>
      </c>
      <c r="I35" s="20">
        <v>2.4700000000000002</v>
      </c>
      <c r="J35" s="19"/>
      <c r="K35" s="20"/>
    </row>
    <row r="36" spans="1:11" ht="14" x14ac:dyDescent="0.25">
      <c r="C36" s="22" t="s">
        <v>265</v>
      </c>
      <c r="H36" s="143">
        <v>2085.04</v>
      </c>
      <c r="I36" s="143"/>
      <c r="J36" s="143">
        <v>18332.41</v>
      </c>
      <c r="K36" s="143"/>
    </row>
    <row r="37" spans="1:11" ht="14" x14ac:dyDescent="0.25">
      <c r="C37" s="22" t="s">
        <v>267</v>
      </c>
      <c r="H37" s="141">
        <v>2085.04</v>
      </c>
      <c r="I37" s="141"/>
      <c r="J37" s="141">
        <v>18332.41</v>
      </c>
      <c r="K37" s="141"/>
    </row>
    <row r="39" spans="1:11" ht="79" x14ac:dyDescent="0.25">
      <c r="A39" s="10">
        <v>2</v>
      </c>
      <c r="B39" s="10" t="s">
        <v>996</v>
      </c>
      <c r="C39" s="10" t="s">
        <v>997</v>
      </c>
      <c r="D39" s="12" t="s">
        <v>226</v>
      </c>
      <c r="E39" s="11">
        <v>0.1</v>
      </c>
      <c r="F39" s="14"/>
      <c r="G39" s="13"/>
      <c r="H39" s="11"/>
      <c r="I39" s="14"/>
      <c r="J39" s="11"/>
      <c r="K39" s="14"/>
    </row>
    <row r="40" spans="1:11" x14ac:dyDescent="0.25">
      <c r="C40" s="23" t="s">
        <v>707</v>
      </c>
    </row>
    <row r="41" spans="1:11" ht="14.5" x14ac:dyDescent="0.25">
      <c r="A41" s="10"/>
      <c r="B41" s="10"/>
      <c r="C41" s="10" t="s">
        <v>256</v>
      </c>
      <c r="D41" s="12"/>
      <c r="E41" s="11"/>
      <c r="F41" s="14">
        <v>470.94</v>
      </c>
      <c r="G41" s="15" t="s">
        <v>13</v>
      </c>
      <c r="H41" s="11">
        <v>1</v>
      </c>
      <c r="I41" s="14">
        <v>56.51</v>
      </c>
      <c r="J41" s="11">
        <v>57.05</v>
      </c>
      <c r="K41" s="14">
        <v>3223.9</v>
      </c>
    </row>
    <row r="42" spans="1:11" ht="14.5" x14ac:dyDescent="0.25">
      <c r="A42" s="10"/>
      <c r="B42" s="10"/>
      <c r="C42" s="10" t="s">
        <v>257</v>
      </c>
      <c r="D42" s="12"/>
      <c r="E42" s="11"/>
      <c r="F42" s="14">
        <v>1.1000000000000001</v>
      </c>
      <c r="G42" s="15" t="s">
        <v>13</v>
      </c>
      <c r="H42" s="11">
        <v>1</v>
      </c>
      <c r="I42" s="14">
        <v>0.13</v>
      </c>
      <c r="J42" s="11">
        <v>16.77</v>
      </c>
      <c r="K42" s="14">
        <v>2.1800000000000002</v>
      </c>
    </row>
    <row r="43" spans="1:11" ht="14.5" x14ac:dyDescent="0.25">
      <c r="A43" s="10"/>
      <c r="B43" s="10"/>
      <c r="C43" s="10" t="s">
        <v>258</v>
      </c>
      <c r="D43" s="12"/>
      <c r="E43" s="11"/>
      <c r="F43" s="14">
        <v>0.13</v>
      </c>
      <c r="G43" s="15" t="s">
        <v>13</v>
      </c>
      <c r="H43" s="11">
        <v>1</v>
      </c>
      <c r="I43" s="16">
        <v>0.02</v>
      </c>
      <c r="J43" s="11">
        <v>57.05</v>
      </c>
      <c r="K43" s="16">
        <v>1.1399999999999999</v>
      </c>
    </row>
    <row r="44" spans="1:11" ht="14.5" x14ac:dyDescent="0.25">
      <c r="A44" s="10"/>
      <c r="B44" s="10"/>
      <c r="C44" s="10" t="s">
        <v>259</v>
      </c>
      <c r="D44" s="12"/>
      <c r="E44" s="11"/>
      <c r="F44" s="14">
        <v>1.29</v>
      </c>
      <c r="G44" s="15" t="s">
        <v>1</v>
      </c>
      <c r="H44" s="11">
        <v>1</v>
      </c>
      <c r="I44" s="14">
        <v>0.13</v>
      </c>
      <c r="J44" s="11">
        <v>7.62</v>
      </c>
      <c r="K44" s="14">
        <v>0.99</v>
      </c>
    </row>
    <row r="45" spans="1:11" ht="54" x14ac:dyDescent="0.25">
      <c r="A45" s="100" t="s">
        <v>1090</v>
      </c>
      <c r="B45" s="100" t="s">
        <v>409</v>
      </c>
      <c r="C45" s="100" t="s">
        <v>2057</v>
      </c>
      <c r="D45" s="101" t="s">
        <v>11</v>
      </c>
      <c r="E45" s="102">
        <v>1</v>
      </c>
      <c r="F45" s="103">
        <v>4131.92</v>
      </c>
      <c r="G45" s="104" t="s">
        <v>1</v>
      </c>
      <c r="H45" s="102">
        <v>1</v>
      </c>
      <c r="I45" s="103">
        <v>4131.92</v>
      </c>
      <c r="J45" s="102">
        <v>7.54</v>
      </c>
      <c r="K45" s="103">
        <v>31154.68</v>
      </c>
    </row>
    <row r="46" spans="1:11" ht="14.5" x14ac:dyDescent="0.25">
      <c r="A46" s="100"/>
      <c r="B46" s="100"/>
      <c r="C46" s="100" t="s">
        <v>260</v>
      </c>
      <c r="D46" s="101" t="s">
        <v>261</v>
      </c>
      <c r="E46" s="102">
        <v>90</v>
      </c>
      <c r="F46" s="103"/>
      <c r="G46" s="105"/>
      <c r="H46" s="102"/>
      <c r="I46" s="103">
        <v>50.88</v>
      </c>
      <c r="J46" s="102">
        <v>90</v>
      </c>
      <c r="K46" s="103">
        <v>2902.54</v>
      </c>
    </row>
    <row r="47" spans="1:11" ht="14.5" x14ac:dyDescent="0.25">
      <c r="A47" s="100"/>
      <c r="B47" s="100"/>
      <c r="C47" s="100" t="s">
        <v>262</v>
      </c>
      <c r="D47" s="101" t="s">
        <v>261</v>
      </c>
      <c r="E47" s="102">
        <v>46</v>
      </c>
      <c r="F47" s="103"/>
      <c r="G47" s="105"/>
      <c r="H47" s="102"/>
      <c r="I47" s="103">
        <v>26</v>
      </c>
      <c r="J47" s="102">
        <v>46</v>
      </c>
      <c r="K47" s="103">
        <v>1483.52</v>
      </c>
    </row>
    <row r="48" spans="1:11" ht="14.5" x14ac:dyDescent="0.25">
      <c r="A48" s="38"/>
      <c r="B48" s="38"/>
      <c r="C48" s="38" t="s">
        <v>263</v>
      </c>
      <c r="D48" s="39" t="s">
        <v>264</v>
      </c>
      <c r="E48" s="40">
        <v>29.96</v>
      </c>
      <c r="F48" s="41"/>
      <c r="G48" s="42" t="s">
        <v>13</v>
      </c>
      <c r="H48" s="40">
        <v>1</v>
      </c>
      <c r="I48" s="41">
        <v>3.6</v>
      </c>
      <c r="J48" s="40"/>
      <c r="K48" s="41"/>
    </row>
    <row r="49" spans="1:11" ht="14" x14ac:dyDescent="0.25">
      <c r="A49" s="43"/>
      <c r="B49" s="43"/>
      <c r="C49" s="44" t="s">
        <v>265</v>
      </c>
      <c r="D49" s="43"/>
      <c r="E49" s="43"/>
      <c r="F49" s="43"/>
      <c r="G49" s="43"/>
      <c r="H49" s="156">
        <v>133.65</v>
      </c>
      <c r="I49" s="156"/>
      <c r="J49" s="156">
        <v>7613.13</v>
      </c>
      <c r="K49" s="156"/>
    </row>
    <row r="50" spans="1:11" ht="14" x14ac:dyDescent="0.25">
      <c r="A50" s="43"/>
      <c r="B50" s="43"/>
      <c r="C50" s="44" t="s">
        <v>266</v>
      </c>
      <c r="D50" s="43"/>
      <c r="E50" s="43"/>
      <c r="F50" s="43"/>
      <c r="G50" s="43"/>
      <c r="H50" s="162">
        <v>4131.92</v>
      </c>
      <c r="I50" s="162"/>
      <c r="J50" s="162">
        <v>31154.68</v>
      </c>
      <c r="K50" s="162"/>
    </row>
    <row r="51" spans="1:11" ht="14" x14ac:dyDescent="0.25">
      <c r="A51" s="43"/>
      <c r="B51" s="43"/>
      <c r="C51" s="44" t="s">
        <v>267</v>
      </c>
      <c r="D51" s="43"/>
      <c r="E51" s="43"/>
      <c r="F51" s="43"/>
      <c r="G51" s="43"/>
      <c r="H51" s="162">
        <v>4265.57</v>
      </c>
      <c r="I51" s="162"/>
      <c r="J51" s="162">
        <v>38767.81</v>
      </c>
      <c r="K51" s="162"/>
    </row>
    <row r="53" spans="1:11" ht="79" x14ac:dyDescent="0.25">
      <c r="A53" s="10">
        <v>3</v>
      </c>
      <c r="B53" s="10" t="s">
        <v>912</v>
      </c>
      <c r="C53" s="10" t="s">
        <v>913</v>
      </c>
      <c r="D53" s="12" t="s">
        <v>24</v>
      </c>
      <c r="E53" s="11">
        <v>1</v>
      </c>
      <c r="F53" s="14"/>
      <c r="G53" s="13"/>
      <c r="H53" s="11"/>
      <c r="I53" s="14"/>
      <c r="J53" s="11"/>
      <c r="K53" s="14"/>
    </row>
    <row r="54" spans="1:11" ht="14.5" x14ac:dyDescent="0.25">
      <c r="A54" s="10"/>
      <c r="B54" s="10"/>
      <c r="C54" s="10" t="s">
        <v>256</v>
      </c>
      <c r="D54" s="12"/>
      <c r="E54" s="11"/>
      <c r="F54" s="14">
        <v>40.17</v>
      </c>
      <c r="G54" s="15" t="s">
        <v>13</v>
      </c>
      <c r="H54" s="11">
        <v>1</v>
      </c>
      <c r="I54" s="14">
        <v>48.2</v>
      </c>
      <c r="J54" s="11">
        <v>57.05</v>
      </c>
      <c r="K54" s="14">
        <v>2749.81</v>
      </c>
    </row>
    <row r="55" spans="1:11" ht="14.5" x14ac:dyDescent="0.25">
      <c r="A55" s="10"/>
      <c r="B55" s="10"/>
      <c r="C55" s="10" t="s">
        <v>259</v>
      </c>
      <c r="D55" s="12"/>
      <c r="E55" s="11"/>
      <c r="F55" s="14">
        <v>2.34</v>
      </c>
      <c r="G55" s="15" t="s">
        <v>1</v>
      </c>
      <c r="H55" s="11">
        <v>1</v>
      </c>
      <c r="I55" s="14">
        <v>2.34</v>
      </c>
      <c r="J55" s="11">
        <v>9.91</v>
      </c>
      <c r="K55" s="14">
        <v>23.19</v>
      </c>
    </row>
    <row r="56" spans="1:11" ht="14.5" x14ac:dyDescent="0.25">
      <c r="A56" s="10"/>
      <c r="B56" s="10"/>
      <c r="C56" s="10" t="s">
        <v>260</v>
      </c>
      <c r="D56" s="12" t="s">
        <v>261</v>
      </c>
      <c r="E56" s="11">
        <v>90</v>
      </c>
      <c r="F56" s="14"/>
      <c r="G56" s="13"/>
      <c r="H56" s="11"/>
      <c r="I56" s="14">
        <v>43.38</v>
      </c>
      <c r="J56" s="11">
        <v>90</v>
      </c>
      <c r="K56" s="14">
        <v>2474.83</v>
      </c>
    </row>
    <row r="57" spans="1:11" ht="14.5" x14ac:dyDescent="0.25">
      <c r="A57" s="10"/>
      <c r="B57" s="10"/>
      <c r="C57" s="10" t="s">
        <v>262</v>
      </c>
      <c r="D57" s="12" t="s">
        <v>261</v>
      </c>
      <c r="E57" s="11">
        <v>46</v>
      </c>
      <c r="F57" s="14"/>
      <c r="G57" s="13"/>
      <c r="H57" s="11"/>
      <c r="I57" s="14">
        <v>22.17</v>
      </c>
      <c r="J57" s="11">
        <v>46</v>
      </c>
      <c r="K57" s="14">
        <v>1264.9100000000001</v>
      </c>
    </row>
    <row r="58" spans="1:11" ht="14.5" x14ac:dyDescent="0.25">
      <c r="A58" s="17"/>
      <c r="B58" s="17"/>
      <c r="C58" s="17" t="s">
        <v>263</v>
      </c>
      <c r="D58" s="18" t="s">
        <v>264</v>
      </c>
      <c r="E58" s="19">
        <v>3.18</v>
      </c>
      <c r="F58" s="20"/>
      <c r="G58" s="21" t="s">
        <v>13</v>
      </c>
      <c r="H58" s="19">
        <v>1</v>
      </c>
      <c r="I58" s="20">
        <v>3.82</v>
      </c>
      <c r="J58" s="19"/>
      <c r="K58" s="20"/>
    </row>
    <row r="59" spans="1:11" ht="14" x14ac:dyDescent="0.25">
      <c r="C59" s="22" t="s">
        <v>265</v>
      </c>
      <c r="H59" s="143">
        <v>116.09</v>
      </c>
      <c r="I59" s="143"/>
      <c r="J59" s="143">
        <v>6512.74</v>
      </c>
      <c r="K59" s="143"/>
    </row>
    <row r="60" spans="1:11" ht="14" x14ac:dyDescent="0.25">
      <c r="C60" s="22" t="s">
        <v>267</v>
      </c>
      <c r="H60" s="141">
        <v>116.09</v>
      </c>
      <c r="I60" s="141"/>
      <c r="J60" s="141">
        <v>6512.74</v>
      </c>
      <c r="K60" s="141"/>
    </row>
    <row r="62" spans="1:11" ht="54" x14ac:dyDescent="0.25">
      <c r="A62" s="38">
        <v>4</v>
      </c>
      <c r="B62" s="38" t="s">
        <v>409</v>
      </c>
      <c r="C62" s="38" t="s">
        <v>2058</v>
      </c>
      <c r="D62" s="39" t="s">
        <v>11</v>
      </c>
      <c r="E62" s="40">
        <v>1</v>
      </c>
      <c r="F62" s="41">
        <v>6498.38</v>
      </c>
      <c r="G62" s="42" t="s">
        <v>1</v>
      </c>
      <c r="H62" s="40">
        <v>1</v>
      </c>
      <c r="I62" s="41">
        <v>6498.38</v>
      </c>
      <c r="J62" s="40">
        <v>7.54</v>
      </c>
      <c r="K62" s="41">
        <v>48997.79</v>
      </c>
    </row>
    <row r="63" spans="1:11" ht="14" x14ac:dyDescent="0.25">
      <c r="A63" s="43"/>
      <c r="B63" s="43"/>
      <c r="C63" s="44" t="s">
        <v>267</v>
      </c>
      <c r="D63" s="43"/>
      <c r="E63" s="43"/>
      <c r="F63" s="43"/>
      <c r="G63" s="43"/>
      <c r="H63" s="156">
        <v>6498.38</v>
      </c>
      <c r="I63" s="156"/>
      <c r="J63" s="156">
        <v>48997.79</v>
      </c>
      <c r="K63" s="156"/>
    </row>
    <row r="66" spans="1:11" ht="14" x14ac:dyDescent="0.3">
      <c r="A66" s="140" t="s">
        <v>1731</v>
      </c>
      <c r="B66" s="140"/>
      <c r="C66" s="140"/>
      <c r="D66" s="140"/>
      <c r="E66" s="140"/>
      <c r="F66" s="140"/>
      <c r="G66" s="140"/>
      <c r="H66" s="141">
        <v>12965.08</v>
      </c>
      <c r="I66" s="142"/>
      <c r="J66" s="141">
        <v>112610.75</v>
      </c>
      <c r="K66" s="142"/>
    </row>
    <row r="68" spans="1:11" ht="16.5" x14ac:dyDescent="0.25">
      <c r="A68" s="144" t="s">
        <v>1732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</row>
    <row r="69" spans="1:11" ht="79" x14ac:dyDescent="0.25">
      <c r="A69" s="10">
        <v>5</v>
      </c>
      <c r="B69" s="10" t="s">
        <v>287</v>
      </c>
      <c r="C69" s="10" t="s">
        <v>91</v>
      </c>
      <c r="D69" s="12" t="s">
        <v>50</v>
      </c>
      <c r="E69" s="11">
        <v>2</v>
      </c>
      <c r="F69" s="14"/>
      <c r="G69" s="13"/>
      <c r="H69" s="11"/>
      <c r="I69" s="14"/>
      <c r="J69" s="11"/>
      <c r="K69" s="14"/>
    </row>
    <row r="70" spans="1:11" x14ac:dyDescent="0.25">
      <c r="C70" s="23" t="s">
        <v>400</v>
      </c>
    </row>
    <row r="71" spans="1:11" ht="14.5" x14ac:dyDescent="0.25">
      <c r="A71" s="10"/>
      <c r="B71" s="10"/>
      <c r="C71" s="10" t="s">
        <v>256</v>
      </c>
      <c r="D71" s="12"/>
      <c r="E71" s="11"/>
      <c r="F71" s="14">
        <v>192.26</v>
      </c>
      <c r="G71" s="15" t="s">
        <v>13</v>
      </c>
      <c r="H71" s="11">
        <v>1</v>
      </c>
      <c r="I71" s="14">
        <v>461.42</v>
      </c>
      <c r="J71" s="11">
        <v>57.05</v>
      </c>
      <c r="K71" s="14">
        <v>26324.01</v>
      </c>
    </row>
    <row r="72" spans="1:11" ht="14.5" x14ac:dyDescent="0.25">
      <c r="A72" s="10"/>
      <c r="B72" s="10"/>
      <c r="C72" s="10" t="s">
        <v>257</v>
      </c>
      <c r="D72" s="12"/>
      <c r="E72" s="11"/>
      <c r="F72" s="14">
        <v>32.869999999999997</v>
      </c>
      <c r="G72" s="15" t="s">
        <v>13</v>
      </c>
      <c r="H72" s="11">
        <v>1</v>
      </c>
      <c r="I72" s="14">
        <v>78.89</v>
      </c>
      <c r="J72" s="11">
        <v>19.239999999999998</v>
      </c>
      <c r="K72" s="14">
        <v>1517.84</v>
      </c>
    </row>
    <row r="73" spans="1:11" ht="14.5" x14ac:dyDescent="0.25">
      <c r="A73" s="10"/>
      <c r="B73" s="10"/>
      <c r="C73" s="10" t="s">
        <v>258</v>
      </c>
      <c r="D73" s="12"/>
      <c r="E73" s="11"/>
      <c r="F73" s="14">
        <v>5.71</v>
      </c>
      <c r="G73" s="15" t="s">
        <v>13</v>
      </c>
      <c r="H73" s="11">
        <v>1</v>
      </c>
      <c r="I73" s="16">
        <v>13.7</v>
      </c>
      <c r="J73" s="11">
        <v>57.05</v>
      </c>
      <c r="K73" s="16">
        <v>781.59</v>
      </c>
    </row>
    <row r="74" spans="1:11" ht="14.5" x14ac:dyDescent="0.25">
      <c r="A74" s="10"/>
      <c r="B74" s="10"/>
      <c r="C74" s="10" t="s">
        <v>259</v>
      </c>
      <c r="D74" s="12"/>
      <c r="E74" s="11"/>
      <c r="F74" s="14">
        <v>314.29000000000002</v>
      </c>
      <c r="G74" s="15" t="s">
        <v>1</v>
      </c>
      <c r="H74" s="11">
        <v>1</v>
      </c>
      <c r="I74" s="14">
        <v>628.58000000000004</v>
      </c>
      <c r="J74" s="11">
        <v>10.18</v>
      </c>
      <c r="K74" s="14">
        <v>6398.94</v>
      </c>
    </row>
    <row r="75" spans="1:11" ht="42" x14ac:dyDescent="0.25">
      <c r="A75" s="10" t="s">
        <v>19</v>
      </c>
      <c r="B75" s="10" t="s">
        <v>93</v>
      </c>
      <c r="C75" s="10" t="s">
        <v>94</v>
      </c>
      <c r="D75" s="12" t="s">
        <v>52</v>
      </c>
      <c r="E75" s="11">
        <v>204</v>
      </c>
      <c r="F75" s="14">
        <v>3.45</v>
      </c>
      <c r="G75" s="15" t="s">
        <v>1</v>
      </c>
      <c r="H75" s="11">
        <v>1</v>
      </c>
      <c r="I75" s="14">
        <v>703.8</v>
      </c>
      <c r="J75" s="11">
        <v>3.85</v>
      </c>
      <c r="K75" s="14">
        <v>2709.63</v>
      </c>
    </row>
    <row r="76" spans="1:11" ht="14.5" x14ac:dyDescent="0.25">
      <c r="A76" s="10"/>
      <c r="B76" s="10"/>
      <c r="C76" s="10" t="s">
        <v>260</v>
      </c>
      <c r="D76" s="12" t="s">
        <v>261</v>
      </c>
      <c r="E76" s="11">
        <v>97</v>
      </c>
      <c r="F76" s="14"/>
      <c r="G76" s="13"/>
      <c r="H76" s="11"/>
      <c r="I76" s="14">
        <v>460.87</v>
      </c>
      <c r="J76" s="11">
        <v>97</v>
      </c>
      <c r="K76" s="14">
        <v>26292.43</v>
      </c>
    </row>
    <row r="77" spans="1:11" ht="14.5" x14ac:dyDescent="0.25">
      <c r="A77" s="10"/>
      <c r="B77" s="10"/>
      <c r="C77" s="10" t="s">
        <v>262</v>
      </c>
      <c r="D77" s="12" t="s">
        <v>261</v>
      </c>
      <c r="E77" s="11">
        <v>51</v>
      </c>
      <c r="F77" s="14"/>
      <c r="G77" s="13"/>
      <c r="H77" s="11"/>
      <c r="I77" s="14">
        <v>242.31</v>
      </c>
      <c r="J77" s="11">
        <v>51</v>
      </c>
      <c r="K77" s="14">
        <v>13823.86</v>
      </c>
    </row>
    <row r="78" spans="1:11" ht="14.5" x14ac:dyDescent="0.25">
      <c r="A78" s="17"/>
      <c r="B78" s="17"/>
      <c r="C78" s="17" t="s">
        <v>263</v>
      </c>
      <c r="D78" s="18" t="s">
        <v>264</v>
      </c>
      <c r="E78" s="19">
        <v>15</v>
      </c>
      <c r="F78" s="20"/>
      <c r="G78" s="21" t="s">
        <v>13</v>
      </c>
      <c r="H78" s="19">
        <v>1</v>
      </c>
      <c r="I78" s="20">
        <v>36</v>
      </c>
      <c r="J78" s="19"/>
      <c r="K78" s="20"/>
    </row>
    <row r="79" spans="1:11" ht="14" x14ac:dyDescent="0.25">
      <c r="C79" s="22" t="s">
        <v>265</v>
      </c>
      <c r="H79" s="143">
        <v>2575.87</v>
      </c>
      <c r="I79" s="143"/>
      <c r="J79" s="143">
        <v>77066.710000000006</v>
      </c>
      <c r="K79" s="143"/>
    </row>
    <row r="80" spans="1:11" ht="14" x14ac:dyDescent="0.25">
      <c r="C80" s="22" t="s">
        <v>267</v>
      </c>
      <c r="H80" s="141">
        <v>2575.87</v>
      </c>
      <c r="I80" s="141"/>
      <c r="J80" s="141">
        <v>77066.710000000006</v>
      </c>
      <c r="K80" s="141"/>
    </row>
    <row r="82" spans="1:11" ht="79" x14ac:dyDescent="0.25">
      <c r="A82" s="10">
        <v>6</v>
      </c>
      <c r="B82" s="10" t="s">
        <v>280</v>
      </c>
      <c r="C82" s="10" t="s">
        <v>58</v>
      </c>
      <c r="D82" s="12" t="s">
        <v>50</v>
      </c>
      <c r="E82" s="11">
        <v>2</v>
      </c>
      <c r="F82" s="14"/>
      <c r="G82" s="13"/>
      <c r="H82" s="11"/>
      <c r="I82" s="14"/>
      <c r="J82" s="11"/>
      <c r="K82" s="14"/>
    </row>
    <row r="83" spans="1:11" x14ac:dyDescent="0.25">
      <c r="C83" s="23" t="s">
        <v>400</v>
      </c>
    </row>
    <row r="84" spans="1:11" ht="14.5" x14ac:dyDescent="0.25">
      <c r="A84" s="10"/>
      <c r="B84" s="10"/>
      <c r="C84" s="10" t="s">
        <v>256</v>
      </c>
      <c r="D84" s="12"/>
      <c r="E84" s="11"/>
      <c r="F84" s="14">
        <v>55.23</v>
      </c>
      <c r="G84" s="15" t="s">
        <v>13</v>
      </c>
      <c r="H84" s="11">
        <v>1</v>
      </c>
      <c r="I84" s="14">
        <v>132.55000000000001</v>
      </c>
      <c r="J84" s="11">
        <v>57.05</v>
      </c>
      <c r="K84" s="14">
        <v>7561.98</v>
      </c>
    </row>
    <row r="85" spans="1:11" ht="14.5" x14ac:dyDescent="0.25">
      <c r="A85" s="10"/>
      <c r="B85" s="10"/>
      <c r="C85" s="10" t="s">
        <v>257</v>
      </c>
      <c r="D85" s="12"/>
      <c r="E85" s="11"/>
      <c r="F85" s="14">
        <v>2.62</v>
      </c>
      <c r="G85" s="15" t="s">
        <v>13</v>
      </c>
      <c r="H85" s="11">
        <v>1</v>
      </c>
      <c r="I85" s="14">
        <v>6.29</v>
      </c>
      <c r="J85" s="11">
        <v>15.96</v>
      </c>
      <c r="K85" s="14">
        <v>100.39</v>
      </c>
    </row>
    <row r="86" spans="1:11" ht="14.5" x14ac:dyDescent="0.25">
      <c r="A86" s="10"/>
      <c r="B86" s="10"/>
      <c r="C86" s="10" t="s">
        <v>258</v>
      </c>
      <c r="D86" s="12"/>
      <c r="E86" s="11"/>
      <c r="F86" s="14">
        <v>0.3</v>
      </c>
      <c r="G86" s="15" t="s">
        <v>13</v>
      </c>
      <c r="H86" s="11">
        <v>1</v>
      </c>
      <c r="I86" s="16">
        <v>0.72</v>
      </c>
      <c r="J86" s="11">
        <v>57.05</v>
      </c>
      <c r="K86" s="16">
        <v>41.08</v>
      </c>
    </row>
    <row r="87" spans="1:11" ht="14.5" x14ac:dyDescent="0.25">
      <c r="A87" s="10"/>
      <c r="B87" s="10"/>
      <c r="C87" s="10" t="s">
        <v>259</v>
      </c>
      <c r="D87" s="12"/>
      <c r="E87" s="11"/>
      <c r="F87" s="14">
        <v>58.15</v>
      </c>
      <c r="G87" s="15" t="s">
        <v>1</v>
      </c>
      <c r="H87" s="11">
        <v>1</v>
      </c>
      <c r="I87" s="14">
        <v>116.3</v>
      </c>
      <c r="J87" s="11">
        <v>3.64</v>
      </c>
      <c r="K87" s="14">
        <v>423.33</v>
      </c>
    </row>
    <row r="88" spans="1:11" ht="41" x14ac:dyDescent="0.25">
      <c r="A88" s="10" t="s">
        <v>1722</v>
      </c>
      <c r="B88" s="10" t="s">
        <v>409</v>
      </c>
      <c r="C88" s="10" t="s">
        <v>2060</v>
      </c>
      <c r="D88" s="12" t="s">
        <v>52</v>
      </c>
      <c r="E88" s="11">
        <v>204</v>
      </c>
      <c r="F88" s="14">
        <v>6.05</v>
      </c>
      <c r="G88" s="15" t="s">
        <v>1</v>
      </c>
      <c r="H88" s="11">
        <v>1</v>
      </c>
      <c r="I88" s="14">
        <v>1234.2</v>
      </c>
      <c r="J88" s="11">
        <v>10.18</v>
      </c>
      <c r="K88" s="14">
        <v>12564.16</v>
      </c>
    </row>
    <row r="89" spans="1:11" ht="14.5" x14ac:dyDescent="0.25">
      <c r="A89" s="10"/>
      <c r="B89" s="10"/>
      <c r="C89" s="10" t="s">
        <v>260</v>
      </c>
      <c r="D89" s="12" t="s">
        <v>261</v>
      </c>
      <c r="E89" s="11">
        <v>97</v>
      </c>
      <c r="F89" s="14"/>
      <c r="G89" s="13"/>
      <c r="H89" s="11"/>
      <c r="I89" s="14">
        <v>129.27000000000001</v>
      </c>
      <c r="J89" s="11">
        <v>97</v>
      </c>
      <c r="K89" s="14">
        <v>7374.97</v>
      </c>
    </row>
    <row r="90" spans="1:11" ht="14.5" x14ac:dyDescent="0.25">
      <c r="A90" s="10"/>
      <c r="B90" s="10"/>
      <c r="C90" s="10" t="s">
        <v>262</v>
      </c>
      <c r="D90" s="12" t="s">
        <v>261</v>
      </c>
      <c r="E90" s="11">
        <v>51</v>
      </c>
      <c r="F90" s="14"/>
      <c r="G90" s="13"/>
      <c r="H90" s="11"/>
      <c r="I90" s="14">
        <v>67.97</v>
      </c>
      <c r="J90" s="11">
        <v>51</v>
      </c>
      <c r="K90" s="14">
        <v>3877.56</v>
      </c>
    </row>
    <row r="91" spans="1:11" ht="14.5" x14ac:dyDescent="0.25">
      <c r="A91" s="17"/>
      <c r="B91" s="17"/>
      <c r="C91" s="17" t="s">
        <v>263</v>
      </c>
      <c r="D91" s="18" t="s">
        <v>264</v>
      </c>
      <c r="E91" s="19">
        <v>4.49</v>
      </c>
      <c r="F91" s="20"/>
      <c r="G91" s="21" t="s">
        <v>13</v>
      </c>
      <c r="H91" s="19">
        <v>1</v>
      </c>
      <c r="I91" s="20">
        <v>10.78</v>
      </c>
      <c r="J91" s="19"/>
      <c r="K91" s="20"/>
    </row>
    <row r="92" spans="1:11" ht="14" x14ac:dyDescent="0.25">
      <c r="C92" s="22" t="s">
        <v>265</v>
      </c>
      <c r="H92" s="143">
        <v>1686.58</v>
      </c>
      <c r="I92" s="143"/>
      <c r="J92" s="143">
        <v>31902.39</v>
      </c>
      <c r="K92" s="143"/>
    </row>
    <row r="93" spans="1:11" ht="14" x14ac:dyDescent="0.25">
      <c r="C93" s="22" t="s">
        <v>267</v>
      </c>
      <c r="H93" s="141">
        <v>1686.58</v>
      </c>
      <c r="I93" s="141"/>
      <c r="J93" s="141">
        <v>31902.39</v>
      </c>
      <c r="K93" s="141"/>
    </row>
    <row r="96" spans="1:11" ht="21" customHeight="1" x14ac:dyDescent="0.3">
      <c r="A96" s="140" t="s">
        <v>1733</v>
      </c>
      <c r="B96" s="140"/>
      <c r="C96" s="140"/>
      <c r="D96" s="140"/>
      <c r="E96" s="140"/>
      <c r="F96" s="140"/>
      <c r="G96" s="140"/>
      <c r="H96" s="141">
        <v>4262.45</v>
      </c>
      <c r="I96" s="142"/>
      <c r="J96" s="141">
        <v>108969.1</v>
      </c>
      <c r="K96" s="142"/>
    </row>
    <row r="97" spans="1:11" ht="12" customHeight="1" x14ac:dyDescent="0.25"/>
    <row r="98" spans="1:11" ht="12" customHeight="1" x14ac:dyDescent="0.3">
      <c r="A98" s="140" t="s">
        <v>1734</v>
      </c>
      <c r="B98" s="140"/>
      <c r="C98" s="140"/>
      <c r="D98" s="140"/>
      <c r="E98" s="140"/>
      <c r="F98" s="140"/>
      <c r="G98" s="140"/>
      <c r="H98" s="141">
        <v>17227.53</v>
      </c>
      <c r="I98" s="142"/>
      <c r="J98" s="141">
        <v>221579.85</v>
      </c>
      <c r="K98" s="142"/>
    </row>
    <row r="100" spans="1:11" ht="16.5" x14ac:dyDescent="0.25">
      <c r="A100" s="144" t="s">
        <v>1735</v>
      </c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</row>
    <row r="102" spans="1:11" ht="16.5" x14ac:dyDescent="0.25">
      <c r="A102" s="144" t="s">
        <v>1729</v>
      </c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</row>
    <row r="103" spans="1:11" ht="79" x14ac:dyDescent="0.25">
      <c r="A103" s="10">
        <v>7</v>
      </c>
      <c r="B103" s="10" t="s">
        <v>902</v>
      </c>
      <c r="C103" s="10" t="s">
        <v>903</v>
      </c>
      <c r="D103" s="12" t="s">
        <v>24</v>
      </c>
      <c r="E103" s="11">
        <v>1</v>
      </c>
      <c r="F103" s="14"/>
      <c r="G103" s="13"/>
      <c r="H103" s="11"/>
      <c r="I103" s="14"/>
      <c r="J103" s="11"/>
      <c r="K103" s="14"/>
    </row>
    <row r="104" spans="1:11" ht="14.5" x14ac:dyDescent="0.25">
      <c r="A104" s="10"/>
      <c r="B104" s="10"/>
      <c r="C104" s="10" t="s">
        <v>256</v>
      </c>
      <c r="D104" s="12"/>
      <c r="E104" s="11"/>
      <c r="F104" s="14">
        <v>16.07</v>
      </c>
      <c r="G104" s="15" t="s">
        <v>13</v>
      </c>
      <c r="H104" s="11">
        <v>1</v>
      </c>
      <c r="I104" s="14">
        <v>19.28</v>
      </c>
      <c r="J104" s="11">
        <v>57.05</v>
      </c>
      <c r="K104" s="14">
        <v>1099.92</v>
      </c>
    </row>
    <row r="105" spans="1:11" ht="14.5" x14ac:dyDescent="0.25">
      <c r="A105" s="10"/>
      <c r="B105" s="10"/>
      <c r="C105" s="10" t="s">
        <v>257</v>
      </c>
      <c r="D105" s="12"/>
      <c r="E105" s="11"/>
      <c r="F105" s="14">
        <v>0.05</v>
      </c>
      <c r="G105" s="15" t="s">
        <v>13</v>
      </c>
      <c r="H105" s="11">
        <v>1</v>
      </c>
      <c r="I105" s="14">
        <v>0.06</v>
      </c>
      <c r="J105" s="11">
        <v>20.399999999999999</v>
      </c>
      <c r="K105" s="14">
        <v>1.22</v>
      </c>
    </row>
    <row r="106" spans="1:11" ht="14.5" x14ac:dyDescent="0.25">
      <c r="A106" s="10"/>
      <c r="B106" s="10"/>
      <c r="C106" s="10" t="s">
        <v>258</v>
      </c>
      <c r="D106" s="12"/>
      <c r="E106" s="11"/>
      <c r="F106" s="14">
        <v>0.01</v>
      </c>
      <c r="G106" s="15" t="s">
        <v>13</v>
      </c>
      <c r="H106" s="11">
        <v>1</v>
      </c>
      <c r="I106" s="16">
        <v>0.01</v>
      </c>
      <c r="J106" s="11">
        <v>57.05</v>
      </c>
      <c r="K106" s="16">
        <v>0.56999999999999995</v>
      </c>
    </row>
    <row r="107" spans="1:11" ht="14.5" x14ac:dyDescent="0.25">
      <c r="A107" s="10"/>
      <c r="B107" s="10"/>
      <c r="C107" s="10" t="s">
        <v>259</v>
      </c>
      <c r="D107" s="12"/>
      <c r="E107" s="11"/>
      <c r="F107" s="14">
        <v>1.96</v>
      </c>
      <c r="G107" s="15" t="s">
        <v>1</v>
      </c>
      <c r="H107" s="11">
        <v>1</v>
      </c>
      <c r="I107" s="14">
        <v>1.96</v>
      </c>
      <c r="J107" s="11">
        <v>10.18</v>
      </c>
      <c r="K107" s="14">
        <v>19.95</v>
      </c>
    </row>
    <row r="108" spans="1:11" ht="14.5" x14ac:dyDescent="0.25">
      <c r="A108" s="10"/>
      <c r="B108" s="10"/>
      <c r="C108" s="10" t="s">
        <v>260</v>
      </c>
      <c r="D108" s="12" t="s">
        <v>261</v>
      </c>
      <c r="E108" s="11">
        <v>90</v>
      </c>
      <c r="F108" s="14"/>
      <c r="G108" s="13"/>
      <c r="H108" s="11"/>
      <c r="I108" s="14">
        <v>17.36</v>
      </c>
      <c r="J108" s="11">
        <v>90</v>
      </c>
      <c r="K108" s="14">
        <v>990.44</v>
      </c>
    </row>
    <row r="109" spans="1:11" ht="14.5" x14ac:dyDescent="0.25">
      <c r="A109" s="10"/>
      <c r="B109" s="10"/>
      <c r="C109" s="10" t="s">
        <v>262</v>
      </c>
      <c r="D109" s="12" t="s">
        <v>261</v>
      </c>
      <c r="E109" s="11">
        <v>46</v>
      </c>
      <c r="F109" s="14"/>
      <c r="G109" s="13"/>
      <c r="H109" s="11"/>
      <c r="I109" s="14">
        <v>8.8699999999999992</v>
      </c>
      <c r="J109" s="11">
        <v>46</v>
      </c>
      <c r="K109" s="14">
        <v>506.23</v>
      </c>
    </row>
    <row r="110" spans="1:11" ht="14.5" x14ac:dyDescent="0.25">
      <c r="A110" s="17"/>
      <c r="B110" s="17"/>
      <c r="C110" s="17" t="s">
        <v>263</v>
      </c>
      <c r="D110" s="18" t="s">
        <v>264</v>
      </c>
      <c r="E110" s="19">
        <v>1.2</v>
      </c>
      <c r="F110" s="20"/>
      <c r="G110" s="21" t="s">
        <v>13</v>
      </c>
      <c r="H110" s="19">
        <v>1</v>
      </c>
      <c r="I110" s="20">
        <v>1.44</v>
      </c>
      <c r="J110" s="19"/>
      <c r="K110" s="20"/>
    </row>
    <row r="111" spans="1:11" ht="14" x14ac:dyDescent="0.25">
      <c r="C111" s="22" t="s">
        <v>265</v>
      </c>
      <c r="H111" s="143">
        <v>47.53</v>
      </c>
      <c r="I111" s="143"/>
      <c r="J111" s="143">
        <v>2617.7600000000002</v>
      </c>
      <c r="K111" s="143"/>
    </row>
    <row r="112" spans="1:11" ht="14" x14ac:dyDescent="0.25">
      <c r="C112" s="22" t="s">
        <v>267</v>
      </c>
      <c r="H112" s="141">
        <v>47.53</v>
      </c>
      <c r="I112" s="141"/>
      <c r="J112" s="141">
        <v>2617.7600000000002</v>
      </c>
      <c r="K112" s="141"/>
    </row>
    <row r="114" spans="1:11" ht="54" x14ac:dyDescent="0.25">
      <c r="A114" s="17">
        <v>8</v>
      </c>
      <c r="B114" s="17" t="s">
        <v>409</v>
      </c>
      <c r="C114" s="17" t="s">
        <v>2059</v>
      </c>
      <c r="D114" s="18" t="s">
        <v>11</v>
      </c>
      <c r="E114" s="19">
        <v>1</v>
      </c>
      <c r="F114" s="20">
        <v>352.19</v>
      </c>
      <c r="G114" s="21" t="s">
        <v>1</v>
      </c>
      <c r="H114" s="19">
        <v>1</v>
      </c>
      <c r="I114" s="20">
        <v>352.19</v>
      </c>
      <c r="J114" s="19">
        <v>7.54</v>
      </c>
      <c r="K114" s="20">
        <v>2655.51</v>
      </c>
    </row>
    <row r="115" spans="1:11" ht="14" x14ac:dyDescent="0.25">
      <c r="C115" s="22" t="s">
        <v>267</v>
      </c>
      <c r="H115" s="143">
        <v>352.19</v>
      </c>
      <c r="I115" s="143"/>
      <c r="J115" s="143">
        <v>2655.51</v>
      </c>
      <c r="K115" s="143"/>
    </row>
    <row r="118" spans="1:11" ht="14" x14ac:dyDescent="0.3">
      <c r="A118" s="140" t="s">
        <v>1731</v>
      </c>
      <c r="B118" s="140"/>
      <c r="C118" s="140"/>
      <c r="D118" s="140"/>
      <c r="E118" s="140"/>
      <c r="F118" s="140"/>
      <c r="G118" s="140"/>
      <c r="H118" s="141">
        <v>399.72</v>
      </c>
      <c r="I118" s="142"/>
      <c r="J118" s="141">
        <v>5273.27</v>
      </c>
      <c r="K118" s="142"/>
    </row>
    <row r="120" spans="1:11" ht="16.5" x14ac:dyDescent="0.25">
      <c r="A120" s="144" t="s">
        <v>1732</v>
      </c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</row>
    <row r="121" spans="1:11" ht="79" x14ac:dyDescent="0.25">
      <c r="A121" s="10">
        <v>9</v>
      </c>
      <c r="B121" s="10" t="s">
        <v>1723</v>
      </c>
      <c r="C121" s="10" t="s">
        <v>1724</v>
      </c>
      <c r="D121" s="12" t="s">
        <v>50</v>
      </c>
      <c r="E121" s="11">
        <v>0.2</v>
      </c>
      <c r="F121" s="14"/>
      <c r="G121" s="13"/>
      <c r="H121" s="11"/>
      <c r="I121" s="14"/>
      <c r="J121" s="11"/>
      <c r="K121" s="14"/>
    </row>
    <row r="122" spans="1:11" x14ac:dyDescent="0.25">
      <c r="C122" s="23" t="s">
        <v>579</v>
      </c>
    </row>
    <row r="123" spans="1:11" ht="14.5" x14ac:dyDescent="0.25">
      <c r="A123" s="10"/>
      <c r="B123" s="10"/>
      <c r="C123" s="10" t="s">
        <v>256</v>
      </c>
      <c r="D123" s="12"/>
      <c r="E123" s="11"/>
      <c r="F123" s="14">
        <v>463.71</v>
      </c>
      <c r="G123" s="15" t="s">
        <v>13</v>
      </c>
      <c r="H123" s="11">
        <v>1</v>
      </c>
      <c r="I123" s="14">
        <v>111.29</v>
      </c>
      <c r="J123" s="11">
        <v>57.05</v>
      </c>
      <c r="K123" s="14">
        <v>6349.09</v>
      </c>
    </row>
    <row r="124" spans="1:11" ht="14.5" x14ac:dyDescent="0.25">
      <c r="A124" s="10"/>
      <c r="B124" s="10"/>
      <c r="C124" s="10" t="s">
        <v>257</v>
      </c>
      <c r="D124" s="12"/>
      <c r="E124" s="11"/>
      <c r="F124" s="14">
        <v>183.73</v>
      </c>
      <c r="G124" s="15" t="s">
        <v>13</v>
      </c>
      <c r="H124" s="11">
        <v>1</v>
      </c>
      <c r="I124" s="14">
        <v>44.1</v>
      </c>
      <c r="J124" s="11">
        <v>16.510000000000002</v>
      </c>
      <c r="K124" s="14">
        <v>728.09</v>
      </c>
    </row>
    <row r="125" spans="1:11" ht="14.5" x14ac:dyDescent="0.25">
      <c r="A125" s="10"/>
      <c r="B125" s="10"/>
      <c r="C125" s="10" t="s">
        <v>258</v>
      </c>
      <c r="D125" s="12"/>
      <c r="E125" s="11"/>
      <c r="F125" s="14">
        <v>20.190000000000001</v>
      </c>
      <c r="G125" s="15" t="s">
        <v>13</v>
      </c>
      <c r="H125" s="11">
        <v>1</v>
      </c>
      <c r="I125" s="16">
        <v>4.8499999999999996</v>
      </c>
      <c r="J125" s="11">
        <v>57.05</v>
      </c>
      <c r="K125" s="16">
        <v>276.69</v>
      </c>
    </row>
    <row r="126" spans="1:11" ht="14.5" x14ac:dyDescent="0.25">
      <c r="A126" s="10"/>
      <c r="B126" s="10"/>
      <c r="C126" s="10" t="s">
        <v>259</v>
      </c>
      <c r="D126" s="12"/>
      <c r="E126" s="11"/>
      <c r="F126" s="14">
        <v>123.94</v>
      </c>
      <c r="G126" s="15" t="s">
        <v>1</v>
      </c>
      <c r="H126" s="11">
        <v>1</v>
      </c>
      <c r="I126" s="14">
        <v>24.79</v>
      </c>
      <c r="J126" s="11">
        <v>4.47</v>
      </c>
      <c r="K126" s="14">
        <v>110.81</v>
      </c>
    </row>
    <row r="127" spans="1:11" ht="56" x14ac:dyDescent="0.25">
      <c r="A127" s="10" t="s">
        <v>22</v>
      </c>
      <c r="B127" s="10" t="s">
        <v>1736</v>
      </c>
      <c r="C127" s="10" t="s">
        <v>1744</v>
      </c>
      <c r="D127" s="12" t="s">
        <v>60</v>
      </c>
      <c r="E127" s="11">
        <v>2.0400000000000001E-2</v>
      </c>
      <c r="F127" s="14">
        <v>5709.64</v>
      </c>
      <c r="G127" s="15" t="s">
        <v>1</v>
      </c>
      <c r="H127" s="11">
        <v>1</v>
      </c>
      <c r="I127" s="14">
        <v>116.48</v>
      </c>
      <c r="J127" s="11">
        <v>3.57</v>
      </c>
      <c r="K127" s="14">
        <v>415.83</v>
      </c>
    </row>
    <row r="128" spans="1:11" ht="14.5" x14ac:dyDescent="0.25">
      <c r="A128" s="10"/>
      <c r="B128" s="10"/>
      <c r="C128" s="10" t="s">
        <v>260</v>
      </c>
      <c r="D128" s="12" t="s">
        <v>261</v>
      </c>
      <c r="E128" s="11">
        <v>90</v>
      </c>
      <c r="F128" s="14"/>
      <c r="G128" s="13"/>
      <c r="H128" s="11"/>
      <c r="I128" s="14">
        <v>104.53</v>
      </c>
      <c r="J128" s="11">
        <v>90</v>
      </c>
      <c r="K128" s="14">
        <v>5963.2</v>
      </c>
    </row>
    <row r="129" spans="1:11" ht="14.5" x14ac:dyDescent="0.25">
      <c r="A129" s="10"/>
      <c r="B129" s="10"/>
      <c r="C129" s="10" t="s">
        <v>262</v>
      </c>
      <c r="D129" s="12" t="s">
        <v>261</v>
      </c>
      <c r="E129" s="11">
        <v>46</v>
      </c>
      <c r="F129" s="14"/>
      <c r="G129" s="13"/>
      <c r="H129" s="11"/>
      <c r="I129" s="14">
        <v>53.42</v>
      </c>
      <c r="J129" s="11">
        <v>46</v>
      </c>
      <c r="K129" s="14">
        <v>3047.86</v>
      </c>
    </row>
    <row r="130" spans="1:11" ht="14.5" x14ac:dyDescent="0.25">
      <c r="A130" s="17"/>
      <c r="B130" s="17"/>
      <c r="C130" s="17" t="s">
        <v>263</v>
      </c>
      <c r="D130" s="18" t="s">
        <v>264</v>
      </c>
      <c r="E130" s="19">
        <v>39</v>
      </c>
      <c r="F130" s="20"/>
      <c r="G130" s="21" t="s">
        <v>13</v>
      </c>
      <c r="H130" s="19">
        <v>1</v>
      </c>
      <c r="I130" s="20">
        <v>9.36</v>
      </c>
      <c r="J130" s="19"/>
      <c r="K130" s="20"/>
    </row>
    <row r="131" spans="1:11" ht="14" x14ac:dyDescent="0.25">
      <c r="C131" s="22" t="s">
        <v>265</v>
      </c>
      <c r="H131" s="143">
        <v>454.61</v>
      </c>
      <c r="I131" s="143"/>
      <c r="J131" s="143">
        <v>16614.88</v>
      </c>
      <c r="K131" s="143"/>
    </row>
    <row r="132" spans="1:11" ht="14" x14ac:dyDescent="0.25">
      <c r="C132" s="22" t="s">
        <v>267</v>
      </c>
      <c r="H132" s="141">
        <v>454.61</v>
      </c>
      <c r="I132" s="141"/>
      <c r="J132" s="141">
        <v>16614.88</v>
      </c>
      <c r="K132" s="141"/>
    </row>
    <row r="135" spans="1:11" ht="14" x14ac:dyDescent="0.3">
      <c r="A135" s="140" t="s">
        <v>1733</v>
      </c>
      <c r="B135" s="140"/>
      <c r="C135" s="140"/>
      <c r="D135" s="140"/>
      <c r="E135" s="140"/>
      <c r="F135" s="140"/>
      <c r="G135" s="140"/>
      <c r="H135" s="141">
        <v>454.61</v>
      </c>
      <c r="I135" s="142"/>
      <c r="J135" s="141">
        <v>16614.88</v>
      </c>
      <c r="K135" s="142"/>
    </row>
    <row r="137" spans="1:11" ht="14" x14ac:dyDescent="0.3">
      <c r="A137" s="140" t="s">
        <v>1737</v>
      </c>
      <c r="B137" s="140"/>
      <c r="C137" s="140"/>
      <c r="D137" s="140"/>
      <c r="E137" s="140"/>
      <c r="F137" s="140"/>
      <c r="G137" s="140"/>
      <c r="H137" s="141">
        <v>854.33</v>
      </c>
      <c r="I137" s="142"/>
      <c r="J137" s="141">
        <v>21888.15</v>
      </c>
      <c r="K137" s="142"/>
    </row>
    <row r="139" spans="1:11" ht="16.5" x14ac:dyDescent="0.25">
      <c r="A139" s="144" t="s">
        <v>1738</v>
      </c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</row>
    <row r="141" spans="1:11" ht="16.5" x14ac:dyDescent="0.25">
      <c r="A141" s="144" t="s">
        <v>1729</v>
      </c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</row>
    <row r="142" spans="1:11" ht="79" x14ac:dyDescent="0.25">
      <c r="A142" s="10">
        <v>10</v>
      </c>
      <c r="B142" s="10" t="s">
        <v>859</v>
      </c>
      <c r="C142" s="10" t="s">
        <v>860</v>
      </c>
      <c r="D142" s="12" t="s">
        <v>24</v>
      </c>
      <c r="E142" s="11">
        <v>3</v>
      </c>
      <c r="F142" s="14"/>
      <c r="G142" s="13"/>
      <c r="H142" s="11"/>
      <c r="I142" s="14"/>
      <c r="J142" s="11"/>
      <c r="K142" s="14"/>
    </row>
    <row r="143" spans="1:11" ht="14.5" x14ac:dyDescent="0.25">
      <c r="A143" s="10"/>
      <c r="B143" s="10"/>
      <c r="C143" s="10" t="s">
        <v>256</v>
      </c>
      <c r="D143" s="12"/>
      <c r="E143" s="11"/>
      <c r="F143" s="14">
        <v>6.75</v>
      </c>
      <c r="G143" s="15" t="s">
        <v>13</v>
      </c>
      <c r="H143" s="11">
        <v>1</v>
      </c>
      <c r="I143" s="14">
        <v>24.3</v>
      </c>
      <c r="J143" s="11">
        <v>57.05</v>
      </c>
      <c r="K143" s="14">
        <v>1386.32</v>
      </c>
    </row>
    <row r="144" spans="1:11" ht="14.5" x14ac:dyDescent="0.25">
      <c r="A144" s="10"/>
      <c r="B144" s="10"/>
      <c r="C144" s="10" t="s">
        <v>260</v>
      </c>
      <c r="D144" s="12" t="s">
        <v>261</v>
      </c>
      <c r="E144" s="11">
        <v>90</v>
      </c>
      <c r="F144" s="14"/>
      <c r="G144" s="13"/>
      <c r="H144" s="11"/>
      <c r="I144" s="14">
        <v>21.87</v>
      </c>
      <c r="J144" s="11">
        <v>90</v>
      </c>
      <c r="K144" s="14">
        <v>1247.69</v>
      </c>
    </row>
    <row r="145" spans="1:11" ht="14.5" x14ac:dyDescent="0.25">
      <c r="A145" s="10"/>
      <c r="B145" s="10"/>
      <c r="C145" s="10" t="s">
        <v>262</v>
      </c>
      <c r="D145" s="12" t="s">
        <v>261</v>
      </c>
      <c r="E145" s="11">
        <v>46</v>
      </c>
      <c r="F145" s="14"/>
      <c r="G145" s="13"/>
      <c r="H145" s="11"/>
      <c r="I145" s="14">
        <v>11.18</v>
      </c>
      <c r="J145" s="11">
        <v>46</v>
      </c>
      <c r="K145" s="14">
        <v>637.71</v>
      </c>
    </row>
    <row r="146" spans="1:11" ht="14.5" x14ac:dyDescent="0.25">
      <c r="A146" s="17"/>
      <c r="B146" s="17"/>
      <c r="C146" s="17" t="s">
        <v>263</v>
      </c>
      <c r="D146" s="18" t="s">
        <v>264</v>
      </c>
      <c r="E146" s="19">
        <v>0.52</v>
      </c>
      <c r="F146" s="20"/>
      <c r="G146" s="21" t="s">
        <v>13</v>
      </c>
      <c r="H146" s="19">
        <v>1</v>
      </c>
      <c r="I146" s="20">
        <v>1.87</v>
      </c>
      <c r="J146" s="19"/>
      <c r="K146" s="20"/>
    </row>
    <row r="147" spans="1:11" ht="14" x14ac:dyDescent="0.25">
      <c r="C147" s="22" t="s">
        <v>265</v>
      </c>
      <c r="H147" s="143">
        <v>57.35</v>
      </c>
      <c r="I147" s="143"/>
      <c r="J147" s="143">
        <v>3271.72</v>
      </c>
      <c r="K147" s="143"/>
    </row>
    <row r="148" spans="1:11" ht="14" x14ac:dyDescent="0.25">
      <c r="C148" s="22" t="s">
        <v>267</v>
      </c>
      <c r="H148" s="141">
        <v>57.35</v>
      </c>
      <c r="I148" s="141"/>
      <c r="J148" s="141">
        <v>3271.72</v>
      </c>
      <c r="K148" s="141"/>
    </row>
    <row r="150" spans="1:11" ht="168" x14ac:dyDescent="0.25">
      <c r="A150" s="17">
        <v>11</v>
      </c>
      <c r="B150" s="17" t="s">
        <v>1739</v>
      </c>
      <c r="C150" s="17" t="s">
        <v>1725</v>
      </c>
      <c r="D150" s="18" t="s">
        <v>38</v>
      </c>
      <c r="E150" s="19">
        <v>3</v>
      </c>
      <c r="F150" s="20">
        <v>1038.81</v>
      </c>
      <c r="G150" s="21" t="s">
        <v>1</v>
      </c>
      <c r="H150" s="19">
        <v>1</v>
      </c>
      <c r="I150" s="20">
        <v>3116.43</v>
      </c>
      <c r="J150" s="19">
        <v>4.28</v>
      </c>
      <c r="K150" s="20">
        <v>13338.32</v>
      </c>
    </row>
    <row r="151" spans="1:11" ht="14" x14ac:dyDescent="0.25">
      <c r="C151" s="22" t="s">
        <v>267</v>
      </c>
      <c r="H151" s="143">
        <v>3116.43</v>
      </c>
      <c r="I151" s="143"/>
      <c r="J151" s="143">
        <v>13338.32</v>
      </c>
      <c r="K151" s="143"/>
    </row>
    <row r="153" spans="1:11" ht="79" x14ac:dyDescent="0.25">
      <c r="A153" s="10">
        <v>12</v>
      </c>
      <c r="B153" s="10" t="s">
        <v>859</v>
      </c>
      <c r="C153" s="10" t="s">
        <v>860</v>
      </c>
      <c r="D153" s="12" t="s">
        <v>24</v>
      </c>
      <c r="E153" s="11">
        <v>6</v>
      </c>
      <c r="F153" s="14"/>
      <c r="G153" s="13"/>
      <c r="H153" s="11"/>
      <c r="I153" s="14"/>
      <c r="J153" s="11"/>
      <c r="K153" s="14"/>
    </row>
    <row r="154" spans="1:11" ht="14.5" x14ac:dyDescent="0.25">
      <c r="A154" s="10"/>
      <c r="B154" s="10"/>
      <c r="C154" s="10" t="s">
        <v>256</v>
      </c>
      <c r="D154" s="12"/>
      <c r="E154" s="11"/>
      <c r="F154" s="14">
        <v>6.75</v>
      </c>
      <c r="G154" s="15" t="s">
        <v>13</v>
      </c>
      <c r="H154" s="11">
        <v>1</v>
      </c>
      <c r="I154" s="14">
        <v>48.6</v>
      </c>
      <c r="J154" s="11">
        <v>57.05</v>
      </c>
      <c r="K154" s="14">
        <v>2772.63</v>
      </c>
    </row>
    <row r="155" spans="1:11" ht="14.5" x14ac:dyDescent="0.25">
      <c r="A155" s="10"/>
      <c r="B155" s="10"/>
      <c r="C155" s="10" t="s">
        <v>260</v>
      </c>
      <c r="D155" s="12" t="s">
        <v>261</v>
      </c>
      <c r="E155" s="11">
        <v>90</v>
      </c>
      <c r="F155" s="14"/>
      <c r="G155" s="13"/>
      <c r="H155" s="11"/>
      <c r="I155" s="14">
        <v>43.74</v>
      </c>
      <c r="J155" s="11">
        <v>90</v>
      </c>
      <c r="K155" s="14">
        <v>2495.37</v>
      </c>
    </row>
    <row r="156" spans="1:11" ht="14.5" x14ac:dyDescent="0.25">
      <c r="A156" s="10"/>
      <c r="B156" s="10"/>
      <c r="C156" s="10" t="s">
        <v>262</v>
      </c>
      <c r="D156" s="12" t="s">
        <v>261</v>
      </c>
      <c r="E156" s="11">
        <v>46</v>
      </c>
      <c r="F156" s="14"/>
      <c r="G156" s="13"/>
      <c r="H156" s="11"/>
      <c r="I156" s="14">
        <v>22.36</v>
      </c>
      <c r="J156" s="11">
        <v>46</v>
      </c>
      <c r="K156" s="14">
        <v>1275.4100000000001</v>
      </c>
    </row>
    <row r="157" spans="1:11" ht="14.5" x14ac:dyDescent="0.25">
      <c r="A157" s="17"/>
      <c r="B157" s="17"/>
      <c r="C157" s="17" t="s">
        <v>263</v>
      </c>
      <c r="D157" s="18" t="s">
        <v>264</v>
      </c>
      <c r="E157" s="19">
        <v>0.52</v>
      </c>
      <c r="F157" s="20"/>
      <c r="G157" s="21" t="s">
        <v>13</v>
      </c>
      <c r="H157" s="19">
        <v>1</v>
      </c>
      <c r="I157" s="20">
        <v>3.74</v>
      </c>
      <c r="J157" s="19"/>
      <c r="K157" s="20"/>
    </row>
    <row r="158" spans="1:11" ht="14" x14ac:dyDescent="0.25">
      <c r="C158" s="22" t="s">
        <v>265</v>
      </c>
      <c r="H158" s="143">
        <v>114.7</v>
      </c>
      <c r="I158" s="143"/>
      <c r="J158" s="143">
        <v>6543.41</v>
      </c>
      <c r="K158" s="143"/>
    </row>
    <row r="159" spans="1:11" ht="14" x14ac:dyDescent="0.25">
      <c r="C159" s="22" t="s">
        <v>267</v>
      </c>
      <c r="H159" s="141">
        <v>114.7</v>
      </c>
      <c r="I159" s="141"/>
      <c r="J159" s="141">
        <v>6543.41</v>
      </c>
      <c r="K159" s="141"/>
    </row>
    <row r="161" spans="1:11" ht="210" x14ac:dyDescent="0.25">
      <c r="A161" s="17">
        <v>13</v>
      </c>
      <c r="B161" s="17" t="s">
        <v>1740</v>
      </c>
      <c r="C161" s="17" t="s">
        <v>1726</v>
      </c>
      <c r="D161" s="18" t="s">
        <v>38</v>
      </c>
      <c r="E161" s="19">
        <v>6</v>
      </c>
      <c r="F161" s="20">
        <v>377.75</v>
      </c>
      <c r="G161" s="21" t="s">
        <v>1</v>
      </c>
      <c r="H161" s="19">
        <v>1</v>
      </c>
      <c r="I161" s="20">
        <v>2266.5</v>
      </c>
      <c r="J161" s="19">
        <v>4.5199999999999996</v>
      </c>
      <c r="K161" s="20">
        <v>10244.58</v>
      </c>
    </row>
    <row r="162" spans="1:11" ht="14" x14ac:dyDescent="0.25">
      <c r="C162" s="22" t="s">
        <v>267</v>
      </c>
      <c r="H162" s="143">
        <v>2266.5</v>
      </c>
      <c r="I162" s="143"/>
      <c r="J162" s="143">
        <v>10244.58</v>
      </c>
      <c r="K162" s="143"/>
    </row>
    <row r="164" spans="1:11" ht="79" x14ac:dyDescent="0.25">
      <c r="A164" s="10">
        <v>14</v>
      </c>
      <c r="B164" s="10" t="s">
        <v>269</v>
      </c>
      <c r="C164" s="10" t="s">
        <v>23</v>
      </c>
      <c r="D164" s="12" t="s">
        <v>24</v>
      </c>
      <c r="E164" s="11">
        <v>3</v>
      </c>
      <c r="F164" s="14"/>
      <c r="G164" s="13"/>
      <c r="H164" s="11"/>
      <c r="I164" s="14"/>
      <c r="J164" s="11"/>
      <c r="K164" s="14"/>
    </row>
    <row r="165" spans="1:11" ht="14.5" x14ac:dyDescent="0.25">
      <c r="A165" s="10"/>
      <c r="B165" s="10"/>
      <c r="C165" s="10" t="s">
        <v>256</v>
      </c>
      <c r="D165" s="12"/>
      <c r="E165" s="11"/>
      <c r="F165" s="14">
        <v>26.76</v>
      </c>
      <c r="G165" s="15" t="s">
        <v>13</v>
      </c>
      <c r="H165" s="11">
        <v>1</v>
      </c>
      <c r="I165" s="14">
        <v>96.34</v>
      </c>
      <c r="J165" s="11">
        <v>57.05</v>
      </c>
      <c r="K165" s="14">
        <v>5496.2</v>
      </c>
    </row>
    <row r="166" spans="1:11" ht="14.5" x14ac:dyDescent="0.25">
      <c r="A166" s="10"/>
      <c r="B166" s="10"/>
      <c r="C166" s="10" t="s">
        <v>257</v>
      </c>
      <c r="D166" s="12"/>
      <c r="E166" s="11"/>
      <c r="F166" s="14">
        <v>17.420000000000002</v>
      </c>
      <c r="G166" s="15" t="s">
        <v>13</v>
      </c>
      <c r="H166" s="11">
        <v>1</v>
      </c>
      <c r="I166" s="14">
        <v>62.71</v>
      </c>
      <c r="J166" s="11">
        <v>20.11</v>
      </c>
      <c r="K166" s="14">
        <v>1261.0999999999999</v>
      </c>
    </row>
    <row r="167" spans="1:11" ht="14.5" x14ac:dyDescent="0.25">
      <c r="A167" s="10"/>
      <c r="B167" s="10"/>
      <c r="C167" s="10" t="s">
        <v>258</v>
      </c>
      <c r="D167" s="12"/>
      <c r="E167" s="11"/>
      <c r="F167" s="14">
        <v>3.16</v>
      </c>
      <c r="G167" s="15" t="s">
        <v>13</v>
      </c>
      <c r="H167" s="11">
        <v>1</v>
      </c>
      <c r="I167" s="16">
        <v>11.38</v>
      </c>
      <c r="J167" s="11">
        <v>57.05</v>
      </c>
      <c r="K167" s="16">
        <v>649.23</v>
      </c>
    </row>
    <row r="168" spans="1:11" ht="14.5" x14ac:dyDescent="0.25">
      <c r="A168" s="10"/>
      <c r="B168" s="10"/>
      <c r="C168" s="10" t="s">
        <v>259</v>
      </c>
      <c r="D168" s="12"/>
      <c r="E168" s="11"/>
      <c r="F168" s="14">
        <v>1.46</v>
      </c>
      <c r="G168" s="15" t="s">
        <v>1</v>
      </c>
      <c r="H168" s="11">
        <v>1</v>
      </c>
      <c r="I168" s="14">
        <v>4.38</v>
      </c>
      <c r="J168" s="11">
        <v>13.13</v>
      </c>
      <c r="K168" s="14">
        <v>57.51</v>
      </c>
    </row>
    <row r="169" spans="1:11" ht="28" x14ac:dyDescent="0.25">
      <c r="A169" s="10" t="s">
        <v>649</v>
      </c>
      <c r="B169" s="10" t="s">
        <v>26</v>
      </c>
      <c r="C169" s="10" t="s">
        <v>27</v>
      </c>
      <c r="D169" s="12" t="s">
        <v>28</v>
      </c>
      <c r="E169" s="11">
        <v>2.9999999999999997E-4</v>
      </c>
      <c r="F169" s="14">
        <v>22524.65</v>
      </c>
      <c r="G169" s="15" t="s">
        <v>1</v>
      </c>
      <c r="H169" s="11">
        <v>1</v>
      </c>
      <c r="I169" s="14">
        <v>6.76</v>
      </c>
      <c r="J169" s="11">
        <v>5.94</v>
      </c>
      <c r="K169" s="14">
        <v>40.15</v>
      </c>
    </row>
    <row r="170" spans="1:11" ht="14.5" x14ac:dyDescent="0.25">
      <c r="A170" s="10"/>
      <c r="B170" s="10"/>
      <c r="C170" s="10" t="s">
        <v>260</v>
      </c>
      <c r="D170" s="12" t="s">
        <v>261</v>
      </c>
      <c r="E170" s="11">
        <v>97</v>
      </c>
      <c r="F170" s="14"/>
      <c r="G170" s="13"/>
      <c r="H170" s="11"/>
      <c r="I170" s="14">
        <v>104.49</v>
      </c>
      <c r="J170" s="11">
        <v>97</v>
      </c>
      <c r="K170" s="14">
        <v>5961.07</v>
      </c>
    </row>
    <row r="171" spans="1:11" ht="14.5" x14ac:dyDescent="0.25">
      <c r="A171" s="10"/>
      <c r="B171" s="10"/>
      <c r="C171" s="10" t="s">
        <v>262</v>
      </c>
      <c r="D171" s="12" t="s">
        <v>261</v>
      </c>
      <c r="E171" s="11">
        <v>51</v>
      </c>
      <c r="F171" s="14"/>
      <c r="G171" s="13"/>
      <c r="H171" s="11"/>
      <c r="I171" s="14">
        <v>54.94</v>
      </c>
      <c r="J171" s="11">
        <v>51</v>
      </c>
      <c r="K171" s="14">
        <v>3134.17</v>
      </c>
    </row>
    <row r="172" spans="1:11" ht="14.5" x14ac:dyDescent="0.25">
      <c r="A172" s="17"/>
      <c r="B172" s="17"/>
      <c r="C172" s="17" t="s">
        <v>263</v>
      </c>
      <c r="D172" s="18" t="s">
        <v>264</v>
      </c>
      <c r="E172" s="19">
        <v>2.06</v>
      </c>
      <c r="F172" s="20"/>
      <c r="G172" s="21" t="s">
        <v>13</v>
      </c>
      <c r="H172" s="19">
        <v>1</v>
      </c>
      <c r="I172" s="20">
        <v>7.42</v>
      </c>
      <c r="J172" s="19"/>
      <c r="K172" s="20"/>
    </row>
    <row r="173" spans="1:11" ht="14" x14ac:dyDescent="0.25">
      <c r="C173" s="22" t="s">
        <v>265</v>
      </c>
      <c r="H173" s="143">
        <v>329.62</v>
      </c>
      <c r="I173" s="143"/>
      <c r="J173" s="143">
        <v>15950.2</v>
      </c>
      <c r="K173" s="143"/>
    </row>
    <row r="174" spans="1:11" ht="14" x14ac:dyDescent="0.25">
      <c r="C174" s="22" t="s">
        <v>267</v>
      </c>
      <c r="H174" s="141">
        <v>329.62</v>
      </c>
      <c r="I174" s="141"/>
      <c r="J174" s="141">
        <v>15950.2</v>
      </c>
      <c r="K174" s="141"/>
    </row>
    <row r="176" spans="1:11" ht="54" x14ac:dyDescent="0.25">
      <c r="A176" s="17">
        <v>15</v>
      </c>
      <c r="B176" s="17" t="s">
        <v>409</v>
      </c>
      <c r="C176" s="17" t="s">
        <v>2061</v>
      </c>
      <c r="D176" s="18" t="s">
        <v>11</v>
      </c>
      <c r="E176" s="19">
        <v>3</v>
      </c>
      <c r="F176" s="20">
        <v>20.61</v>
      </c>
      <c r="G176" s="21" t="s">
        <v>1</v>
      </c>
      <c r="H176" s="19">
        <v>1</v>
      </c>
      <c r="I176" s="20">
        <v>61.83</v>
      </c>
      <c r="J176" s="19">
        <v>7.54</v>
      </c>
      <c r="K176" s="20">
        <v>466.2</v>
      </c>
    </row>
    <row r="177" spans="1:11" ht="14" x14ac:dyDescent="0.25">
      <c r="C177" s="22" t="s">
        <v>267</v>
      </c>
      <c r="H177" s="143">
        <v>61.83</v>
      </c>
      <c r="I177" s="143"/>
      <c r="J177" s="143">
        <v>466.2</v>
      </c>
      <c r="K177" s="143"/>
    </row>
    <row r="180" spans="1:11" ht="14" x14ac:dyDescent="0.3">
      <c r="A180" s="140" t="s">
        <v>1731</v>
      </c>
      <c r="B180" s="140"/>
      <c r="C180" s="140"/>
      <c r="D180" s="140"/>
      <c r="E180" s="140"/>
      <c r="F180" s="140"/>
      <c r="G180" s="140"/>
      <c r="H180" s="141">
        <v>5946.43</v>
      </c>
      <c r="I180" s="142"/>
      <c r="J180" s="141">
        <v>49814.43</v>
      </c>
      <c r="K180" s="142"/>
    </row>
    <row r="182" spans="1:11" ht="16.5" x14ac:dyDescent="0.25">
      <c r="A182" s="144" t="s">
        <v>1732</v>
      </c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</row>
    <row r="183" spans="1:11" ht="79" x14ac:dyDescent="0.25">
      <c r="A183" s="10">
        <v>16</v>
      </c>
      <c r="B183" s="10" t="s">
        <v>287</v>
      </c>
      <c r="C183" s="10" t="s">
        <v>91</v>
      </c>
      <c r="D183" s="12" t="s">
        <v>50</v>
      </c>
      <c r="E183" s="11">
        <v>1.5</v>
      </c>
      <c r="F183" s="14"/>
      <c r="G183" s="13"/>
      <c r="H183" s="11"/>
      <c r="I183" s="14"/>
      <c r="J183" s="11"/>
      <c r="K183" s="14"/>
    </row>
    <row r="184" spans="1:11" x14ac:dyDescent="0.25">
      <c r="C184" s="23" t="s">
        <v>1741</v>
      </c>
    </row>
    <row r="185" spans="1:11" ht="14.5" x14ac:dyDescent="0.25">
      <c r="A185" s="10"/>
      <c r="B185" s="10"/>
      <c r="C185" s="10" t="s">
        <v>256</v>
      </c>
      <c r="D185" s="12"/>
      <c r="E185" s="11"/>
      <c r="F185" s="14">
        <v>192.26</v>
      </c>
      <c r="G185" s="15" t="s">
        <v>13</v>
      </c>
      <c r="H185" s="11">
        <v>1</v>
      </c>
      <c r="I185" s="14">
        <v>346.07</v>
      </c>
      <c r="J185" s="11">
        <v>57.05</v>
      </c>
      <c r="K185" s="14">
        <v>19743.29</v>
      </c>
    </row>
    <row r="186" spans="1:11" ht="14.5" x14ac:dyDescent="0.25">
      <c r="A186" s="10"/>
      <c r="B186" s="10"/>
      <c r="C186" s="10" t="s">
        <v>257</v>
      </c>
      <c r="D186" s="12"/>
      <c r="E186" s="11"/>
      <c r="F186" s="14">
        <v>32.869999999999997</v>
      </c>
      <c r="G186" s="15" t="s">
        <v>13</v>
      </c>
      <c r="H186" s="11">
        <v>1</v>
      </c>
      <c r="I186" s="14">
        <v>59.17</v>
      </c>
      <c r="J186" s="11">
        <v>19.239999999999998</v>
      </c>
      <c r="K186" s="14">
        <v>1138.43</v>
      </c>
    </row>
    <row r="187" spans="1:11" ht="14.5" x14ac:dyDescent="0.25">
      <c r="A187" s="10"/>
      <c r="B187" s="10"/>
      <c r="C187" s="10" t="s">
        <v>258</v>
      </c>
      <c r="D187" s="12"/>
      <c r="E187" s="11"/>
      <c r="F187" s="14">
        <v>5.71</v>
      </c>
      <c r="G187" s="15" t="s">
        <v>13</v>
      </c>
      <c r="H187" s="11">
        <v>1</v>
      </c>
      <c r="I187" s="16">
        <v>10.28</v>
      </c>
      <c r="J187" s="11">
        <v>57.05</v>
      </c>
      <c r="K187" s="16">
        <v>586.47</v>
      </c>
    </row>
    <row r="188" spans="1:11" ht="14.5" x14ac:dyDescent="0.25">
      <c r="A188" s="10"/>
      <c r="B188" s="10"/>
      <c r="C188" s="10" t="s">
        <v>259</v>
      </c>
      <c r="D188" s="12"/>
      <c r="E188" s="11"/>
      <c r="F188" s="14">
        <v>314.29000000000002</v>
      </c>
      <c r="G188" s="15" t="s">
        <v>1</v>
      </c>
      <c r="H188" s="11">
        <v>1</v>
      </c>
      <c r="I188" s="14">
        <v>471.44</v>
      </c>
      <c r="J188" s="11">
        <v>10.18</v>
      </c>
      <c r="K188" s="14">
        <v>4799.26</v>
      </c>
    </row>
    <row r="189" spans="1:11" ht="42" x14ac:dyDescent="0.25">
      <c r="A189" s="10" t="s">
        <v>655</v>
      </c>
      <c r="B189" s="10" t="s">
        <v>93</v>
      </c>
      <c r="C189" s="10" t="s">
        <v>94</v>
      </c>
      <c r="D189" s="12" t="s">
        <v>52</v>
      </c>
      <c r="E189" s="11">
        <v>153</v>
      </c>
      <c r="F189" s="14">
        <v>3.45</v>
      </c>
      <c r="G189" s="15" t="s">
        <v>1</v>
      </c>
      <c r="H189" s="11">
        <v>1</v>
      </c>
      <c r="I189" s="14">
        <v>527.85</v>
      </c>
      <c r="J189" s="11">
        <v>3.85</v>
      </c>
      <c r="K189" s="14">
        <v>2032.22</v>
      </c>
    </row>
    <row r="190" spans="1:11" ht="14.5" x14ac:dyDescent="0.25">
      <c r="A190" s="10"/>
      <c r="B190" s="10"/>
      <c r="C190" s="10" t="s">
        <v>260</v>
      </c>
      <c r="D190" s="12" t="s">
        <v>261</v>
      </c>
      <c r="E190" s="11">
        <v>97</v>
      </c>
      <c r="F190" s="14"/>
      <c r="G190" s="13"/>
      <c r="H190" s="11"/>
      <c r="I190" s="14">
        <v>345.66</v>
      </c>
      <c r="J190" s="11">
        <v>97</v>
      </c>
      <c r="K190" s="14">
        <v>19719.87</v>
      </c>
    </row>
    <row r="191" spans="1:11" ht="14.5" x14ac:dyDescent="0.25">
      <c r="A191" s="10"/>
      <c r="B191" s="10"/>
      <c r="C191" s="10" t="s">
        <v>262</v>
      </c>
      <c r="D191" s="12" t="s">
        <v>261</v>
      </c>
      <c r="E191" s="11">
        <v>51</v>
      </c>
      <c r="F191" s="14"/>
      <c r="G191" s="13"/>
      <c r="H191" s="11"/>
      <c r="I191" s="14">
        <v>181.74</v>
      </c>
      <c r="J191" s="11">
        <v>51</v>
      </c>
      <c r="K191" s="14">
        <v>10368.18</v>
      </c>
    </row>
    <row r="192" spans="1:11" ht="14.5" x14ac:dyDescent="0.25">
      <c r="A192" s="17"/>
      <c r="B192" s="17"/>
      <c r="C192" s="17" t="s">
        <v>263</v>
      </c>
      <c r="D192" s="18" t="s">
        <v>264</v>
      </c>
      <c r="E192" s="19">
        <v>15</v>
      </c>
      <c r="F192" s="20"/>
      <c r="G192" s="21" t="s">
        <v>13</v>
      </c>
      <c r="H192" s="19">
        <v>1</v>
      </c>
      <c r="I192" s="20">
        <v>27</v>
      </c>
      <c r="J192" s="19"/>
      <c r="K192" s="20"/>
    </row>
    <row r="193" spans="1:11" ht="14" x14ac:dyDescent="0.25">
      <c r="C193" s="22" t="s">
        <v>265</v>
      </c>
      <c r="H193" s="143">
        <v>1931.93</v>
      </c>
      <c r="I193" s="143"/>
      <c r="J193" s="143">
        <v>57801.25</v>
      </c>
      <c r="K193" s="143"/>
    </row>
    <row r="194" spans="1:11" ht="14" x14ac:dyDescent="0.25">
      <c r="C194" s="22" t="s">
        <v>267</v>
      </c>
      <c r="H194" s="141">
        <v>1931.93</v>
      </c>
      <c r="I194" s="141"/>
      <c r="J194" s="141">
        <v>57801.25</v>
      </c>
      <c r="K194" s="141"/>
    </row>
    <row r="196" spans="1:11" ht="79" x14ac:dyDescent="0.25">
      <c r="A196" s="10">
        <v>17</v>
      </c>
      <c r="B196" s="10" t="s">
        <v>281</v>
      </c>
      <c r="C196" s="10" t="s">
        <v>62</v>
      </c>
      <c r="D196" s="12" t="s">
        <v>50</v>
      </c>
      <c r="E196" s="11">
        <v>1.5</v>
      </c>
      <c r="F196" s="14"/>
      <c r="G196" s="13"/>
      <c r="H196" s="11"/>
      <c r="I196" s="14"/>
      <c r="J196" s="11"/>
      <c r="K196" s="14"/>
    </row>
    <row r="197" spans="1:11" x14ac:dyDescent="0.25">
      <c r="C197" s="23" t="s">
        <v>1741</v>
      </c>
    </row>
    <row r="198" spans="1:11" ht="14.5" x14ac:dyDescent="0.25">
      <c r="A198" s="10"/>
      <c r="B198" s="10"/>
      <c r="C198" s="10" t="s">
        <v>256</v>
      </c>
      <c r="D198" s="12"/>
      <c r="E198" s="11"/>
      <c r="F198" s="14">
        <v>66.3</v>
      </c>
      <c r="G198" s="15" t="s">
        <v>13</v>
      </c>
      <c r="H198" s="11">
        <v>1</v>
      </c>
      <c r="I198" s="14">
        <v>119.34</v>
      </c>
      <c r="J198" s="11">
        <v>57.05</v>
      </c>
      <c r="K198" s="14">
        <v>6808.35</v>
      </c>
    </row>
    <row r="199" spans="1:11" ht="14.5" x14ac:dyDescent="0.25">
      <c r="A199" s="10"/>
      <c r="B199" s="10"/>
      <c r="C199" s="10" t="s">
        <v>257</v>
      </c>
      <c r="D199" s="12"/>
      <c r="E199" s="11"/>
      <c r="F199" s="14">
        <v>5.25</v>
      </c>
      <c r="G199" s="15" t="s">
        <v>13</v>
      </c>
      <c r="H199" s="11">
        <v>1</v>
      </c>
      <c r="I199" s="14">
        <v>9.4499999999999993</v>
      </c>
      <c r="J199" s="11">
        <v>15.93</v>
      </c>
      <c r="K199" s="14">
        <v>150.54</v>
      </c>
    </row>
    <row r="200" spans="1:11" ht="14.5" x14ac:dyDescent="0.25">
      <c r="A200" s="10"/>
      <c r="B200" s="10"/>
      <c r="C200" s="10" t="s">
        <v>258</v>
      </c>
      <c r="D200" s="12"/>
      <c r="E200" s="11"/>
      <c r="F200" s="14">
        <v>0.59</v>
      </c>
      <c r="G200" s="15" t="s">
        <v>13</v>
      </c>
      <c r="H200" s="11">
        <v>1</v>
      </c>
      <c r="I200" s="16">
        <v>1.06</v>
      </c>
      <c r="J200" s="11">
        <v>57.05</v>
      </c>
      <c r="K200" s="16">
        <v>60.47</v>
      </c>
    </row>
    <row r="201" spans="1:11" ht="14.5" x14ac:dyDescent="0.25">
      <c r="A201" s="10"/>
      <c r="B201" s="10"/>
      <c r="C201" s="10" t="s">
        <v>259</v>
      </c>
      <c r="D201" s="12"/>
      <c r="E201" s="11"/>
      <c r="F201" s="14">
        <v>61.98</v>
      </c>
      <c r="G201" s="15" t="s">
        <v>1</v>
      </c>
      <c r="H201" s="11">
        <v>1</v>
      </c>
      <c r="I201" s="14">
        <v>92.97</v>
      </c>
      <c r="J201" s="11">
        <v>4.5</v>
      </c>
      <c r="K201" s="14">
        <v>418.37</v>
      </c>
    </row>
    <row r="202" spans="1:11" ht="70" x14ac:dyDescent="0.25">
      <c r="A202" s="10" t="s">
        <v>1554</v>
      </c>
      <c r="B202" s="10" t="s">
        <v>1742</v>
      </c>
      <c r="C202" s="10" t="s">
        <v>1745</v>
      </c>
      <c r="D202" s="12" t="s">
        <v>60</v>
      </c>
      <c r="E202" s="11">
        <v>0.153</v>
      </c>
      <c r="F202" s="14">
        <v>4737.54</v>
      </c>
      <c r="G202" s="15" t="s">
        <v>1</v>
      </c>
      <c r="H202" s="11">
        <v>1</v>
      </c>
      <c r="I202" s="14">
        <v>724.84</v>
      </c>
      <c r="J202" s="11">
        <v>10.18</v>
      </c>
      <c r="K202" s="14">
        <v>7378.87</v>
      </c>
    </row>
    <row r="203" spans="1:11" ht="14.5" x14ac:dyDescent="0.25">
      <c r="A203" s="10"/>
      <c r="B203" s="10"/>
      <c r="C203" s="10" t="s">
        <v>260</v>
      </c>
      <c r="D203" s="12" t="s">
        <v>261</v>
      </c>
      <c r="E203" s="11">
        <v>97</v>
      </c>
      <c r="F203" s="14"/>
      <c r="G203" s="13"/>
      <c r="H203" s="11"/>
      <c r="I203" s="14">
        <v>116.79</v>
      </c>
      <c r="J203" s="11">
        <v>97</v>
      </c>
      <c r="K203" s="14">
        <v>6662.76</v>
      </c>
    </row>
    <row r="204" spans="1:11" ht="14.5" x14ac:dyDescent="0.25">
      <c r="A204" s="10"/>
      <c r="B204" s="10"/>
      <c r="C204" s="10" t="s">
        <v>262</v>
      </c>
      <c r="D204" s="12" t="s">
        <v>261</v>
      </c>
      <c r="E204" s="11">
        <v>51</v>
      </c>
      <c r="F204" s="14"/>
      <c r="G204" s="13"/>
      <c r="H204" s="11"/>
      <c r="I204" s="14">
        <v>61.4</v>
      </c>
      <c r="J204" s="11">
        <v>51</v>
      </c>
      <c r="K204" s="14">
        <v>3503.1</v>
      </c>
    </row>
    <row r="205" spans="1:11" ht="14.5" x14ac:dyDescent="0.25">
      <c r="A205" s="17"/>
      <c r="B205" s="17"/>
      <c r="C205" s="17" t="s">
        <v>263</v>
      </c>
      <c r="D205" s="18" t="s">
        <v>264</v>
      </c>
      <c r="E205" s="19">
        <v>5.39</v>
      </c>
      <c r="F205" s="20"/>
      <c r="G205" s="21" t="s">
        <v>13</v>
      </c>
      <c r="H205" s="19">
        <v>1</v>
      </c>
      <c r="I205" s="20">
        <v>9.6999999999999993</v>
      </c>
      <c r="J205" s="19"/>
      <c r="K205" s="20"/>
    </row>
    <row r="206" spans="1:11" ht="14" x14ac:dyDescent="0.25">
      <c r="C206" s="22" t="s">
        <v>265</v>
      </c>
      <c r="H206" s="143">
        <v>1124.79</v>
      </c>
      <c r="I206" s="143"/>
      <c r="J206" s="143">
        <v>24921.99</v>
      </c>
      <c r="K206" s="143"/>
    </row>
    <row r="207" spans="1:11" ht="14" x14ac:dyDescent="0.25">
      <c r="C207" s="22" t="s">
        <v>267</v>
      </c>
      <c r="H207" s="141">
        <v>1124.79</v>
      </c>
      <c r="I207" s="141"/>
      <c r="J207" s="141">
        <v>24921.99</v>
      </c>
      <c r="K207" s="141"/>
    </row>
    <row r="210" spans="1:11" ht="14" x14ac:dyDescent="0.3">
      <c r="A210" s="140" t="s">
        <v>1733</v>
      </c>
      <c r="B210" s="140"/>
      <c r="C210" s="140"/>
      <c r="D210" s="140"/>
      <c r="E210" s="140"/>
      <c r="F210" s="140"/>
      <c r="G210" s="140"/>
      <c r="H210" s="141">
        <v>3056.72</v>
      </c>
      <c r="I210" s="142"/>
      <c r="J210" s="141">
        <v>82723.240000000005</v>
      </c>
      <c r="K210" s="142"/>
    </row>
    <row r="212" spans="1:11" ht="14" x14ac:dyDescent="0.3">
      <c r="A212" s="140" t="s">
        <v>1743</v>
      </c>
      <c r="B212" s="140"/>
      <c r="C212" s="140"/>
      <c r="D212" s="140"/>
      <c r="E212" s="140"/>
      <c r="F212" s="140"/>
      <c r="G212" s="140"/>
      <c r="H212" s="141">
        <v>9003.15</v>
      </c>
      <c r="I212" s="142"/>
      <c r="J212" s="141">
        <v>132537.67000000001</v>
      </c>
      <c r="K212" s="142"/>
    </row>
    <row r="214" spans="1:11" ht="14" x14ac:dyDescent="0.3">
      <c r="A214" s="140" t="s">
        <v>435</v>
      </c>
      <c r="B214" s="140"/>
      <c r="C214" s="140"/>
      <c r="D214" s="140"/>
      <c r="E214" s="140"/>
      <c r="F214" s="140"/>
      <c r="G214" s="140"/>
      <c r="H214" s="141">
        <v>27085.01</v>
      </c>
      <c r="I214" s="142"/>
      <c r="J214" s="141">
        <v>376005.67</v>
      </c>
      <c r="K214" s="142"/>
    </row>
  </sheetData>
  <mergeCells count="111">
    <mergeCell ref="J2:K2"/>
    <mergeCell ref="A3:K3"/>
    <mergeCell ref="A4:K4"/>
    <mergeCell ref="A6:K6"/>
    <mergeCell ref="A8:K8"/>
    <mergeCell ref="A9:K9"/>
    <mergeCell ref="A23:K23"/>
    <mergeCell ref="A25:K25"/>
    <mergeCell ref="H36:I36"/>
    <mergeCell ref="J36:K36"/>
    <mergeCell ref="E16:H16"/>
    <mergeCell ref="E17:H17"/>
    <mergeCell ref="A20:K20"/>
    <mergeCell ref="E13:H13"/>
    <mergeCell ref="E14:H14"/>
    <mergeCell ref="E15:H15"/>
    <mergeCell ref="H51:I51"/>
    <mergeCell ref="J51:K51"/>
    <mergeCell ref="H59:I59"/>
    <mergeCell ref="J59:K59"/>
    <mergeCell ref="H37:I37"/>
    <mergeCell ref="J37:K37"/>
    <mergeCell ref="H49:I49"/>
    <mergeCell ref="J49:K49"/>
    <mergeCell ref="H50:I50"/>
    <mergeCell ref="J50:K50"/>
    <mergeCell ref="A68:K68"/>
    <mergeCell ref="H79:I79"/>
    <mergeCell ref="J79:K79"/>
    <mergeCell ref="H80:I80"/>
    <mergeCell ref="J80:K80"/>
    <mergeCell ref="H60:I60"/>
    <mergeCell ref="J60:K60"/>
    <mergeCell ref="H63:I63"/>
    <mergeCell ref="J63:K63"/>
    <mergeCell ref="A66:G66"/>
    <mergeCell ref="H66:I66"/>
    <mergeCell ref="J66:K66"/>
    <mergeCell ref="A96:G96"/>
    <mergeCell ref="H96:I96"/>
    <mergeCell ref="J96:K96"/>
    <mergeCell ref="A98:G98"/>
    <mergeCell ref="H98:I98"/>
    <mergeCell ref="J98:K98"/>
    <mergeCell ref="H92:I92"/>
    <mergeCell ref="J92:K92"/>
    <mergeCell ref="H93:I93"/>
    <mergeCell ref="J93:K93"/>
    <mergeCell ref="H112:I112"/>
    <mergeCell ref="J112:K112"/>
    <mergeCell ref="H115:I115"/>
    <mergeCell ref="J115:K115"/>
    <mergeCell ref="A118:G118"/>
    <mergeCell ref="H118:I118"/>
    <mergeCell ref="J118:K118"/>
    <mergeCell ref="A100:K100"/>
    <mergeCell ref="A102:K102"/>
    <mergeCell ref="H111:I111"/>
    <mergeCell ref="J111:K111"/>
    <mergeCell ref="A135:G135"/>
    <mergeCell ref="H135:I135"/>
    <mergeCell ref="J135:K135"/>
    <mergeCell ref="A137:G137"/>
    <mergeCell ref="H137:I137"/>
    <mergeCell ref="J137:K137"/>
    <mergeCell ref="A120:K120"/>
    <mergeCell ref="H131:I131"/>
    <mergeCell ref="J131:K131"/>
    <mergeCell ref="H132:I132"/>
    <mergeCell ref="J132:K132"/>
    <mergeCell ref="H148:I148"/>
    <mergeCell ref="J148:K148"/>
    <mergeCell ref="H151:I151"/>
    <mergeCell ref="J151:K151"/>
    <mergeCell ref="H158:I158"/>
    <mergeCell ref="J158:K158"/>
    <mergeCell ref="A139:K139"/>
    <mergeCell ref="A141:K141"/>
    <mergeCell ref="H147:I147"/>
    <mergeCell ref="J147:K147"/>
    <mergeCell ref="A180:G180"/>
    <mergeCell ref="H180:I180"/>
    <mergeCell ref="J180:K180"/>
    <mergeCell ref="A182:K182"/>
    <mergeCell ref="H173:I173"/>
    <mergeCell ref="J173:K173"/>
    <mergeCell ref="H174:I174"/>
    <mergeCell ref="J174:K174"/>
    <mergeCell ref="H159:I159"/>
    <mergeCell ref="J159:K159"/>
    <mergeCell ref="H162:I162"/>
    <mergeCell ref="J162:K162"/>
    <mergeCell ref="H206:I206"/>
    <mergeCell ref="J206:K206"/>
    <mergeCell ref="H207:I207"/>
    <mergeCell ref="J207:K207"/>
    <mergeCell ref="H193:I193"/>
    <mergeCell ref="J193:K193"/>
    <mergeCell ref="H194:I194"/>
    <mergeCell ref="J194:K194"/>
    <mergeCell ref="H177:I177"/>
    <mergeCell ref="J177:K177"/>
    <mergeCell ref="A214:G214"/>
    <mergeCell ref="H214:I214"/>
    <mergeCell ref="J214:K214"/>
    <mergeCell ref="A210:G210"/>
    <mergeCell ref="H210:I210"/>
    <mergeCell ref="J210:K210"/>
    <mergeCell ref="A212:G212"/>
    <mergeCell ref="H212:I212"/>
    <mergeCell ref="J212:K2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4F9-750C-424A-B1BA-05C664668791}">
  <dimension ref="A1:K43"/>
  <sheetViews>
    <sheetView workbookViewId="0">
      <selection activeCell="C31" sqref="C31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7.54296875" style="27" bestFit="1" customWidth="1"/>
    <col min="6" max="6" width="11.26953125" style="27" bestFit="1" customWidth="1"/>
    <col min="7" max="7" width="8.54296875" style="27" bestFit="1" customWidth="1"/>
    <col min="8" max="8" width="9.26953125" style="27" bestFit="1" customWidth="1"/>
    <col min="9" max="9" width="11.26953125" style="27" bestFit="1" customWidth="1"/>
    <col min="10" max="10" width="9.26953125" style="27" bestFit="1" customWidth="1"/>
    <col min="11" max="11" width="13.1796875" style="27" bestFit="1" customWidth="1"/>
    <col min="12" max="16384" width="9.1796875" style="27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1814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1820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56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403.22</v>
      </c>
      <c r="J13" s="5">
        <v>2437.21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237</v>
      </c>
      <c r="F14" s="145"/>
      <c r="G14" s="145"/>
      <c r="H14" s="145"/>
      <c r="I14" s="7">
        <v>403.22</v>
      </c>
      <c r="J14" s="7">
        <v>2437.21</v>
      </c>
      <c r="K14" s="2" t="s">
        <v>326</v>
      </c>
    </row>
    <row r="15" spans="1:11" ht="14" x14ac:dyDescent="0.3">
      <c r="A15" s="2"/>
      <c r="B15" s="2"/>
      <c r="C15" s="2"/>
      <c r="D15" s="2"/>
      <c r="E15" s="2"/>
      <c r="F15" s="26"/>
      <c r="G15" s="26"/>
      <c r="H15" s="26"/>
      <c r="I15" s="7"/>
      <c r="J15" s="7"/>
      <c r="K15" s="2"/>
    </row>
    <row r="16" spans="1:11" ht="14" x14ac:dyDescent="0.3">
      <c r="A16" s="2" t="s">
        <v>252</v>
      </c>
      <c r="B16" s="2"/>
      <c r="C16" s="2"/>
      <c r="D16" s="2"/>
      <c r="E16" s="2"/>
      <c r="F16" s="26"/>
      <c r="G16" s="26"/>
      <c r="H16" s="26"/>
      <c r="I16" s="7"/>
      <c r="J16" s="7"/>
      <c r="K16" s="2"/>
    </row>
    <row r="17" spans="1:11" ht="36.75" customHeight="1" x14ac:dyDescent="0.3">
      <c r="A17" s="146" t="s">
        <v>457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</row>
    <row r="18" spans="1:11" ht="98" x14ac:dyDescent="0.25">
      <c r="A18" s="8" t="s">
        <v>241</v>
      </c>
      <c r="B18" s="8" t="s">
        <v>242</v>
      </c>
      <c r="C18" s="8" t="s">
        <v>243</v>
      </c>
      <c r="D18" s="8" t="s">
        <v>244</v>
      </c>
      <c r="E18" s="8" t="s">
        <v>245</v>
      </c>
      <c r="F18" s="8" t="s">
        <v>246</v>
      </c>
      <c r="G18" s="9" t="s">
        <v>247</v>
      </c>
      <c r="H18" s="9" t="s">
        <v>248</v>
      </c>
      <c r="I18" s="8" t="s">
        <v>254</v>
      </c>
      <c r="J18" s="8" t="s">
        <v>249</v>
      </c>
      <c r="K18" s="8" t="s">
        <v>250</v>
      </c>
    </row>
    <row r="19" spans="1:11" ht="14" x14ac:dyDescent="0.25">
      <c r="A19" s="8">
        <v>1</v>
      </c>
      <c r="B19" s="8">
        <v>2</v>
      </c>
      <c r="C19" s="8">
        <v>3</v>
      </c>
      <c r="D19" s="8">
        <v>4</v>
      </c>
      <c r="E19" s="8">
        <v>5</v>
      </c>
      <c r="F19" s="8">
        <v>6</v>
      </c>
      <c r="G19" s="8">
        <v>7</v>
      </c>
      <c r="H19" s="8">
        <v>8</v>
      </c>
      <c r="I19" s="8">
        <v>9</v>
      </c>
      <c r="J19" s="8">
        <v>10</v>
      </c>
      <c r="K19" s="8">
        <v>11</v>
      </c>
    </row>
    <row r="20" spans="1:11" ht="16.5" x14ac:dyDescent="0.25">
      <c r="A20" s="144" t="s">
        <v>1061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</row>
    <row r="21" spans="1:11" ht="224" x14ac:dyDescent="0.25">
      <c r="A21" s="17">
        <v>1</v>
      </c>
      <c r="B21" s="17" t="s">
        <v>1815</v>
      </c>
      <c r="C21" s="17" t="s">
        <v>2098</v>
      </c>
      <c r="D21" s="18" t="s">
        <v>230</v>
      </c>
      <c r="E21" s="19">
        <v>2</v>
      </c>
      <c r="F21" s="20">
        <v>878.39</v>
      </c>
      <c r="G21" s="21" t="s">
        <v>1</v>
      </c>
      <c r="H21" s="19">
        <v>1</v>
      </c>
      <c r="I21" s="20">
        <v>1756.78</v>
      </c>
      <c r="J21" s="19">
        <v>13.8</v>
      </c>
      <c r="K21" s="20">
        <v>24243.56</v>
      </c>
    </row>
    <row r="22" spans="1:11" ht="14" x14ac:dyDescent="0.25">
      <c r="C22" s="22" t="s">
        <v>267</v>
      </c>
      <c r="H22" s="143">
        <v>1756.78</v>
      </c>
      <c r="I22" s="143"/>
      <c r="J22" s="143">
        <v>24243.56</v>
      </c>
      <c r="K22" s="143"/>
    </row>
    <row r="24" spans="1:11" ht="54" x14ac:dyDescent="0.25">
      <c r="A24" s="17">
        <v>2</v>
      </c>
      <c r="B24" s="17" t="s">
        <v>409</v>
      </c>
      <c r="C24" s="17" t="s">
        <v>2099</v>
      </c>
      <c r="D24" s="18" t="s">
        <v>11</v>
      </c>
      <c r="E24" s="19">
        <v>1</v>
      </c>
      <c r="F24" s="20">
        <v>10764.9</v>
      </c>
      <c r="G24" s="21" t="s">
        <v>1</v>
      </c>
      <c r="H24" s="19">
        <v>1</v>
      </c>
      <c r="I24" s="20">
        <v>10764.9</v>
      </c>
      <c r="J24" s="19">
        <v>7.54</v>
      </c>
      <c r="K24" s="20">
        <v>81167.350000000006</v>
      </c>
    </row>
    <row r="25" spans="1:11" ht="14" x14ac:dyDescent="0.25">
      <c r="C25" s="22" t="s">
        <v>267</v>
      </c>
      <c r="H25" s="143">
        <v>10764.9</v>
      </c>
      <c r="I25" s="143"/>
      <c r="J25" s="143">
        <v>81167.350000000006</v>
      </c>
      <c r="K25" s="143"/>
    </row>
    <row r="27" spans="1:11" ht="168" x14ac:dyDescent="0.25">
      <c r="A27" s="17">
        <v>3</v>
      </c>
      <c r="B27" s="17" t="s">
        <v>1816</v>
      </c>
      <c r="C27" s="17" t="s">
        <v>1812</v>
      </c>
      <c r="D27" s="18" t="s">
        <v>230</v>
      </c>
      <c r="E27" s="19">
        <v>1</v>
      </c>
      <c r="F27" s="20">
        <v>866.44</v>
      </c>
      <c r="G27" s="21" t="s">
        <v>1</v>
      </c>
      <c r="H27" s="19">
        <v>1</v>
      </c>
      <c r="I27" s="20">
        <v>866.44</v>
      </c>
      <c r="J27" s="19">
        <v>11.24</v>
      </c>
      <c r="K27" s="20">
        <v>9738.7900000000009</v>
      </c>
    </row>
    <row r="28" spans="1:11" ht="14" x14ac:dyDescent="0.25">
      <c r="C28" s="22" t="s">
        <v>267</v>
      </c>
      <c r="H28" s="143">
        <v>866.44</v>
      </c>
      <c r="I28" s="143"/>
      <c r="J28" s="143">
        <v>9738.7900000000009</v>
      </c>
      <c r="K28" s="143"/>
    </row>
    <row r="30" spans="1:11" ht="126" x14ac:dyDescent="0.25">
      <c r="A30" s="17">
        <v>4</v>
      </c>
      <c r="B30" s="17" t="s">
        <v>1817</v>
      </c>
      <c r="C30" s="17" t="s">
        <v>2102</v>
      </c>
      <c r="D30" s="18" t="s">
        <v>38</v>
      </c>
      <c r="E30" s="19">
        <v>1</v>
      </c>
      <c r="F30" s="20">
        <v>10969.27</v>
      </c>
      <c r="G30" s="21" t="s">
        <v>1</v>
      </c>
      <c r="H30" s="19">
        <v>1</v>
      </c>
      <c r="I30" s="20">
        <v>10969.27</v>
      </c>
      <c r="J30" s="19">
        <v>10.16</v>
      </c>
      <c r="K30" s="20">
        <v>111447.78</v>
      </c>
    </row>
    <row r="31" spans="1:11" ht="14" x14ac:dyDescent="0.25">
      <c r="C31" s="22" t="s">
        <v>267</v>
      </c>
      <c r="H31" s="143">
        <v>10969.27</v>
      </c>
      <c r="I31" s="143"/>
      <c r="J31" s="143">
        <v>111447.78</v>
      </c>
      <c r="K31" s="143"/>
    </row>
    <row r="33" spans="1:11" ht="154" x14ac:dyDescent="0.25">
      <c r="A33" s="17">
        <v>5</v>
      </c>
      <c r="B33" s="17" t="s">
        <v>1818</v>
      </c>
      <c r="C33" s="17" t="s">
        <v>2101</v>
      </c>
      <c r="D33" s="18" t="s">
        <v>38</v>
      </c>
      <c r="E33" s="19">
        <v>1</v>
      </c>
      <c r="F33" s="20">
        <v>100498.71</v>
      </c>
      <c r="G33" s="21" t="s">
        <v>1</v>
      </c>
      <c r="H33" s="19">
        <v>1</v>
      </c>
      <c r="I33" s="20">
        <v>100498.71</v>
      </c>
      <c r="J33" s="19">
        <v>3.3</v>
      </c>
      <c r="K33" s="20">
        <v>331645.74</v>
      </c>
    </row>
    <row r="34" spans="1:11" ht="14" x14ac:dyDescent="0.25">
      <c r="C34" s="22" t="s">
        <v>267</v>
      </c>
      <c r="H34" s="143">
        <v>100498.71</v>
      </c>
      <c r="I34" s="143"/>
      <c r="J34" s="143">
        <v>331645.74</v>
      </c>
      <c r="K34" s="143"/>
    </row>
    <row r="36" spans="1:11" ht="335.15" customHeight="1" x14ac:dyDescent="0.25">
      <c r="A36" s="10">
        <v>6</v>
      </c>
      <c r="B36" s="10" t="s">
        <v>1819</v>
      </c>
      <c r="C36" s="10" t="s">
        <v>1813</v>
      </c>
      <c r="D36" s="12"/>
      <c r="E36" s="11"/>
      <c r="F36" s="14"/>
      <c r="G36" s="13"/>
      <c r="H36" s="11"/>
      <c r="I36" s="14"/>
      <c r="J36" s="11"/>
      <c r="K36" s="14"/>
    </row>
    <row r="37" spans="1:11" ht="140" x14ac:dyDescent="0.25">
      <c r="A37" s="17"/>
      <c r="B37" s="17"/>
      <c r="C37" s="17" t="s">
        <v>2100</v>
      </c>
      <c r="D37" s="18" t="s">
        <v>230</v>
      </c>
      <c r="E37" s="19">
        <v>1</v>
      </c>
      <c r="F37" s="20">
        <v>278365.59999999998</v>
      </c>
      <c r="G37" s="21" t="s">
        <v>1</v>
      </c>
      <c r="H37" s="19">
        <v>1</v>
      </c>
      <c r="I37" s="20">
        <v>278365.59999999998</v>
      </c>
      <c r="J37" s="19">
        <v>6.75</v>
      </c>
      <c r="K37" s="20">
        <v>1878967.8</v>
      </c>
    </row>
    <row r="38" spans="1:11" ht="14" x14ac:dyDescent="0.25">
      <c r="C38" s="22" t="s">
        <v>267</v>
      </c>
      <c r="H38" s="143">
        <v>278365.59999999998</v>
      </c>
      <c r="I38" s="143"/>
      <c r="J38" s="143">
        <v>1878967.8</v>
      </c>
      <c r="K38" s="143"/>
    </row>
    <row r="41" spans="1:11" ht="14" x14ac:dyDescent="0.3">
      <c r="A41" s="140" t="s">
        <v>1062</v>
      </c>
      <c r="B41" s="140"/>
      <c r="C41" s="140"/>
      <c r="D41" s="140"/>
      <c r="E41" s="140"/>
      <c r="F41" s="140"/>
      <c r="G41" s="140"/>
      <c r="H41" s="141">
        <v>403221.7</v>
      </c>
      <c r="I41" s="142"/>
      <c r="J41" s="141">
        <v>2437211.02</v>
      </c>
      <c r="K41" s="142"/>
    </row>
    <row r="43" spans="1:11" ht="14" x14ac:dyDescent="0.3">
      <c r="A43" s="140" t="s">
        <v>435</v>
      </c>
      <c r="B43" s="140"/>
      <c r="C43" s="140"/>
      <c r="D43" s="140"/>
      <c r="E43" s="140"/>
      <c r="F43" s="140"/>
      <c r="G43" s="140"/>
      <c r="H43" s="141">
        <v>403221.7</v>
      </c>
      <c r="I43" s="142"/>
      <c r="J43" s="141">
        <v>2437211.02</v>
      </c>
      <c r="K43" s="142"/>
    </row>
  </sheetData>
  <mergeCells count="28">
    <mergeCell ref="A9:K9"/>
    <mergeCell ref="J2:K2"/>
    <mergeCell ref="A3:K3"/>
    <mergeCell ref="A4:K4"/>
    <mergeCell ref="A6:K6"/>
    <mergeCell ref="A8:K8"/>
    <mergeCell ref="H28:I28"/>
    <mergeCell ref="J28:K28"/>
    <mergeCell ref="A17:K17"/>
    <mergeCell ref="E13:H13"/>
    <mergeCell ref="E14:H14"/>
    <mergeCell ref="A20:K20"/>
    <mergeCell ref="H22:I22"/>
    <mergeCell ref="J22:K22"/>
    <mergeCell ref="H25:I25"/>
    <mergeCell ref="J25:K25"/>
    <mergeCell ref="H31:I31"/>
    <mergeCell ref="J31:K31"/>
    <mergeCell ref="H34:I34"/>
    <mergeCell ref="J34:K34"/>
    <mergeCell ref="H38:I38"/>
    <mergeCell ref="J38:K38"/>
    <mergeCell ref="A43:G43"/>
    <mergeCell ref="H43:I43"/>
    <mergeCell ref="J43:K43"/>
    <mergeCell ref="A41:G41"/>
    <mergeCell ref="H41:I41"/>
    <mergeCell ref="J41:K4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5834-1B5E-4F46-9154-47B065389D9B}">
  <dimension ref="A1:K201"/>
  <sheetViews>
    <sheetView workbookViewId="0">
      <selection activeCell="L3" sqref="L3"/>
    </sheetView>
  </sheetViews>
  <sheetFormatPr defaultColWidth="9.1796875" defaultRowHeight="12.5" x14ac:dyDescent="0.25"/>
  <cols>
    <col min="1" max="1" width="5.54296875" style="27" customWidth="1"/>
    <col min="2" max="2" width="11.54296875" style="27" customWidth="1"/>
    <col min="3" max="3" width="40.54296875" style="27" customWidth="1"/>
    <col min="4" max="4" width="11.54296875" style="27" customWidth="1"/>
    <col min="5" max="5" width="9.7265625" style="27" bestFit="1" customWidth="1"/>
    <col min="6" max="6" width="11.81640625" style="27" customWidth="1"/>
    <col min="7" max="7" width="8.54296875" style="27" bestFit="1" customWidth="1"/>
    <col min="8" max="10" width="9.26953125" style="27" bestFit="1" customWidth="1"/>
    <col min="11" max="11" width="10.1796875" style="27" bestFit="1" customWidth="1"/>
    <col min="12" max="16384" width="9.1796875" style="27"/>
  </cols>
  <sheetData>
    <row r="1" spans="1:11" x14ac:dyDescent="0.25">
      <c r="A1" s="1" t="s">
        <v>0</v>
      </c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15.5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1848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1862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13.39</v>
      </c>
      <c r="J13" s="5">
        <v>126.18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51</v>
      </c>
      <c r="F14" s="145"/>
      <c r="G14" s="145"/>
      <c r="H14" s="145"/>
      <c r="I14" s="7">
        <v>5.64</v>
      </c>
      <c r="J14" s="7">
        <v>65.760000000000005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236</v>
      </c>
      <c r="F15" s="145"/>
      <c r="G15" s="145"/>
      <c r="H15" s="145"/>
      <c r="I15" s="7">
        <v>0.04</v>
      </c>
      <c r="J15" s="7">
        <v>2.31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2097</v>
      </c>
      <c r="F16" s="145"/>
      <c r="G16" s="145"/>
      <c r="H16" s="145"/>
      <c r="I16" s="7">
        <v>7.71</v>
      </c>
      <c r="J16" s="7">
        <v>58.11</v>
      </c>
      <c r="K16" s="2" t="s">
        <v>326</v>
      </c>
    </row>
    <row r="17" spans="1:11" ht="14" x14ac:dyDescent="0.3">
      <c r="A17" s="2"/>
      <c r="B17" s="2"/>
      <c r="C17" s="2"/>
      <c r="D17" s="2"/>
      <c r="E17" s="145" t="s">
        <v>239</v>
      </c>
      <c r="F17" s="145"/>
      <c r="G17" s="145"/>
      <c r="H17" s="145"/>
      <c r="I17" s="7">
        <v>0.21</v>
      </c>
      <c r="J17" s="7">
        <v>11.75</v>
      </c>
      <c r="K17" s="2" t="s">
        <v>326</v>
      </c>
    </row>
    <row r="18" spans="1:11" ht="14" x14ac:dyDescent="0.3">
      <c r="A18" s="2"/>
      <c r="B18" s="2"/>
      <c r="C18" s="2"/>
      <c r="D18" s="2"/>
      <c r="E18" s="145" t="s">
        <v>240</v>
      </c>
      <c r="F18" s="145"/>
      <c r="G18" s="145"/>
      <c r="H18" s="145"/>
      <c r="I18" s="7">
        <v>17.850000000000001</v>
      </c>
      <c r="J18" s="7"/>
      <c r="K18" s="2" t="s">
        <v>224</v>
      </c>
    </row>
    <row r="19" spans="1:11" ht="14" x14ac:dyDescent="0.3">
      <c r="A19" s="2"/>
      <c r="B19" s="2"/>
      <c r="C19" s="2"/>
      <c r="D19" s="2"/>
      <c r="E19" s="2"/>
      <c r="F19" s="26"/>
      <c r="G19" s="26"/>
      <c r="H19" s="26"/>
      <c r="I19" s="7"/>
      <c r="J19" s="7"/>
      <c r="K19" s="2"/>
    </row>
    <row r="20" spans="1:11" ht="14" x14ac:dyDescent="0.3">
      <c r="A20" s="2" t="s">
        <v>252</v>
      </c>
      <c r="B20" s="2"/>
      <c r="C20" s="2"/>
      <c r="D20" s="2"/>
      <c r="E20" s="2"/>
      <c r="F20" s="26"/>
      <c r="G20" s="26"/>
      <c r="H20" s="26"/>
      <c r="I20" s="7"/>
      <c r="J20" s="7"/>
      <c r="K20" s="2"/>
    </row>
    <row r="21" spans="1:11" ht="36.75" customHeight="1" x14ac:dyDescent="0.3">
      <c r="A21" s="146" t="s">
        <v>457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 ht="98" x14ac:dyDescent="0.25">
      <c r="A22" s="8" t="s">
        <v>241</v>
      </c>
      <c r="B22" s="8" t="s">
        <v>242</v>
      </c>
      <c r="C22" s="8" t="s">
        <v>243</v>
      </c>
      <c r="D22" s="8" t="s">
        <v>244</v>
      </c>
      <c r="E22" s="8" t="s">
        <v>245</v>
      </c>
      <c r="F22" s="8" t="s">
        <v>246</v>
      </c>
      <c r="G22" s="9" t="s">
        <v>247</v>
      </c>
      <c r="H22" s="9" t="s">
        <v>248</v>
      </c>
      <c r="I22" s="8" t="s">
        <v>254</v>
      </c>
      <c r="J22" s="8" t="s">
        <v>249</v>
      </c>
      <c r="K22" s="8" t="s">
        <v>250</v>
      </c>
    </row>
    <row r="23" spans="1:11" ht="14" x14ac:dyDescent="0.25">
      <c r="A23" s="8">
        <v>1</v>
      </c>
      <c r="B23" s="8">
        <v>2</v>
      </c>
      <c r="C23" s="8">
        <v>3</v>
      </c>
      <c r="D23" s="8">
        <v>4</v>
      </c>
      <c r="E23" s="8">
        <v>5</v>
      </c>
      <c r="F23" s="8">
        <v>6</v>
      </c>
      <c r="G23" s="8">
        <v>7</v>
      </c>
      <c r="H23" s="8">
        <v>8</v>
      </c>
      <c r="I23" s="8">
        <v>9</v>
      </c>
      <c r="J23" s="8">
        <v>10</v>
      </c>
      <c r="K23" s="8">
        <v>11</v>
      </c>
    </row>
    <row r="24" spans="1:11" ht="16.5" x14ac:dyDescent="0.25">
      <c r="A24" s="144" t="s">
        <v>1849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 ht="28" x14ac:dyDescent="0.25">
      <c r="A25" s="10">
        <v>1</v>
      </c>
      <c r="B25" s="10" t="s">
        <v>1850</v>
      </c>
      <c r="C25" s="10" t="s">
        <v>1821</v>
      </c>
      <c r="D25" s="12" t="s">
        <v>24</v>
      </c>
      <c r="E25" s="11">
        <v>18</v>
      </c>
      <c r="F25" s="14"/>
      <c r="G25" s="13"/>
      <c r="H25" s="11"/>
      <c r="I25" s="14"/>
      <c r="J25" s="11"/>
      <c r="K25" s="14"/>
    </row>
    <row r="26" spans="1:11" x14ac:dyDescent="0.25">
      <c r="C26" s="23" t="s">
        <v>1851</v>
      </c>
    </row>
    <row r="27" spans="1:11" ht="14.5" x14ac:dyDescent="0.25">
      <c r="A27" s="10"/>
      <c r="B27" s="10"/>
      <c r="C27" s="10" t="s">
        <v>256</v>
      </c>
      <c r="D27" s="12"/>
      <c r="E27" s="11"/>
      <c r="F27" s="14">
        <v>5.81</v>
      </c>
      <c r="G27" s="15" t="s">
        <v>1</v>
      </c>
      <c r="H27" s="11">
        <v>1</v>
      </c>
      <c r="I27" s="14">
        <v>104.58</v>
      </c>
      <c r="J27" s="11">
        <v>57.05</v>
      </c>
      <c r="K27" s="14">
        <v>5966.29</v>
      </c>
    </row>
    <row r="28" spans="1:11" ht="14.5" x14ac:dyDescent="0.25">
      <c r="A28" s="10"/>
      <c r="B28" s="10"/>
      <c r="C28" s="10" t="s">
        <v>259</v>
      </c>
      <c r="D28" s="12"/>
      <c r="E28" s="11"/>
      <c r="F28" s="14">
        <v>0.5</v>
      </c>
      <c r="G28" s="15" t="s">
        <v>1</v>
      </c>
      <c r="H28" s="11">
        <v>1</v>
      </c>
      <c r="I28" s="14">
        <v>9</v>
      </c>
      <c r="J28" s="11">
        <v>16.420000000000002</v>
      </c>
      <c r="K28" s="14">
        <v>147.78</v>
      </c>
    </row>
    <row r="29" spans="1:11" ht="14.5" x14ac:dyDescent="0.25">
      <c r="A29" s="10"/>
      <c r="B29" s="10"/>
      <c r="C29" s="10" t="s">
        <v>260</v>
      </c>
      <c r="D29" s="12" t="s">
        <v>261</v>
      </c>
      <c r="E29" s="11">
        <v>84</v>
      </c>
      <c r="F29" s="14"/>
      <c r="G29" s="13"/>
      <c r="H29" s="11"/>
      <c r="I29" s="14">
        <v>87.85</v>
      </c>
      <c r="J29" s="11">
        <v>84</v>
      </c>
      <c r="K29" s="14">
        <v>5011.68</v>
      </c>
    </row>
    <row r="30" spans="1:11" ht="14.5" x14ac:dyDescent="0.25">
      <c r="A30" s="10"/>
      <c r="B30" s="10"/>
      <c r="C30" s="10" t="s">
        <v>262</v>
      </c>
      <c r="D30" s="12" t="s">
        <v>261</v>
      </c>
      <c r="E30" s="11">
        <v>53</v>
      </c>
      <c r="F30" s="14"/>
      <c r="G30" s="13"/>
      <c r="H30" s="11"/>
      <c r="I30" s="14">
        <v>55.43</v>
      </c>
      <c r="J30" s="11">
        <v>53</v>
      </c>
      <c r="K30" s="14">
        <v>3162.13</v>
      </c>
    </row>
    <row r="31" spans="1:11" ht="14.5" x14ac:dyDescent="0.25">
      <c r="A31" s="17"/>
      <c r="B31" s="17"/>
      <c r="C31" s="17" t="s">
        <v>263</v>
      </c>
      <c r="D31" s="18" t="s">
        <v>264</v>
      </c>
      <c r="E31" s="19">
        <v>0.52</v>
      </c>
      <c r="F31" s="20"/>
      <c r="G31" s="21" t="s">
        <v>1</v>
      </c>
      <c r="H31" s="19">
        <v>1</v>
      </c>
      <c r="I31" s="20">
        <v>9.36</v>
      </c>
      <c r="J31" s="19"/>
      <c r="K31" s="20"/>
    </row>
    <row r="32" spans="1:11" ht="14" x14ac:dyDescent="0.25">
      <c r="C32" s="22" t="s">
        <v>265</v>
      </c>
      <c r="H32" s="143">
        <v>256.86</v>
      </c>
      <c r="I32" s="143"/>
      <c r="J32" s="143">
        <v>14287.88</v>
      </c>
      <c r="K32" s="143"/>
    </row>
    <row r="33" spans="1:11" ht="14" x14ac:dyDescent="0.25">
      <c r="C33" s="22" t="s">
        <v>267</v>
      </c>
      <c r="H33" s="141">
        <v>256.86</v>
      </c>
      <c r="I33" s="141"/>
      <c r="J33" s="141">
        <v>14287.88</v>
      </c>
      <c r="K33" s="141"/>
    </row>
    <row r="35" spans="1:11" ht="41" x14ac:dyDescent="0.25">
      <c r="A35" s="17">
        <v>2</v>
      </c>
      <c r="B35" s="17" t="s">
        <v>409</v>
      </c>
      <c r="C35" s="17" t="s">
        <v>1822</v>
      </c>
      <c r="D35" s="18" t="s">
        <v>11</v>
      </c>
      <c r="E35" s="19">
        <v>2</v>
      </c>
      <c r="F35" s="20">
        <v>32.44</v>
      </c>
      <c r="G35" s="21" t="s">
        <v>1</v>
      </c>
      <c r="H35" s="19">
        <v>1</v>
      </c>
      <c r="I35" s="20">
        <v>64.88</v>
      </c>
      <c r="J35" s="19">
        <v>10.18</v>
      </c>
      <c r="K35" s="20">
        <v>660.48</v>
      </c>
    </row>
    <row r="36" spans="1:11" ht="14" x14ac:dyDescent="0.25">
      <c r="C36" s="22" t="s">
        <v>267</v>
      </c>
      <c r="H36" s="143">
        <v>64.88</v>
      </c>
      <c r="I36" s="143"/>
      <c r="J36" s="143">
        <v>660.48</v>
      </c>
      <c r="K36" s="143"/>
    </row>
    <row r="38" spans="1:11" ht="41" x14ac:dyDescent="0.25">
      <c r="A38" s="17">
        <v>3</v>
      </c>
      <c r="B38" s="17" t="s">
        <v>409</v>
      </c>
      <c r="C38" s="17" t="s">
        <v>1823</v>
      </c>
      <c r="D38" s="18" t="s">
        <v>11</v>
      </c>
      <c r="E38" s="19">
        <v>2</v>
      </c>
      <c r="F38" s="20">
        <v>9.0399999999999991</v>
      </c>
      <c r="G38" s="21" t="s">
        <v>1</v>
      </c>
      <c r="H38" s="19">
        <v>1</v>
      </c>
      <c r="I38" s="20">
        <v>18.079999999999998</v>
      </c>
      <c r="J38" s="19">
        <v>10.18</v>
      </c>
      <c r="K38" s="20">
        <v>184.05</v>
      </c>
    </row>
    <row r="39" spans="1:11" ht="14" x14ac:dyDescent="0.25">
      <c r="C39" s="22" t="s">
        <v>267</v>
      </c>
      <c r="H39" s="143">
        <v>18.079999999999998</v>
      </c>
      <c r="I39" s="143"/>
      <c r="J39" s="143">
        <v>184.05</v>
      </c>
      <c r="K39" s="143"/>
    </row>
    <row r="41" spans="1:11" ht="51" customHeight="1" x14ac:dyDescent="0.25">
      <c r="A41" s="17">
        <v>4</v>
      </c>
      <c r="B41" s="17" t="s">
        <v>409</v>
      </c>
      <c r="C41" s="17" t="s">
        <v>1824</v>
      </c>
      <c r="D41" s="18" t="s">
        <v>11</v>
      </c>
      <c r="E41" s="19">
        <v>3</v>
      </c>
      <c r="F41" s="20">
        <v>22.01</v>
      </c>
      <c r="G41" s="21" t="s">
        <v>1</v>
      </c>
      <c r="H41" s="19">
        <v>1</v>
      </c>
      <c r="I41" s="20">
        <v>66.03</v>
      </c>
      <c r="J41" s="19">
        <v>10.18</v>
      </c>
      <c r="K41" s="20">
        <v>672.19</v>
      </c>
    </row>
    <row r="42" spans="1:11" ht="14" x14ac:dyDescent="0.25">
      <c r="C42" s="22" t="s">
        <v>267</v>
      </c>
      <c r="H42" s="143">
        <v>66.03</v>
      </c>
      <c r="I42" s="143"/>
      <c r="J42" s="143">
        <v>672.19</v>
      </c>
      <c r="K42" s="143"/>
    </row>
    <row r="44" spans="1:11" ht="41" x14ac:dyDescent="0.25">
      <c r="A44" s="17">
        <v>5</v>
      </c>
      <c r="B44" s="17" t="s">
        <v>409</v>
      </c>
      <c r="C44" s="17" t="s">
        <v>1825</v>
      </c>
      <c r="D44" s="18" t="s">
        <v>11</v>
      </c>
      <c r="E44" s="19">
        <v>1</v>
      </c>
      <c r="F44" s="20">
        <v>32.53</v>
      </c>
      <c r="G44" s="21" t="s">
        <v>1</v>
      </c>
      <c r="H44" s="19">
        <v>1</v>
      </c>
      <c r="I44" s="20">
        <v>32.53</v>
      </c>
      <c r="J44" s="19">
        <v>10.18</v>
      </c>
      <c r="K44" s="20">
        <v>331.16</v>
      </c>
    </row>
    <row r="45" spans="1:11" ht="14" x14ac:dyDescent="0.25">
      <c r="C45" s="22" t="s">
        <v>267</v>
      </c>
      <c r="H45" s="143">
        <v>32.53</v>
      </c>
      <c r="I45" s="143"/>
      <c r="J45" s="143">
        <v>331.16</v>
      </c>
      <c r="K45" s="143"/>
    </row>
    <row r="47" spans="1:11" ht="41" x14ac:dyDescent="0.25">
      <c r="A47" s="17">
        <v>6</v>
      </c>
      <c r="B47" s="17" t="s">
        <v>409</v>
      </c>
      <c r="C47" s="17" t="s">
        <v>1826</v>
      </c>
      <c r="D47" s="18" t="s">
        <v>11</v>
      </c>
      <c r="E47" s="19">
        <v>1</v>
      </c>
      <c r="F47" s="20">
        <v>32.53</v>
      </c>
      <c r="G47" s="21" t="s">
        <v>1</v>
      </c>
      <c r="H47" s="19">
        <v>1</v>
      </c>
      <c r="I47" s="20">
        <v>32.53</v>
      </c>
      <c r="J47" s="19">
        <v>10.18</v>
      </c>
      <c r="K47" s="20">
        <v>331.16</v>
      </c>
    </row>
    <row r="48" spans="1:11" ht="14" x14ac:dyDescent="0.25">
      <c r="C48" s="22" t="s">
        <v>267</v>
      </c>
      <c r="H48" s="143">
        <v>32.53</v>
      </c>
      <c r="I48" s="143"/>
      <c r="J48" s="143">
        <v>331.16</v>
      </c>
      <c r="K48" s="143"/>
    </row>
    <row r="50" spans="1:11" ht="55" x14ac:dyDescent="0.25">
      <c r="A50" s="17">
        <v>7</v>
      </c>
      <c r="B50" s="17" t="s">
        <v>409</v>
      </c>
      <c r="C50" s="17" t="s">
        <v>1827</v>
      </c>
      <c r="D50" s="18" t="s">
        <v>11</v>
      </c>
      <c r="E50" s="19">
        <v>3</v>
      </c>
      <c r="F50" s="20">
        <v>92.47</v>
      </c>
      <c r="G50" s="21" t="s">
        <v>1</v>
      </c>
      <c r="H50" s="19">
        <v>1</v>
      </c>
      <c r="I50" s="20">
        <v>277.41000000000003</v>
      </c>
      <c r="J50" s="19">
        <v>10.18</v>
      </c>
      <c r="K50" s="20">
        <v>2824.03</v>
      </c>
    </row>
    <row r="51" spans="1:11" ht="14" x14ac:dyDescent="0.25">
      <c r="C51" s="22" t="s">
        <v>267</v>
      </c>
      <c r="H51" s="143">
        <v>277.41000000000003</v>
      </c>
      <c r="I51" s="143"/>
      <c r="J51" s="143">
        <v>2824.03</v>
      </c>
      <c r="K51" s="143"/>
    </row>
    <row r="53" spans="1:11" ht="41" x14ac:dyDescent="0.25">
      <c r="A53" s="17">
        <v>8</v>
      </c>
      <c r="B53" s="17" t="s">
        <v>409</v>
      </c>
      <c r="C53" s="17" t="s">
        <v>1828</v>
      </c>
      <c r="D53" s="18" t="s">
        <v>11</v>
      </c>
      <c r="E53" s="19">
        <v>1</v>
      </c>
      <c r="F53" s="20">
        <v>32.53</v>
      </c>
      <c r="G53" s="21" t="s">
        <v>1</v>
      </c>
      <c r="H53" s="19">
        <v>1</v>
      </c>
      <c r="I53" s="20">
        <v>32.53</v>
      </c>
      <c r="J53" s="19">
        <v>10.18</v>
      </c>
      <c r="K53" s="20">
        <v>331.16</v>
      </c>
    </row>
    <row r="54" spans="1:11" ht="14" x14ac:dyDescent="0.25">
      <c r="C54" s="22" t="s">
        <v>267</v>
      </c>
      <c r="H54" s="143">
        <v>32.53</v>
      </c>
      <c r="I54" s="143"/>
      <c r="J54" s="143">
        <v>331.16</v>
      </c>
      <c r="K54" s="143"/>
    </row>
    <row r="56" spans="1:11" ht="41" x14ac:dyDescent="0.25">
      <c r="A56" s="17">
        <v>9</v>
      </c>
      <c r="B56" s="17" t="s">
        <v>409</v>
      </c>
      <c r="C56" s="17" t="s">
        <v>1829</v>
      </c>
      <c r="D56" s="18" t="s">
        <v>11</v>
      </c>
      <c r="E56" s="19">
        <v>1</v>
      </c>
      <c r="F56" s="20">
        <v>32.53</v>
      </c>
      <c r="G56" s="21" t="s">
        <v>1</v>
      </c>
      <c r="H56" s="19">
        <v>1</v>
      </c>
      <c r="I56" s="20">
        <v>32.53</v>
      </c>
      <c r="J56" s="19">
        <v>10.18</v>
      </c>
      <c r="K56" s="20">
        <v>331.16</v>
      </c>
    </row>
    <row r="57" spans="1:11" ht="14" x14ac:dyDescent="0.25">
      <c r="C57" s="22" t="s">
        <v>267</v>
      </c>
      <c r="H57" s="143">
        <v>32.53</v>
      </c>
      <c r="I57" s="143"/>
      <c r="J57" s="143">
        <v>331.16</v>
      </c>
      <c r="K57" s="143"/>
    </row>
    <row r="59" spans="1:11" ht="55" x14ac:dyDescent="0.25">
      <c r="A59" s="17">
        <v>10</v>
      </c>
      <c r="B59" s="17" t="s">
        <v>409</v>
      </c>
      <c r="C59" s="17" t="s">
        <v>1830</v>
      </c>
      <c r="D59" s="18" t="s">
        <v>11</v>
      </c>
      <c r="E59" s="19">
        <v>1</v>
      </c>
      <c r="F59" s="20">
        <v>345.84</v>
      </c>
      <c r="G59" s="21" t="s">
        <v>1</v>
      </c>
      <c r="H59" s="19">
        <v>1</v>
      </c>
      <c r="I59" s="20">
        <v>345.84</v>
      </c>
      <c r="J59" s="19">
        <v>10.18</v>
      </c>
      <c r="K59" s="20">
        <v>3520.65</v>
      </c>
    </row>
    <row r="60" spans="1:11" ht="14" x14ac:dyDescent="0.25">
      <c r="C60" s="22" t="s">
        <v>267</v>
      </c>
      <c r="H60" s="143">
        <v>345.84</v>
      </c>
      <c r="I60" s="143"/>
      <c r="J60" s="143">
        <v>3520.65</v>
      </c>
      <c r="K60" s="143"/>
    </row>
    <row r="62" spans="1:11" ht="55" x14ac:dyDescent="0.25">
      <c r="A62" s="17">
        <v>11</v>
      </c>
      <c r="B62" s="17" t="s">
        <v>409</v>
      </c>
      <c r="C62" s="17" t="s">
        <v>1831</v>
      </c>
      <c r="D62" s="18" t="s">
        <v>11</v>
      </c>
      <c r="E62" s="19">
        <v>1</v>
      </c>
      <c r="F62" s="20">
        <v>866.29</v>
      </c>
      <c r="G62" s="21" t="s">
        <v>1</v>
      </c>
      <c r="H62" s="19">
        <v>1</v>
      </c>
      <c r="I62" s="20">
        <v>866.29</v>
      </c>
      <c r="J62" s="19">
        <v>10.18</v>
      </c>
      <c r="K62" s="20">
        <v>8818.83</v>
      </c>
    </row>
    <row r="63" spans="1:11" ht="14" x14ac:dyDescent="0.25">
      <c r="C63" s="22" t="s">
        <v>267</v>
      </c>
      <c r="H63" s="143">
        <v>866.29</v>
      </c>
      <c r="I63" s="143"/>
      <c r="J63" s="143">
        <v>8818.83</v>
      </c>
      <c r="K63" s="143"/>
    </row>
    <row r="65" spans="1:11" ht="55" x14ac:dyDescent="0.25">
      <c r="A65" s="17">
        <v>12</v>
      </c>
      <c r="B65" s="17" t="s">
        <v>409</v>
      </c>
      <c r="C65" s="17" t="s">
        <v>1832</v>
      </c>
      <c r="D65" s="18" t="s">
        <v>11</v>
      </c>
      <c r="E65" s="19">
        <v>1</v>
      </c>
      <c r="F65" s="20">
        <v>34.08</v>
      </c>
      <c r="G65" s="21" t="s">
        <v>1</v>
      </c>
      <c r="H65" s="19">
        <v>1</v>
      </c>
      <c r="I65" s="20">
        <v>34.08</v>
      </c>
      <c r="J65" s="19">
        <v>10.18</v>
      </c>
      <c r="K65" s="20">
        <v>346.93</v>
      </c>
    </row>
    <row r="66" spans="1:11" ht="14" x14ac:dyDescent="0.25">
      <c r="C66" s="22" t="s">
        <v>267</v>
      </c>
      <c r="H66" s="143">
        <v>34.08</v>
      </c>
      <c r="I66" s="143"/>
      <c r="J66" s="143">
        <v>346.93</v>
      </c>
      <c r="K66" s="143"/>
    </row>
    <row r="68" spans="1:11" ht="41" x14ac:dyDescent="0.25">
      <c r="A68" s="17">
        <v>13</v>
      </c>
      <c r="B68" s="17" t="s">
        <v>409</v>
      </c>
      <c r="C68" s="17" t="s">
        <v>1826</v>
      </c>
      <c r="D68" s="18" t="s">
        <v>11</v>
      </c>
      <c r="E68" s="19">
        <v>1</v>
      </c>
      <c r="F68" s="20">
        <v>32.53</v>
      </c>
      <c r="G68" s="21" t="s">
        <v>1</v>
      </c>
      <c r="H68" s="19">
        <v>1</v>
      </c>
      <c r="I68" s="20">
        <v>32.53</v>
      </c>
      <c r="J68" s="19">
        <v>10.18</v>
      </c>
      <c r="K68" s="20">
        <v>331.16</v>
      </c>
    </row>
    <row r="69" spans="1:11" ht="14" x14ac:dyDescent="0.25">
      <c r="C69" s="22" t="s">
        <v>267</v>
      </c>
      <c r="H69" s="143">
        <v>32.53</v>
      </c>
      <c r="I69" s="143"/>
      <c r="J69" s="143">
        <v>331.16</v>
      </c>
      <c r="K69" s="143"/>
    </row>
    <row r="71" spans="1:11" ht="72.5" x14ac:dyDescent="0.25">
      <c r="A71" s="10">
        <v>14</v>
      </c>
      <c r="B71" s="10" t="s">
        <v>1852</v>
      </c>
      <c r="C71" s="10" t="s">
        <v>1833</v>
      </c>
      <c r="D71" s="12" t="s">
        <v>1853</v>
      </c>
      <c r="E71" s="11">
        <v>1.0048E-2</v>
      </c>
      <c r="F71" s="14"/>
      <c r="G71" s="13"/>
      <c r="H71" s="11"/>
      <c r="I71" s="14"/>
      <c r="J71" s="11"/>
      <c r="K71" s="14"/>
    </row>
    <row r="72" spans="1:11" x14ac:dyDescent="0.25">
      <c r="C72" s="23" t="s">
        <v>1854</v>
      </c>
    </row>
    <row r="73" spans="1:11" ht="14.5" x14ac:dyDescent="0.25">
      <c r="A73" s="10"/>
      <c r="B73" s="10"/>
      <c r="C73" s="10" t="s">
        <v>256</v>
      </c>
      <c r="D73" s="12"/>
      <c r="E73" s="11"/>
      <c r="F73" s="14">
        <v>844.8</v>
      </c>
      <c r="G73" s="15" t="s">
        <v>1</v>
      </c>
      <c r="H73" s="11">
        <v>1</v>
      </c>
      <c r="I73" s="14">
        <v>8.49</v>
      </c>
      <c r="J73" s="11">
        <v>57.05</v>
      </c>
      <c r="K73" s="14">
        <v>484.35</v>
      </c>
    </row>
    <row r="74" spans="1:11" ht="14.5" x14ac:dyDescent="0.25">
      <c r="A74" s="10"/>
      <c r="B74" s="10"/>
      <c r="C74" s="10" t="s">
        <v>257</v>
      </c>
      <c r="D74" s="12"/>
      <c r="E74" s="11"/>
      <c r="F74" s="14">
        <v>5.82</v>
      </c>
      <c r="G74" s="15" t="s">
        <v>1</v>
      </c>
      <c r="H74" s="11">
        <v>1</v>
      </c>
      <c r="I74" s="14">
        <v>0.06</v>
      </c>
      <c r="J74" s="11">
        <v>17.440000000000001</v>
      </c>
      <c r="K74" s="14">
        <v>1.05</v>
      </c>
    </row>
    <row r="75" spans="1:11" ht="14.5" x14ac:dyDescent="0.25">
      <c r="A75" s="10"/>
      <c r="B75" s="10"/>
      <c r="C75" s="10" t="s">
        <v>258</v>
      </c>
      <c r="D75" s="12"/>
      <c r="E75" s="11"/>
      <c r="F75" s="14">
        <v>0.88</v>
      </c>
      <c r="G75" s="15" t="s">
        <v>1</v>
      </c>
      <c r="H75" s="11">
        <v>1</v>
      </c>
      <c r="I75" s="16">
        <v>0.01</v>
      </c>
      <c r="J75" s="11">
        <v>57.05</v>
      </c>
      <c r="K75" s="16">
        <v>0.56999999999999995</v>
      </c>
    </row>
    <row r="76" spans="1:11" ht="14.5" x14ac:dyDescent="0.25">
      <c r="A76" s="10"/>
      <c r="B76" s="10"/>
      <c r="C76" s="10" t="s">
        <v>259</v>
      </c>
      <c r="D76" s="12"/>
      <c r="E76" s="11"/>
      <c r="F76" s="14">
        <v>1073.97</v>
      </c>
      <c r="G76" s="15" t="s">
        <v>1</v>
      </c>
      <c r="H76" s="11">
        <v>1</v>
      </c>
      <c r="I76" s="14">
        <v>10.79</v>
      </c>
      <c r="J76" s="11">
        <v>3.63</v>
      </c>
      <c r="K76" s="14">
        <v>39.17</v>
      </c>
    </row>
    <row r="77" spans="1:11" ht="14.5" x14ac:dyDescent="0.25">
      <c r="A77" s="10"/>
      <c r="B77" s="10"/>
      <c r="C77" s="10" t="s">
        <v>260</v>
      </c>
      <c r="D77" s="12" t="s">
        <v>261</v>
      </c>
      <c r="E77" s="11">
        <v>90</v>
      </c>
      <c r="F77" s="14"/>
      <c r="G77" s="13"/>
      <c r="H77" s="11"/>
      <c r="I77" s="14">
        <v>7.65</v>
      </c>
      <c r="J77" s="11">
        <v>90</v>
      </c>
      <c r="K77" s="14">
        <v>436.43</v>
      </c>
    </row>
    <row r="78" spans="1:11" ht="14.5" x14ac:dyDescent="0.25">
      <c r="A78" s="10"/>
      <c r="B78" s="10"/>
      <c r="C78" s="10" t="s">
        <v>262</v>
      </c>
      <c r="D78" s="12" t="s">
        <v>261</v>
      </c>
      <c r="E78" s="11">
        <v>42</v>
      </c>
      <c r="F78" s="14"/>
      <c r="G78" s="13"/>
      <c r="H78" s="11"/>
      <c r="I78" s="14">
        <v>3.57</v>
      </c>
      <c r="J78" s="11">
        <v>42</v>
      </c>
      <c r="K78" s="14">
        <v>203.67</v>
      </c>
    </row>
    <row r="79" spans="1:11" ht="14.5" x14ac:dyDescent="0.25">
      <c r="A79" s="17"/>
      <c r="B79" s="17"/>
      <c r="C79" s="17" t="s">
        <v>263</v>
      </c>
      <c r="D79" s="18" t="s">
        <v>264</v>
      </c>
      <c r="E79" s="19">
        <v>64</v>
      </c>
      <c r="F79" s="20"/>
      <c r="G79" s="21" t="s">
        <v>1</v>
      </c>
      <c r="H79" s="19">
        <v>1</v>
      </c>
      <c r="I79" s="20">
        <v>0.64</v>
      </c>
      <c r="J79" s="19"/>
      <c r="K79" s="20"/>
    </row>
    <row r="80" spans="1:11" ht="14" x14ac:dyDescent="0.25">
      <c r="C80" s="22" t="s">
        <v>265</v>
      </c>
      <c r="H80" s="143">
        <v>30.56</v>
      </c>
      <c r="I80" s="143"/>
      <c r="J80" s="143">
        <v>1164.67</v>
      </c>
      <c r="K80" s="143"/>
    </row>
    <row r="81" spans="1:11" ht="14" x14ac:dyDescent="0.25">
      <c r="C81" s="22" t="s">
        <v>267</v>
      </c>
      <c r="H81" s="141">
        <v>30.56</v>
      </c>
      <c r="I81" s="141"/>
      <c r="J81" s="141">
        <v>1164.67</v>
      </c>
      <c r="K81" s="141"/>
    </row>
    <row r="83" spans="1:11" ht="27" x14ac:dyDescent="0.25">
      <c r="A83" s="17">
        <v>15</v>
      </c>
      <c r="B83" s="17" t="s">
        <v>409</v>
      </c>
      <c r="C83" s="17" t="s">
        <v>1834</v>
      </c>
      <c r="D83" s="18" t="s">
        <v>11</v>
      </c>
      <c r="E83" s="19">
        <v>8</v>
      </c>
      <c r="F83" s="20">
        <v>4.1100000000000003</v>
      </c>
      <c r="G83" s="21" t="s">
        <v>1</v>
      </c>
      <c r="H83" s="19">
        <v>1</v>
      </c>
      <c r="I83" s="20">
        <v>32.880000000000003</v>
      </c>
      <c r="J83" s="19">
        <v>10.18</v>
      </c>
      <c r="K83" s="20">
        <v>334.72</v>
      </c>
    </row>
    <row r="84" spans="1:11" ht="14" x14ac:dyDescent="0.25">
      <c r="C84" s="22" t="s">
        <v>267</v>
      </c>
      <c r="H84" s="143">
        <v>32.880000000000003</v>
      </c>
      <c r="I84" s="143"/>
      <c r="J84" s="143">
        <v>334.72</v>
      </c>
      <c r="K84" s="143"/>
    </row>
    <row r="87" spans="1:11" ht="14" x14ac:dyDescent="0.3">
      <c r="A87" s="140" t="s">
        <v>1855</v>
      </c>
      <c r="B87" s="140"/>
      <c r="C87" s="140"/>
      <c r="D87" s="140"/>
      <c r="E87" s="140"/>
      <c r="F87" s="140"/>
      <c r="G87" s="140"/>
      <c r="H87" s="141">
        <v>2155.56</v>
      </c>
      <c r="I87" s="142"/>
      <c r="J87" s="141">
        <v>34470.230000000003</v>
      </c>
      <c r="K87" s="142"/>
    </row>
    <row r="89" spans="1:11" ht="16.5" x14ac:dyDescent="0.25">
      <c r="A89" s="144" t="s">
        <v>1856</v>
      </c>
      <c r="B89" s="144"/>
      <c r="C89" s="144"/>
      <c r="D89" s="144"/>
      <c r="E89" s="144"/>
      <c r="F89" s="144"/>
      <c r="G89" s="144"/>
      <c r="H89" s="144"/>
      <c r="I89" s="144"/>
      <c r="J89" s="144"/>
      <c r="K89" s="144"/>
    </row>
    <row r="90" spans="1:11" ht="28" x14ac:dyDescent="0.25">
      <c r="A90" s="10">
        <v>16</v>
      </c>
      <c r="B90" s="10" t="s">
        <v>1857</v>
      </c>
      <c r="C90" s="10" t="s">
        <v>1835</v>
      </c>
      <c r="D90" s="12" t="s">
        <v>34</v>
      </c>
      <c r="E90" s="11">
        <v>0.24</v>
      </c>
      <c r="F90" s="14"/>
      <c r="G90" s="13"/>
      <c r="H90" s="11"/>
      <c r="I90" s="14"/>
      <c r="J90" s="11"/>
      <c r="K90" s="14"/>
    </row>
    <row r="91" spans="1:11" x14ac:dyDescent="0.25">
      <c r="C91" s="23" t="s">
        <v>1858</v>
      </c>
    </row>
    <row r="92" spans="1:11" ht="14.5" x14ac:dyDescent="0.25">
      <c r="A92" s="10"/>
      <c r="B92" s="10"/>
      <c r="C92" s="10" t="s">
        <v>256</v>
      </c>
      <c r="D92" s="12"/>
      <c r="E92" s="11"/>
      <c r="F92" s="14">
        <v>188.72</v>
      </c>
      <c r="G92" s="15" t="s">
        <v>1</v>
      </c>
      <c r="H92" s="11">
        <v>1</v>
      </c>
      <c r="I92" s="14">
        <v>45.29</v>
      </c>
      <c r="J92" s="11">
        <v>57.05</v>
      </c>
      <c r="K92" s="14">
        <v>2583.79</v>
      </c>
    </row>
    <row r="93" spans="1:11" ht="14.5" x14ac:dyDescent="0.25">
      <c r="A93" s="10"/>
      <c r="B93" s="10"/>
      <c r="C93" s="10" t="s">
        <v>257</v>
      </c>
      <c r="D93" s="12"/>
      <c r="E93" s="11"/>
      <c r="F93" s="14">
        <v>7.54</v>
      </c>
      <c r="G93" s="15" t="s">
        <v>1</v>
      </c>
      <c r="H93" s="11">
        <v>1</v>
      </c>
      <c r="I93" s="14">
        <v>1.81</v>
      </c>
      <c r="J93" s="11">
        <v>14.86</v>
      </c>
      <c r="K93" s="14">
        <v>26.9</v>
      </c>
    </row>
    <row r="94" spans="1:11" ht="14.5" x14ac:dyDescent="0.25">
      <c r="A94" s="10"/>
      <c r="B94" s="10"/>
      <c r="C94" s="10" t="s">
        <v>258</v>
      </c>
      <c r="D94" s="12"/>
      <c r="E94" s="11"/>
      <c r="F94" s="14">
        <v>0.5</v>
      </c>
      <c r="G94" s="15" t="s">
        <v>1</v>
      </c>
      <c r="H94" s="11">
        <v>1</v>
      </c>
      <c r="I94" s="16">
        <v>0.12</v>
      </c>
      <c r="J94" s="11">
        <v>57.05</v>
      </c>
      <c r="K94" s="16">
        <v>6.85</v>
      </c>
    </row>
    <row r="95" spans="1:11" ht="14.5" x14ac:dyDescent="0.25">
      <c r="A95" s="10"/>
      <c r="B95" s="10"/>
      <c r="C95" s="10" t="s">
        <v>259</v>
      </c>
      <c r="D95" s="12"/>
      <c r="E95" s="11"/>
      <c r="F95" s="14">
        <v>5229.82</v>
      </c>
      <c r="G95" s="15" t="s">
        <v>1</v>
      </c>
      <c r="H95" s="11">
        <v>1</v>
      </c>
      <c r="I95" s="14">
        <v>1255.1600000000001</v>
      </c>
      <c r="J95" s="11">
        <v>0.48</v>
      </c>
      <c r="K95" s="14">
        <v>602.48</v>
      </c>
    </row>
    <row r="96" spans="1:11" ht="14.5" x14ac:dyDescent="0.25">
      <c r="A96" s="10"/>
      <c r="B96" s="10"/>
      <c r="C96" s="10" t="s">
        <v>260</v>
      </c>
      <c r="D96" s="12" t="s">
        <v>261</v>
      </c>
      <c r="E96" s="11">
        <v>109</v>
      </c>
      <c r="F96" s="14"/>
      <c r="G96" s="13"/>
      <c r="H96" s="11"/>
      <c r="I96" s="14">
        <v>49.5</v>
      </c>
      <c r="J96" s="11">
        <v>109</v>
      </c>
      <c r="K96" s="14">
        <v>2823.8</v>
      </c>
    </row>
    <row r="97" spans="1:11" ht="14.5" x14ac:dyDescent="0.25">
      <c r="A97" s="10"/>
      <c r="B97" s="10"/>
      <c r="C97" s="10" t="s">
        <v>262</v>
      </c>
      <c r="D97" s="12" t="s">
        <v>261</v>
      </c>
      <c r="E97" s="11">
        <v>61</v>
      </c>
      <c r="F97" s="14"/>
      <c r="G97" s="13"/>
      <c r="H97" s="11"/>
      <c r="I97" s="14">
        <v>27.7</v>
      </c>
      <c r="J97" s="11">
        <v>61</v>
      </c>
      <c r="K97" s="14">
        <v>1580.29</v>
      </c>
    </row>
    <row r="98" spans="1:11" ht="14.5" x14ac:dyDescent="0.25">
      <c r="A98" s="17"/>
      <c r="B98" s="17"/>
      <c r="C98" s="17" t="s">
        <v>263</v>
      </c>
      <c r="D98" s="18" t="s">
        <v>264</v>
      </c>
      <c r="E98" s="19">
        <v>16.89</v>
      </c>
      <c r="F98" s="20"/>
      <c r="G98" s="21" t="s">
        <v>1</v>
      </c>
      <c r="H98" s="19">
        <v>1</v>
      </c>
      <c r="I98" s="20">
        <v>4.05</v>
      </c>
      <c r="J98" s="19"/>
      <c r="K98" s="20"/>
    </row>
    <row r="99" spans="1:11" ht="14" x14ac:dyDescent="0.25">
      <c r="C99" s="22" t="s">
        <v>265</v>
      </c>
      <c r="H99" s="143">
        <v>1379.46</v>
      </c>
      <c r="I99" s="143"/>
      <c r="J99" s="143">
        <v>7617.26</v>
      </c>
      <c r="K99" s="143"/>
    </row>
    <row r="100" spans="1:11" ht="14" x14ac:dyDescent="0.25">
      <c r="C100" s="22" t="s">
        <v>267</v>
      </c>
      <c r="H100" s="141">
        <v>1379.46</v>
      </c>
      <c r="I100" s="141"/>
      <c r="J100" s="141">
        <v>7617.26</v>
      </c>
      <c r="K100" s="141"/>
    </row>
    <row r="102" spans="1:11" ht="144" x14ac:dyDescent="0.25">
      <c r="A102" s="10">
        <v>17</v>
      </c>
      <c r="B102" s="10" t="s">
        <v>1836</v>
      </c>
      <c r="C102" s="10" t="s">
        <v>1837</v>
      </c>
      <c r="D102" s="12" t="s">
        <v>34</v>
      </c>
      <c r="E102" s="11">
        <v>0.01</v>
      </c>
      <c r="F102" s="14"/>
      <c r="G102" s="13"/>
      <c r="H102" s="11"/>
      <c r="I102" s="14"/>
      <c r="J102" s="11"/>
      <c r="K102" s="14"/>
    </row>
    <row r="103" spans="1:11" x14ac:dyDescent="0.25">
      <c r="C103" s="23" t="s">
        <v>591</v>
      </c>
    </row>
    <row r="104" spans="1:11" ht="14.5" x14ac:dyDescent="0.25">
      <c r="A104" s="10"/>
      <c r="B104" s="10"/>
      <c r="C104" s="10" t="s">
        <v>256</v>
      </c>
      <c r="D104" s="12"/>
      <c r="E104" s="11"/>
      <c r="F104" s="14">
        <v>95.59</v>
      </c>
      <c r="G104" s="15" t="s">
        <v>277</v>
      </c>
      <c r="H104" s="11">
        <v>1</v>
      </c>
      <c r="I104" s="14">
        <v>1.32</v>
      </c>
      <c r="J104" s="11">
        <v>57.05</v>
      </c>
      <c r="K104" s="14">
        <v>75.31</v>
      </c>
    </row>
    <row r="105" spans="1:11" ht="14.5" x14ac:dyDescent="0.25">
      <c r="A105" s="10"/>
      <c r="B105" s="10"/>
      <c r="C105" s="10" t="s">
        <v>257</v>
      </c>
      <c r="D105" s="12"/>
      <c r="E105" s="11"/>
      <c r="F105" s="14">
        <v>8.9700000000000006</v>
      </c>
      <c r="G105" s="15" t="s">
        <v>278</v>
      </c>
      <c r="H105" s="11">
        <v>1</v>
      </c>
      <c r="I105" s="14">
        <v>0.13</v>
      </c>
      <c r="J105" s="11">
        <v>16.350000000000001</v>
      </c>
      <c r="K105" s="14">
        <v>2.13</v>
      </c>
    </row>
    <row r="106" spans="1:11" ht="14.5" x14ac:dyDescent="0.25">
      <c r="A106" s="10"/>
      <c r="B106" s="10"/>
      <c r="C106" s="10" t="s">
        <v>258</v>
      </c>
      <c r="D106" s="12"/>
      <c r="E106" s="11"/>
      <c r="F106" s="14">
        <v>1.01</v>
      </c>
      <c r="G106" s="15" t="s">
        <v>278</v>
      </c>
      <c r="H106" s="11">
        <v>1</v>
      </c>
      <c r="I106" s="16">
        <v>0.02</v>
      </c>
      <c r="J106" s="11">
        <v>57.05</v>
      </c>
      <c r="K106" s="16">
        <v>1.1399999999999999</v>
      </c>
    </row>
    <row r="107" spans="1:11" ht="14.5" x14ac:dyDescent="0.25">
      <c r="A107" s="10"/>
      <c r="B107" s="10"/>
      <c r="C107" s="10" t="s">
        <v>259</v>
      </c>
      <c r="D107" s="12"/>
      <c r="E107" s="11"/>
      <c r="F107" s="14">
        <v>2202.04</v>
      </c>
      <c r="G107" s="15" t="s">
        <v>1</v>
      </c>
      <c r="H107" s="11">
        <v>1</v>
      </c>
      <c r="I107" s="14">
        <v>22.02</v>
      </c>
      <c r="J107" s="11">
        <v>0.48</v>
      </c>
      <c r="K107" s="14">
        <v>10.57</v>
      </c>
    </row>
    <row r="108" spans="1:11" ht="14.5" x14ac:dyDescent="0.25">
      <c r="A108" s="10"/>
      <c r="B108" s="10"/>
      <c r="C108" s="10" t="s">
        <v>260</v>
      </c>
      <c r="D108" s="12" t="s">
        <v>261</v>
      </c>
      <c r="E108" s="11">
        <v>109</v>
      </c>
      <c r="F108" s="14"/>
      <c r="G108" s="13"/>
      <c r="H108" s="11"/>
      <c r="I108" s="14">
        <v>1.46</v>
      </c>
      <c r="J108" s="11">
        <v>109</v>
      </c>
      <c r="K108" s="14">
        <v>83.33</v>
      </c>
    </row>
    <row r="109" spans="1:11" ht="14.5" x14ac:dyDescent="0.25">
      <c r="A109" s="10"/>
      <c r="B109" s="10"/>
      <c r="C109" s="10" t="s">
        <v>262</v>
      </c>
      <c r="D109" s="12" t="s">
        <v>261</v>
      </c>
      <c r="E109" s="11">
        <v>61</v>
      </c>
      <c r="F109" s="14"/>
      <c r="G109" s="13"/>
      <c r="H109" s="11"/>
      <c r="I109" s="14">
        <v>0.82</v>
      </c>
      <c r="J109" s="11">
        <v>61</v>
      </c>
      <c r="K109" s="14">
        <v>46.63</v>
      </c>
    </row>
    <row r="110" spans="1:11" ht="14.5" x14ac:dyDescent="0.25">
      <c r="A110" s="17"/>
      <c r="B110" s="17"/>
      <c r="C110" s="17" t="s">
        <v>263</v>
      </c>
      <c r="D110" s="18" t="s">
        <v>264</v>
      </c>
      <c r="E110" s="19">
        <v>8.58</v>
      </c>
      <c r="F110" s="20"/>
      <c r="G110" s="21" t="s">
        <v>277</v>
      </c>
      <c r="H110" s="19">
        <v>1</v>
      </c>
      <c r="I110" s="20">
        <v>0.12</v>
      </c>
      <c r="J110" s="19"/>
      <c r="K110" s="20"/>
    </row>
    <row r="111" spans="1:11" ht="14" x14ac:dyDescent="0.25">
      <c r="C111" s="22" t="s">
        <v>265</v>
      </c>
      <c r="H111" s="143">
        <v>25.75</v>
      </c>
      <c r="I111" s="143"/>
      <c r="J111" s="143">
        <v>217.97</v>
      </c>
      <c r="K111" s="143"/>
    </row>
    <row r="112" spans="1:11" ht="14" x14ac:dyDescent="0.25">
      <c r="C112" s="22" t="s">
        <v>267</v>
      </c>
      <c r="H112" s="141">
        <v>25.75</v>
      </c>
      <c r="I112" s="141"/>
      <c r="J112" s="141">
        <v>217.97</v>
      </c>
      <c r="K112" s="141"/>
    </row>
    <row r="114" spans="1:11" ht="55" x14ac:dyDescent="0.25">
      <c r="A114" s="17">
        <v>18</v>
      </c>
      <c r="B114" s="17" t="s">
        <v>409</v>
      </c>
      <c r="C114" s="17" t="s">
        <v>1838</v>
      </c>
      <c r="D114" s="18" t="s">
        <v>11</v>
      </c>
      <c r="E114" s="19">
        <v>1</v>
      </c>
      <c r="F114" s="20">
        <v>412.28</v>
      </c>
      <c r="G114" s="21" t="s">
        <v>1</v>
      </c>
      <c r="H114" s="19">
        <v>1</v>
      </c>
      <c r="I114" s="20">
        <v>412.28</v>
      </c>
      <c r="J114" s="19">
        <v>10.18</v>
      </c>
      <c r="K114" s="20">
        <v>4197.01</v>
      </c>
    </row>
    <row r="115" spans="1:11" ht="14" x14ac:dyDescent="0.25">
      <c r="C115" s="22" t="s">
        <v>267</v>
      </c>
      <c r="H115" s="143">
        <v>412.28</v>
      </c>
      <c r="I115" s="143"/>
      <c r="J115" s="143">
        <v>4197.01</v>
      </c>
      <c r="K115" s="143"/>
    </row>
    <row r="117" spans="1:11" ht="144" x14ac:dyDescent="0.25">
      <c r="A117" s="10">
        <v>19</v>
      </c>
      <c r="B117" s="10" t="s">
        <v>1836</v>
      </c>
      <c r="C117" s="10" t="s">
        <v>1839</v>
      </c>
      <c r="D117" s="12" t="s">
        <v>34</v>
      </c>
      <c r="E117" s="11">
        <v>0.02</v>
      </c>
      <c r="F117" s="14"/>
      <c r="G117" s="13"/>
      <c r="H117" s="11"/>
      <c r="I117" s="14"/>
      <c r="J117" s="11"/>
      <c r="K117" s="14"/>
    </row>
    <row r="118" spans="1:11" x14ac:dyDescent="0.25">
      <c r="C118" s="23" t="s">
        <v>371</v>
      </c>
    </row>
    <row r="119" spans="1:11" ht="14.5" x14ac:dyDescent="0.25">
      <c r="A119" s="10"/>
      <c r="B119" s="10"/>
      <c r="C119" s="10" t="s">
        <v>256</v>
      </c>
      <c r="D119" s="12"/>
      <c r="E119" s="11"/>
      <c r="F119" s="14">
        <v>95.59</v>
      </c>
      <c r="G119" s="15" t="s">
        <v>277</v>
      </c>
      <c r="H119" s="11">
        <v>1</v>
      </c>
      <c r="I119" s="14">
        <v>2.64</v>
      </c>
      <c r="J119" s="11">
        <v>57.05</v>
      </c>
      <c r="K119" s="14">
        <v>150.61000000000001</v>
      </c>
    </row>
    <row r="120" spans="1:11" ht="14.5" x14ac:dyDescent="0.25">
      <c r="A120" s="10"/>
      <c r="B120" s="10"/>
      <c r="C120" s="10" t="s">
        <v>257</v>
      </c>
      <c r="D120" s="12"/>
      <c r="E120" s="11"/>
      <c r="F120" s="14">
        <v>8.9700000000000006</v>
      </c>
      <c r="G120" s="15" t="s">
        <v>278</v>
      </c>
      <c r="H120" s="11">
        <v>1</v>
      </c>
      <c r="I120" s="14">
        <v>0.27</v>
      </c>
      <c r="J120" s="11">
        <v>16.350000000000001</v>
      </c>
      <c r="K120" s="14">
        <v>4.41</v>
      </c>
    </row>
    <row r="121" spans="1:11" ht="14.5" x14ac:dyDescent="0.25">
      <c r="A121" s="10"/>
      <c r="B121" s="10"/>
      <c r="C121" s="10" t="s">
        <v>258</v>
      </c>
      <c r="D121" s="12"/>
      <c r="E121" s="11"/>
      <c r="F121" s="14">
        <v>1.01</v>
      </c>
      <c r="G121" s="15" t="s">
        <v>278</v>
      </c>
      <c r="H121" s="11">
        <v>1</v>
      </c>
      <c r="I121" s="16">
        <v>0.03</v>
      </c>
      <c r="J121" s="11">
        <v>57.05</v>
      </c>
      <c r="K121" s="16">
        <v>1.71</v>
      </c>
    </row>
    <row r="122" spans="1:11" ht="14.5" x14ac:dyDescent="0.25">
      <c r="A122" s="10"/>
      <c r="B122" s="10"/>
      <c r="C122" s="10" t="s">
        <v>259</v>
      </c>
      <c r="D122" s="12"/>
      <c r="E122" s="11"/>
      <c r="F122" s="14">
        <v>2202.04</v>
      </c>
      <c r="G122" s="15" t="s">
        <v>1</v>
      </c>
      <c r="H122" s="11">
        <v>1</v>
      </c>
      <c r="I122" s="14">
        <v>44.04</v>
      </c>
      <c r="J122" s="11">
        <v>0.48</v>
      </c>
      <c r="K122" s="14">
        <v>21.14</v>
      </c>
    </row>
    <row r="123" spans="1:11" ht="14.5" x14ac:dyDescent="0.25">
      <c r="A123" s="10"/>
      <c r="B123" s="10"/>
      <c r="C123" s="10" t="s">
        <v>260</v>
      </c>
      <c r="D123" s="12" t="s">
        <v>261</v>
      </c>
      <c r="E123" s="11">
        <v>109</v>
      </c>
      <c r="F123" s="14"/>
      <c r="G123" s="13"/>
      <c r="H123" s="11"/>
      <c r="I123" s="14">
        <v>2.91</v>
      </c>
      <c r="J123" s="11">
        <v>109</v>
      </c>
      <c r="K123" s="14">
        <v>166.03</v>
      </c>
    </row>
    <row r="124" spans="1:11" ht="14.5" x14ac:dyDescent="0.25">
      <c r="A124" s="10"/>
      <c r="B124" s="10"/>
      <c r="C124" s="10" t="s">
        <v>262</v>
      </c>
      <c r="D124" s="12" t="s">
        <v>261</v>
      </c>
      <c r="E124" s="11">
        <v>61</v>
      </c>
      <c r="F124" s="14"/>
      <c r="G124" s="13"/>
      <c r="H124" s="11"/>
      <c r="I124" s="14">
        <v>1.63</v>
      </c>
      <c r="J124" s="11">
        <v>61</v>
      </c>
      <c r="K124" s="14">
        <v>92.92</v>
      </c>
    </row>
    <row r="125" spans="1:11" ht="14.5" x14ac:dyDescent="0.25">
      <c r="A125" s="17"/>
      <c r="B125" s="17"/>
      <c r="C125" s="17" t="s">
        <v>263</v>
      </c>
      <c r="D125" s="18" t="s">
        <v>264</v>
      </c>
      <c r="E125" s="19">
        <v>8.58</v>
      </c>
      <c r="F125" s="20"/>
      <c r="G125" s="21" t="s">
        <v>277</v>
      </c>
      <c r="H125" s="19">
        <v>1</v>
      </c>
      <c r="I125" s="20">
        <v>0.24</v>
      </c>
      <c r="J125" s="19"/>
      <c r="K125" s="20"/>
    </row>
    <row r="126" spans="1:11" ht="14" x14ac:dyDescent="0.25">
      <c r="C126" s="22" t="s">
        <v>265</v>
      </c>
      <c r="H126" s="143">
        <v>51.49</v>
      </c>
      <c r="I126" s="143"/>
      <c r="J126" s="143">
        <v>435.11</v>
      </c>
      <c r="K126" s="143"/>
    </row>
    <row r="127" spans="1:11" ht="14" x14ac:dyDescent="0.25">
      <c r="C127" s="22" t="s">
        <v>267</v>
      </c>
      <c r="H127" s="141">
        <v>51.49</v>
      </c>
      <c r="I127" s="141"/>
      <c r="J127" s="141">
        <v>435.11</v>
      </c>
      <c r="K127" s="141"/>
    </row>
    <row r="129" spans="1:11" ht="144" x14ac:dyDescent="0.25">
      <c r="A129" s="10">
        <v>20</v>
      </c>
      <c r="B129" s="10" t="s">
        <v>1840</v>
      </c>
      <c r="C129" s="10" t="s">
        <v>1841</v>
      </c>
      <c r="D129" s="12" t="s">
        <v>34</v>
      </c>
      <c r="E129" s="11">
        <v>0.02</v>
      </c>
      <c r="F129" s="14"/>
      <c r="G129" s="13"/>
      <c r="H129" s="11"/>
      <c r="I129" s="14"/>
      <c r="J129" s="11"/>
      <c r="K129" s="14"/>
    </row>
    <row r="130" spans="1:11" x14ac:dyDescent="0.25">
      <c r="C130" s="23" t="s">
        <v>371</v>
      </c>
    </row>
    <row r="131" spans="1:11" ht="14.5" x14ac:dyDescent="0.25">
      <c r="A131" s="10"/>
      <c r="B131" s="10"/>
      <c r="C131" s="10" t="s">
        <v>256</v>
      </c>
      <c r="D131" s="12"/>
      <c r="E131" s="11"/>
      <c r="F131" s="14">
        <v>188.72</v>
      </c>
      <c r="G131" s="15" t="s">
        <v>277</v>
      </c>
      <c r="H131" s="11">
        <v>1</v>
      </c>
      <c r="I131" s="14">
        <v>5.21</v>
      </c>
      <c r="J131" s="11">
        <v>57.05</v>
      </c>
      <c r="K131" s="14">
        <v>297.23</v>
      </c>
    </row>
    <row r="132" spans="1:11" ht="14.5" x14ac:dyDescent="0.25">
      <c r="A132" s="10"/>
      <c r="B132" s="10"/>
      <c r="C132" s="10" t="s">
        <v>257</v>
      </c>
      <c r="D132" s="12"/>
      <c r="E132" s="11"/>
      <c r="F132" s="14">
        <v>7.54</v>
      </c>
      <c r="G132" s="15" t="s">
        <v>278</v>
      </c>
      <c r="H132" s="11">
        <v>1</v>
      </c>
      <c r="I132" s="14">
        <v>0.23</v>
      </c>
      <c r="J132" s="11">
        <v>14.86</v>
      </c>
      <c r="K132" s="14">
        <v>3.42</v>
      </c>
    </row>
    <row r="133" spans="1:11" ht="14.5" x14ac:dyDescent="0.25">
      <c r="A133" s="10"/>
      <c r="B133" s="10"/>
      <c r="C133" s="10" t="s">
        <v>258</v>
      </c>
      <c r="D133" s="12"/>
      <c r="E133" s="11"/>
      <c r="F133" s="14">
        <v>0.5</v>
      </c>
      <c r="G133" s="15" t="s">
        <v>278</v>
      </c>
      <c r="H133" s="11">
        <v>1</v>
      </c>
      <c r="I133" s="16">
        <v>0.02</v>
      </c>
      <c r="J133" s="11">
        <v>57.05</v>
      </c>
      <c r="K133" s="16">
        <v>1.1399999999999999</v>
      </c>
    </row>
    <row r="134" spans="1:11" ht="14.5" x14ac:dyDescent="0.25">
      <c r="A134" s="10"/>
      <c r="B134" s="10"/>
      <c r="C134" s="10" t="s">
        <v>259</v>
      </c>
      <c r="D134" s="12"/>
      <c r="E134" s="11"/>
      <c r="F134" s="14">
        <v>5229.82</v>
      </c>
      <c r="G134" s="15" t="s">
        <v>1</v>
      </c>
      <c r="H134" s="11">
        <v>1</v>
      </c>
      <c r="I134" s="14">
        <v>104.6</v>
      </c>
      <c r="J134" s="11">
        <v>0.48</v>
      </c>
      <c r="K134" s="14">
        <v>50.21</v>
      </c>
    </row>
    <row r="135" spans="1:11" ht="14.5" x14ac:dyDescent="0.25">
      <c r="A135" s="10"/>
      <c r="B135" s="10"/>
      <c r="C135" s="10" t="s">
        <v>260</v>
      </c>
      <c r="D135" s="12" t="s">
        <v>261</v>
      </c>
      <c r="E135" s="11">
        <v>109</v>
      </c>
      <c r="F135" s="14"/>
      <c r="G135" s="13"/>
      <c r="H135" s="11"/>
      <c r="I135" s="14">
        <v>5.7</v>
      </c>
      <c r="J135" s="11">
        <v>109</v>
      </c>
      <c r="K135" s="14">
        <v>325.22000000000003</v>
      </c>
    </row>
    <row r="136" spans="1:11" ht="14.5" x14ac:dyDescent="0.25">
      <c r="A136" s="10"/>
      <c r="B136" s="10"/>
      <c r="C136" s="10" t="s">
        <v>262</v>
      </c>
      <c r="D136" s="12" t="s">
        <v>261</v>
      </c>
      <c r="E136" s="11">
        <v>61</v>
      </c>
      <c r="F136" s="14"/>
      <c r="G136" s="13"/>
      <c r="H136" s="11"/>
      <c r="I136" s="14">
        <v>3.19</v>
      </c>
      <c r="J136" s="11">
        <v>61</v>
      </c>
      <c r="K136" s="14">
        <v>182.01</v>
      </c>
    </row>
    <row r="137" spans="1:11" ht="14.5" x14ac:dyDescent="0.25">
      <c r="A137" s="17"/>
      <c r="B137" s="17"/>
      <c r="C137" s="17" t="s">
        <v>263</v>
      </c>
      <c r="D137" s="18" t="s">
        <v>264</v>
      </c>
      <c r="E137" s="19">
        <v>16.89</v>
      </c>
      <c r="F137" s="20"/>
      <c r="G137" s="21" t="s">
        <v>277</v>
      </c>
      <c r="H137" s="19">
        <v>1</v>
      </c>
      <c r="I137" s="20">
        <v>0.47</v>
      </c>
      <c r="J137" s="19"/>
      <c r="K137" s="20"/>
    </row>
    <row r="138" spans="1:11" ht="14" x14ac:dyDescent="0.25">
      <c r="C138" s="22" t="s">
        <v>265</v>
      </c>
      <c r="H138" s="143">
        <v>118.93</v>
      </c>
      <c r="I138" s="143"/>
      <c r="J138" s="143">
        <v>858.09</v>
      </c>
      <c r="K138" s="143"/>
    </row>
    <row r="139" spans="1:11" ht="14" x14ac:dyDescent="0.25">
      <c r="C139" s="22" t="s">
        <v>267</v>
      </c>
      <c r="H139" s="141">
        <v>118.93</v>
      </c>
      <c r="I139" s="141"/>
      <c r="J139" s="141">
        <v>858.09</v>
      </c>
      <c r="K139" s="141"/>
    </row>
    <row r="141" spans="1:11" ht="144" x14ac:dyDescent="0.25">
      <c r="A141" s="10">
        <v>21</v>
      </c>
      <c r="B141" s="10" t="s">
        <v>1842</v>
      </c>
      <c r="C141" s="10" t="s">
        <v>1843</v>
      </c>
      <c r="D141" s="12" t="s">
        <v>24</v>
      </c>
      <c r="E141" s="11">
        <v>2</v>
      </c>
      <c r="F141" s="14"/>
      <c r="G141" s="13"/>
      <c r="H141" s="11"/>
      <c r="I141" s="14"/>
      <c r="J141" s="11"/>
      <c r="K141" s="14"/>
    </row>
    <row r="142" spans="1:11" ht="14.5" x14ac:dyDescent="0.25">
      <c r="A142" s="10"/>
      <c r="B142" s="10"/>
      <c r="C142" s="10" t="s">
        <v>256</v>
      </c>
      <c r="D142" s="12"/>
      <c r="E142" s="11"/>
      <c r="F142" s="14">
        <v>7.95</v>
      </c>
      <c r="G142" s="15" t="s">
        <v>277</v>
      </c>
      <c r="H142" s="11">
        <v>1</v>
      </c>
      <c r="I142" s="14">
        <v>21.94</v>
      </c>
      <c r="J142" s="11">
        <v>57.05</v>
      </c>
      <c r="K142" s="14">
        <v>1251.68</v>
      </c>
    </row>
    <row r="143" spans="1:11" ht="14.5" x14ac:dyDescent="0.25">
      <c r="A143" s="10"/>
      <c r="B143" s="10"/>
      <c r="C143" s="10" t="s">
        <v>259</v>
      </c>
      <c r="D143" s="12"/>
      <c r="E143" s="11"/>
      <c r="F143" s="14">
        <v>0.32</v>
      </c>
      <c r="G143" s="15" t="s">
        <v>1</v>
      </c>
      <c r="H143" s="11">
        <v>1</v>
      </c>
      <c r="I143" s="14">
        <v>0.64</v>
      </c>
      <c r="J143" s="11">
        <v>5.63</v>
      </c>
      <c r="K143" s="14">
        <v>3.6</v>
      </c>
    </row>
    <row r="144" spans="1:11" ht="14.5" x14ac:dyDescent="0.25">
      <c r="A144" s="10"/>
      <c r="B144" s="10"/>
      <c r="C144" s="10" t="s">
        <v>260</v>
      </c>
      <c r="D144" s="12" t="s">
        <v>261</v>
      </c>
      <c r="E144" s="11">
        <v>109</v>
      </c>
      <c r="F144" s="14"/>
      <c r="G144" s="13"/>
      <c r="H144" s="11"/>
      <c r="I144" s="14">
        <v>23.91</v>
      </c>
      <c r="J144" s="11">
        <v>109</v>
      </c>
      <c r="K144" s="14">
        <v>1364.33</v>
      </c>
    </row>
    <row r="145" spans="1:11" ht="14.5" x14ac:dyDescent="0.25">
      <c r="A145" s="10"/>
      <c r="B145" s="10"/>
      <c r="C145" s="10" t="s">
        <v>262</v>
      </c>
      <c r="D145" s="12" t="s">
        <v>261</v>
      </c>
      <c r="E145" s="11">
        <v>61</v>
      </c>
      <c r="F145" s="14"/>
      <c r="G145" s="13"/>
      <c r="H145" s="11"/>
      <c r="I145" s="14">
        <v>13.38</v>
      </c>
      <c r="J145" s="11">
        <v>61</v>
      </c>
      <c r="K145" s="14">
        <v>763.52</v>
      </c>
    </row>
    <row r="146" spans="1:11" ht="14.5" x14ac:dyDescent="0.25">
      <c r="A146" s="17"/>
      <c r="B146" s="17"/>
      <c r="C146" s="17" t="s">
        <v>263</v>
      </c>
      <c r="D146" s="18" t="s">
        <v>264</v>
      </c>
      <c r="E146" s="19">
        <v>0.63</v>
      </c>
      <c r="F146" s="20"/>
      <c r="G146" s="21" t="s">
        <v>277</v>
      </c>
      <c r="H146" s="19">
        <v>1</v>
      </c>
      <c r="I146" s="20">
        <v>1.74</v>
      </c>
      <c r="J146" s="19"/>
      <c r="K146" s="20"/>
    </row>
    <row r="147" spans="1:11" ht="14" x14ac:dyDescent="0.25">
      <c r="C147" s="22" t="s">
        <v>265</v>
      </c>
      <c r="H147" s="143">
        <v>59.87</v>
      </c>
      <c r="I147" s="143"/>
      <c r="J147" s="143">
        <v>3383.13</v>
      </c>
      <c r="K147" s="143"/>
    </row>
    <row r="148" spans="1:11" ht="14" x14ac:dyDescent="0.25">
      <c r="C148" s="22" t="s">
        <v>267</v>
      </c>
      <c r="H148" s="141">
        <v>59.87</v>
      </c>
      <c r="I148" s="141"/>
      <c r="J148" s="141">
        <v>3383.13</v>
      </c>
      <c r="K148" s="141"/>
    </row>
    <row r="150" spans="1:11" ht="41" x14ac:dyDescent="0.25">
      <c r="A150" s="17">
        <v>22</v>
      </c>
      <c r="B150" s="17" t="s">
        <v>409</v>
      </c>
      <c r="C150" s="17" t="s">
        <v>1844</v>
      </c>
      <c r="D150" s="18" t="s">
        <v>11</v>
      </c>
      <c r="E150" s="19">
        <v>1</v>
      </c>
      <c r="F150" s="20">
        <v>942.01</v>
      </c>
      <c r="G150" s="21" t="s">
        <v>1</v>
      </c>
      <c r="H150" s="19">
        <v>1</v>
      </c>
      <c r="I150" s="20">
        <v>942.01</v>
      </c>
      <c r="J150" s="19">
        <v>10.18</v>
      </c>
      <c r="K150" s="20">
        <v>9589.66</v>
      </c>
    </row>
    <row r="151" spans="1:11" ht="14" x14ac:dyDescent="0.25">
      <c r="C151" s="22" t="s">
        <v>267</v>
      </c>
      <c r="H151" s="143">
        <v>942.01</v>
      </c>
      <c r="I151" s="143"/>
      <c r="J151" s="143">
        <v>9589.66</v>
      </c>
      <c r="K151" s="143"/>
    </row>
    <row r="153" spans="1:11" ht="27" x14ac:dyDescent="0.25">
      <c r="A153" s="17">
        <v>23</v>
      </c>
      <c r="B153" s="17" t="s">
        <v>409</v>
      </c>
      <c r="C153" s="17" t="s">
        <v>1948</v>
      </c>
      <c r="D153" s="18" t="s">
        <v>11</v>
      </c>
      <c r="E153" s="19">
        <v>1</v>
      </c>
      <c r="F153" s="20">
        <v>392.16</v>
      </c>
      <c r="G153" s="21" t="s">
        <v>1</v>
      </c>
      <c r="H153" s="19">
        <v>1</v>
      </c>
      <c r="I153" s="20">
        <v>392.16</v>
      </c>
      <c r="J153" s="19">
        <v>10.18</v>
      </c>
      <c r="K153" s="20">
        <v>3992.19</v>
      </c>
    </row>
    <row r="154" spans="1:11" ht="14" x14ac:dyDescent="0.25">
      <c r="C154" s="22" t="s">
        <v>267</v>
      </c>
      <c r="H154" s="143">
        <v>392.16</v>
      </c>
      <c r="I154" s="143"/>
      <c r="J154" s="143">
        <v>3992.19</v>
      </c>
      <c r="K154" s="143"/>
    </row>
    <row r="156" spans="1:11" ht="27" x14ac:dyDescent="0.25">
      <c r="A156" s="17">
        <v>24</v>
      </c>
      <c r="B156" s="17" t="s">
        <v>409</v>
      </c>
      <c r="C156" s="17" t="s">
        <v>1845</v>
      </c>
      <c r="D156" s="18" t="s">
        <v>11</v>
      </c>
      <c r="E156" s="19">
        <v>1</v>
      </c>
      <c r="F156" s="20">
        <v>98.55</v>
      </c>
      <c r="G156" s="21" t="s">
        <v>1</v>
      </c>
      <c r="H156" s="19">
        <v>1</v>
      </c>
      <c r="I156" s="20">
        <v>98.55</v>
      </c>
      <c r="J156" s="19">
        <v>10.18</v>
      </c>
      <c r="K156" s="20">
        <v>1003.24</v>
      </c>
    </row>
    <row r="157" spans="1:11" ht="14" x14ac:dyDescent="0.25">
      <c r="C157" s="22" t="s">
        <v>267</v>
      </c>
      <c r="H157" s="143">
        <v>98.55</v>
      </c>
      <c r="I157" s="143"/>
      <c r="J157" s="143">
        <v>1003.24</v>
      </c>
      <c r="K157" s="143"/>
    </row>
    <row r="159" spans="1:11" ht="79" x14ac:dyDescent="0.25">
      <c r="A159" s="10">
        <v>25</v>
      </c>
      <c r="B159" s="10" t="s">
        <v>1846</v>
      </c>
      <c r="C159" s="10" t="s">
        <v>1847</v>
      </c>
      <c r="D159" s="12" t="s">
        <v>24</v>
      </c>
      <c r="E159" s="11">
        <v>1</v>
      </c>
      <c r="F159" s="14"/>
      <c r="G159" s="13"/>
      <c r="H159" s="11"/>
      <c r="I159" s="14"/>
      <c r="J159" s="11"/>
      <c r="K159" s="14"/>
    </row>
    <row r="160" spans="1:11" ht="14.5" x14ac:dyDescent="0.25">
      <c r="A160" s="10"/>
      <c r="B160" s="10"/>
      <c r="C160" s="10" t="s">
        <v>256</v>
      </c>
      <c r="D160" s="12"/>
      <c r="E160" s="11"/>
      <c r="F160" s="14">
        <v>13.38</v>
      </c>
      <c r="G160" s="15" t="s">
        <v>13</v>
      </c>
      <c r="H160" s="11">
        <v>1</v>
      </c>
      <c r="I160" s="14">
        <v>16.059999999999999</v>
      </c>
      <c r="J160" s="11">
        <v>57.05</v>
      </c>
      <c r="K160" s="14">
        <v>916.22</v>
      </c>
    </row>
    <row r="161" spans="1:11" ht="14.5" x14ac:dyDescent="0.25">
      <c r="A161" s="10"/>
      <c r="B161" s="10"/>
      <c r="C161" s="10" t="s">
        <v>257</v>
      </c>
      <c r="D161" s="12"/>
      <c r="E161" s="11"/>
      <c r="F161" s="14">
        <v>0.91</v>
      </c>
      <c r="G161" s="15" t="s">
        <v>13</v>
      </c>
      <c r="H161" s="11">
        <v>1</v>
      </c>
      <c r="I161" s="14">
        <v>1.0900000000000001</v>
      </c>
      <c r="J161" s="11">
        <v>16.75</v>
      </c>
      <c r="K161" s="14">
        <v>18.260000000000002</v>
      </c>
    </row>
    <row r="162" spans="1:11" ht="14.5" x14ac:dyDescent="0.25">
      <c r="A162" s="10"/>
      <c r="B162" s="10"/>
      <c r="C162" s="10" t="s">
        <v>258</v>
      </c>
      <c r="D162" s="12"/>
      <c r="E162" s="11"/>
      <c r="F162" s="14">
        <v>0.13</v>
      </c>
      <c r="G162" s="15" t="s">
        <v>13</v>
      </c>
      <c r="H162" s="11">
        <v>1</v>
      </c>
      <c r="I162" s="16">
        <v>0.16</v>
      </c>
      <c r="J162" s="11">
        <v>57.05</v>
      </c>
      <c r="K162" s="16">
        <v>9.1300000000000008</v>
      </c>
    </row>
    <row r="163" spans="1:11" ht="14.5" x14ac:dyDescent="0.25">
      <c r="A163" s="10"/>
      <c r="B163" s="10"/>
      <c r="C163" s="10" t="s">
        <v>259</v>
      </c>
      <c r="D163" s="12"/>
      <c r="E163" s="11"/>
      <c r="F163" s="14">
        <v>0.41</v>
      </c>
      <c r="G163" s="15" t="s">
        <v>1</v>
      </c>
      <c r="H163" s="11">
        <v>1</v>
      </c>
      <c r="I163" s="14">
        <v>0.41</v>
      </c>
      <c r="J163" s="11">
        <v>3.95</v>
      </c>
      <c r="K163" s="14">
        <v>1.62</v>
      </c>
    </row>
    <row r="164" spans="1:11" ht="14.5" x14ac:dyDescent="0.25">
      <c r="A164" s="10"/>
      <c r="B164" s="10"/>
      <c r="C164" s="10" t="s">
        <v>260</v>
      </c>
      <c r="D164" s="12" t="s">
        <v>261</v>
      </c>
      <c r="E164" s="11">
        <v>97</v>
      </c>
      <c r="F164" s="14"/>
      <c r="G164" s="13"/>
      <c r="H164" s="11"/>
      <c r="I164" s="14">
        <v>15.73</v>
      </c>
      <c r="J164" s="11">
        <v>97</v>
      </c>
      <c r="K164" s="14">
        <v>897.59</v>
      </c>
    </row>
    <row r="165" spans="1:11" ht="14.5" x14ac:dyDescent="0.25">
      <c r="A165" s="10"/>
      <c r="B165" s="10"/>
      <c r="C165" s="10" t="s">
        <v>262</v>
      </c>
      <c r="D165" s="12" t="s">
        <v>261</v>
      </c>
      <c r="E165" s="11">
        <v>51</v>
      </c>
      <c r="F165" s="14"/>
      <c r="G165" s="13"/>
      <c r="H165" s="11"/>
      <c r="I165" s="14">
        <v>8.27</v>
      </c>
      <c r="J165" s="11">
        <v>51</v>
      </c>
      <c r="K165" s="14">
        <v>471.93</v>
      </c>
    </row>
    <row r="166" spans="1:11" ht="14.5" x14ac:dyDescent="0.25">
      <c r="A166" s="17"/>
      <c r="B166" s="17"/>
      <c r="C166" s="17" t="s">
        <v>263</v>
      </c>
      <c r="D166" s="18" t="s">
        <v>264</v>
      </c>
      <c r="E166" s="19">
        <v>1.03</v>
      </c>
      <c r="F166" s="20"/>
      <c r="G166" s="21" t="s">
        <v>13</v>
      </c>
      <c r="H166" s="19">
        <v>1</v>
      </c>
      <c r="I166" s="20">
        <v>1.24</v>
      </c>
      <c r="J166" s="19"/>
      <c r="K166" s="20"/>
    </row>
    <row r="167" spans="1:11" ht="14" x14ac:dyDescent="0.25">
      <c r="C167" s="22" t="s">
        <v>265</v>
      </c>
      <c r="H167" s="143">
        <v>41.56</v>
      </c>
      <c r="I167" s="143"/>
      <c r="J167" s="143">
        <v>2305.62</v>
      </c>
      <c r="K167" s="143"/>
    </row>
    <row r="168" spans="1:11" ht="14" x14ac:dyDescent="0.25">
      <c r="C168" s="22" t="s">
        <v>267</v>
      </c>
      <c r="H168" s="141">
        <v>41.56</v>
      </c>
      <c r="I168" s="141"/>
      <c r="J168" s="141">
        <v>2305.62</v>
      </c>
      <c r="K168" s="141"/>
    </row>
    <row r="171" spans="1:11" ht="14" x14ac:dyDescent="0.3">
      <c r="A171" s="140" t="s">
        <v>1859</v>
      </c>
      <c r="B171" s="140"/>
      <c r="C171" s="140"/>
      <c r="D171" s="140"/>
      <c r="E171" s="140"/>
      <c r="F171" s="140"/>
      <c r="G171" s="140"/>
      <c r="H171" s="141">
        <v>3522.06</v>
      </c>
      <c r="I171" s="142"/>
      <c r="J171" s="141">
        <v>33599.279999999999</v>
      </c>
      <c r="K171" s="142"/>
    </row>
    <row r="173" spans="1:11" ht="16.5" x14ac:dyDescent="0.25">
      <c r="A173" s="144" t="s">
        <v>1860</v>
      </c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</row>
    <row r="174" spans="1:11" ht="82" x14ac:dyDescent="0.25">
      <c r="A174" s="17">
        <v>26</v>
      </c>
      <c r="B174" s="17" t="s">
        <v>409</v>
      </c>
      <c r="C174" s="17" t="s">
        <v>1863</v>
      </c>
      <c r="D174" s="18" t="s">
        <v>11</v>
      </c>
      <c r="E174" s="19">
        <v>1</v>
      </c>
      <c r="F174" s="20">
        <v>1307.23</v>
      </c>
      <c r="G174" s="21" t="s">
        <v>1</v>
      </c>
      <c r="H174" s="19">
        <v>1</v>
      </c>
      <c r="I174" s="20">
        <v>1307.23</v>
      </c>
      <c r="J174" s="19">
        <v>7.54</v>
      </c>
      <c r="K174" s="20">
        <v>9856.51</v>
      </c>
    </row>
    <row r="175" spans="1:11" ht="14" x14ac:dyDescent="0.25">
      <c r="C175" s="22" t="s">
        <v>267</v>
      </c>
      <c r="H175" s="143">
        <v>1307.23</v>
      </c>
      <c r="I175" s="143"/>
      <c r="J175" s="143">
        <v>9856.51</v>
      </c>
      <c r="K175" s="143"/>
    </row>
    <row r="177" spans="1:11" ht="96" x14ac:dyDescent="0.25">
      <c r="A177" s="17">
        <v>27</v>
      </c>
      <c r="B177" s="17" t="s">
        <v>409</v>
      </c>
      <c r="C177" s="17" t="s">
        <v>1864</v>
      </c>
      <c r="D177" s="18" t="s">
        <v>11</v>
      </c>
      <c r="E177" s="19">
        <v>1</v>
      </c>
      <c r="F177" s="20">
        <v>1074.1600000000001</v>
      </c>
      <c r="G177" s="21" t="s">
        <v>1</v>
      </c>
      <c r="H177" s="19">
        <v>1</v>
      </c>
      <c r="I177" s="20">
        <v>1074.1600000000001</v>
      </c>
      <c r="J177" s="19">
        <v>7.54</v>
      </c>
      <c r="K177" s="20">
        <v>8099.17</v>
      </c>
    </row>
    <row r="178" spans="1:11" ht="14" x14ac:dyDescent="0.25">
      <c r="C178" s="22" t="s">
        <v>267</v>
      </c>
      <c r="H178" s="143">
        <v>1074.1600000000001</v>
      </c>
      <c r="I178" s="143"/>
      <c r="J178" s="143">
        <v>8099.17</v>
      </c>
      <c r="K178" s="143"/>
    </row>
    <row r="180" spans="1:11" ht="82" x14ac:dyDescent="0.25">
      <c r="A180" s="17">
        <v>28</v>
      </c>
      <c r="B180" s="17" t="s">
        <v>409</v>
      </c>
      <c r="C180" s="17" t="s">
        <v>1865</v>
      </c>
      <c r="D180" s="18" t="s">
        <v>11</v>
      </c>
      <c r="E180" s="19">
        <v>2</v>
      </c>
      <c r="F180" s="20">
        <v>995.36</v>
      </c>
      <c r="G180" s="21" t="s">
        <v>1</v>
      </c>
      <c r="H180" s="19">
        <v>1</v>
      </c>
      <c r="I180" s="20">
        <v>1990.72</v>
      </c>
      <c r="J180" s="19">
        <v>7.54</v>
      </c>
      <c r="K180" s="20">
        <v>15010.03</v>
      </c>
    </row>
    <row r="181" spans="1:11" ht="14" x14ac:dyDescent="0.25">
      <c r="C181" s="22" t="s">
        <v>267</v>
      </c>
      <c r="H181" s="143">
        <v>1990.72</v>
      </c>
      <c r="I181" s="143"/>
      <c r="J181" s="143">
        <v>15010.03</v>
      </c>
      <c r="K181" s="143"/>
    </row>
    <row r="183" spans="1:11" ht="68" x14ac:dyDescent="0.25">
      <c r="A183" s="17">
        <v>29</v>
      </c>
      <c r="B183" s="17" t="s">
        <v>409</v>
      </c>
      <c r="C183" s="17" t="s">
        <v>1866</v>
      </c>
      <c r="D183" s="18" t="s">
        <v>11</v>
      </c>
      <c r="E183" s="19">
        <v>1</v>
      </c>
      <c r="F183" s="20">
        <v>178.33</v>
      </c>
      <c r="G183" s="21" t="s">
        <v>1</v>
      </c>
      <c r="H183" s="19">
        <v>1</v>
      </c>
      <c r="I183" s="20">
        <v>178.33</v>
      </c>
      <c r="J183" s="19">
        <v>7.54</v>
      </c>
      <c r="K183" s="20">
        <v>1344.61</v>
      </c>
    </row>
    <row r="184" spans="1:11" ht="14" x14ac:dyDescent="0.25">
      <c r="C184" s="22" t="s">
        <v>267</v>
      </c>
      <c r="H184" s="143">
        <v>178.33</v>
      </c>
      <c r="I184" s="143"/>
      <c r="J184" s="143">
        <v>1344.61</v>
      </c>
      <c r="K184" s="143"/>
    </row>
    <row r="186" spans="1:11" ht="54" x14ac:dyDescent="0.25">
      <c r="A186" s="17">
        <v>30</v>
      </c>
      <c r="B186" s="17" t="s">
        <v>409</v>
      </c>
      <c r="C186" s="17" t="s">
        <v>1867</v>
      </c>
      <c r="D186" s="18" t="s">
        <v>11</v>
      </c>
      <c r="E186" s="19">
        <v>1</v>
      </c>
      <c r="F186" s="20">
        <v>988.45</v>
      </c>
      <c r="G186" s="21" t="s">
        <v>1</v>
      </c>
      <c r="H186" s="19">
        <v>1</v>
      </c>
      <c r="I186" s="20">
        <v>988.45</v>
      </c>
      <c r="J186" s="19">
        <v>7.54</v>
      </c>
      <c r="K186" s="20">
        <v>7452.91</v>
      </c>
    </row>
    <row r="187" spans="1:11" ht="14" x14ac:dyDescent="0.25">
      <c r="C187" s="22" t="s">
        <v>267</v>
      </c>
      <c r="H187" s="143">
        <v>988.45</v>
      </c>
      <c r="I187" s="143"/>
      <c r="J187" s="143">
        <v>7452.91</v>
      </c>
      <c r="K187" s="143"/>
    </row>
    <row r="189" spans="1:11" ht="54" x14ac:dyDescent="0.25">
      <c r="A189" s="17">
        <v>31</v>
      </c>
      <c r="B189" s="17" t="s">
        <v>409</v>
      </c>
      <c r="C189" s="17" t="s">
        <v>1868</v>
      </c>
      <c r="D189" s="18" t="s">
        <v>11</v>
      </c>
      <c r="E189" s="19">
        <v>1</v>
      </c>
      <c r="F189" s="20">
        <v>454.82</v>
      </c>
      <c r="G189" s="21" t="s">
        <v>1</v>
      </c>
      <c r="H189" s="19">
        <v>1</v>
      </c>
      <c r="I189" s="20">
        <v>454.82</v>
      </c>
      <c r="J189" s="19">
        <v>7.54</v>
      </c>
      <c r="K189" s="20">
        <v>3429.34</v>
      </c>
    </row>
    <row r="190" spans="1:11" ht="14" x14ac:dyDescent="0.25">
      <c r="C190" s="22" t="s">
        <v>267</v>
      </c>
      <c r="H190" s="143">
        <v>454.82</v>
      </c>
      <c r="I190" s="143"/>
      <c r="J190" s="143">
        <v>3429.34</v>
      </c>
      <c r="K190" s="143"/>
    </row>
    <row r="192" spans="1:11" ht="96" x14ac:dyDescent="0.25">
      <c r="A192" s="17">
        <v>32</v>
      </c>
      <c r="B192" s="17" t="s">
        <v>409</v>
      </c>
      <c r="C192" s="17" t="s">
        <v>1869</v>
      </c>
      <c r="D192" s="18" t="s">
        <v>11</v>
      </c>
      <c r="E192" s="19">
        <v>1</v>
      </c>
      <c r="F192" s="20">
        <v>1410.09</v>
      </c>
      <c r="G192" s="21" t="s">
        <v>1</v>
      </c>
      <c r="H192" s="19">
        <v>1</v>
      </c>
      <c r="I192" s="20">
        <v>1410.09</v>
      </c>
      <c r="J192" s="19">
        <v>7.54</v>
      </c>
      <c r="K192" s="20">
        <v>10632.08</v>
      </c>
    </row>
    <row r="193" spans="1:11" ht="14" x14ac:dyDescent="0.25">
      <c r="C193" s="22" t="s">
        <v>267</v>
      </c>
      <c r="H193" s="143">
        <v>1410.09</v>
      </c>
      <c r="I193" s="143"/>
      <c r="J193" s="143">
        <v>10632.08</v>
      </c>
      <c r="K193" s="143"/>
    </row>
    <row r="195" spans="1:11" ht="82" x14ac:dyDescent="0.25">
      <c r="A195" s="17">
        <v>33</v>
      </c>
      <c r="B195" s="17" t="s">
        <v>409</v>
      </c>
      <c r="C195" s="17" t="s">
        <v>1870</v>
      </c>
      <c r="D195" s="18" t="s">
        <v>11</v>
      </c>
      <c r="E195" s="19">
        <v>1</v>
      </c>
      <c r="F195" s="20">
        <v>302.75</v>
      </c>
      <c r="G195" s="21" t="s">
        <v>1</v>
      </c>
      <c r="H195" s="19">
        <v>1</v>
      </c>
      <c r="I195" s="20">
        <v>302.75</v>
      </c>
      <c r="J195" s="19">
        <v>7.54</v>
      </c>
      <c r="K195" s="20">
        <v>2282.7399999999998</v>
      </c>
    </row>
    <row r="196" spans="1:11" ht="14" x14ac:dyDescent="0.25">
      <c r="C196" s="22" t="s">
        <v>267</v>
      </c>
      <c r="H196" s="143">
        <v>302.75</v>
      </c>
      <c r="I196" s="143"/>
      <c r="J196" s="143">
        <v>2282.7399999999998</v>
      </c>
      <c r="K196" s="143"/>
    </row>
    <row r="199" spans="1:11" ht="14" x14ac:dyDescent="0.3">
      <c r="A199" s="140" t="s">
        <v>1861</v>
      </c>
      <c r="B199" s="140"/>
      <c r="C199" s="140"/>
      <c r="D199" s="140"/>
      <c r="E199" s="140"/>
      <c r="F199" s="140"/>
      <c r="G199" s="140"/>
      <c r="H199" s="141">
        <v>7706.55</v>
      </c>
      <c r="I199" s="142"/>
      <c r="J199" s="141">
        <v>58107.39</v>
      </c>
      <c r="K199" s="142"/>
    </row>
    <row r="201" spans="1:11" ht="14" x14ac:dyDescent="0.3">
      <c r="A201" s="140" t="s">
        <v>435</v>
      </c>
      <c r="B201" s="140"/>
      <c r="C201" s="140"/>
      <c r="D201" s="140"/>
      <c r="E201" s="140"/>
      <c r="F201" s="140"/>
      <c r="G201" s="140"/>
      <c r="H201" s="141">
        <v>13384.17</v>
      </c>
      <c r="I201" s="142"/>
      <c r="J201" s="141">
        <v>126176.9</v>
      </c>
      <c r="K201" s="142"/>
    </row>
  </sheetData>
  <mergeCells count="110">
    <mergeCell ref="E17:H17"/>
    <mergeCell ref="E18:H18"/>
    <mergeCell ref="A21:K21"/>
    <mergeCell ref="E13:H13"/>
    <mergeCell ref="E14:H14"/>
    <mergeCell ref="E15:H15"/>
    <mergeCell ref="E16:H16"/>
    <mergeCell ref="J2:K2"/>
    <mergeCell ref="A3:K3"/>
    <mergeCell ref="A4:K4"/>
    <mergeCell ref="A6:K6"/>
    <mergeCell ref="A8:K8"/>
    <mergeCell ref="A9:K9"/>
    <mergeCell ref="H36:I36"/>
    <mergeCell ref="J36:K36"/>
    <mergeCell ref="H39:I39"/>
    <mergeCell ref="J39:K39"/>
    <mergeCell ref="H42:I42"/>
    <mergeCell ref="J42:K42"/>
    <mergeCell ref="A24:K24"/>
    <mergeCell ref="H32:I32"/>
    <mergeCell ref="J32:K32"/>
    <mergeCell ref="H33:I33"/>
    <mergeCell ref="J33:K33"/>
    <mergeCell ref="H54:I54"/>
    <mergeCell ref="J54:K54"/>
    <mergeCell ref="H57:I57"/>
    <mergeCell ref="J57:K57"/>
    <mergeCell ref="H60:I60"/>
    <mergeCell ref="J60:K60"/>
    <mergeCell ref="H45:I45"/>
    <mergeCell ref="J45:K45"/>
    <mergeCell ref="H48:I48"/>
    <mergeCell ref="J48:K48"/>
    <mergeCell ref="H51:I51"/>
    <mergeCell ref="J51:K51"/>
    <mergeCell ref="H80:I80"/>
    <mergeCell ref="J80:K80"/>
    <mergeCell ref="H81:I81"/>
    <mergeCell ref="J81:K81"/>
    <mergeCell ref="H63:I63"/>
    <mergeCell ref="J63:K63"/>
    <mergeCell ref="H66:I66"/>
    <mergeCell ref="J66:K66"/>
    <mergeCell ref="H69:I69"/>
    <mergeCell ref="J69:K69"/>
    <mergeCell ref="H99:I99"/>
    <mergeCell ref="J99:K99"/>
    <mergeCell ref="H100:I100"/>
    <mergeCell ref="J100:K100"/>
    <mergeCell ref="H84:I84"/>
    <mergeCell ref="J84:K84"/>
    <mergeCell ref="A87:G87"/>
    <mergeCell ref="H87:I87"/>
    <mergeCell ref="J87:K87"/>
    <mergeCell ref="A89:K89"/>
    <mergeCell ref="H127:I127"/>
    <mergeCell ref="J127:K127"/>
    <mergeCell ref="H138:I138"/>
    <mergeCell ref="J138:K138"/>
    <mergeCell ref="H115:I115"/>
    <mergeCell ref="J115:K115"/>
    <mergeCell ref="H126:I126"/>
    <mergeCell ref="J126:K126"/>
    <mergeCell ref="H111:I111"/>
    <mergeCell ref="J111:K111"/>
    <mergeCell ref="H112:I112"/>
    <mergeCell ref="J112:K112"/>
    <mergeCell ref="H148:I148"/>
    <mergeCell ref="J148:K148"/>
    <mergeCell ref="H151:I151"/>
    <mergeCell ref="J151:K151"/>
    <mergeCell ref="H154:I154"/>
    <mergeCell ref="J154:K154"/>
    <mergeCell ref="H139:I139"/>
    <mergeCell ref="J139:K139"/>
    <mergeCell ref="H147:I147"/>
    <mergeCell ref="J147:K147"/>
    <mergeCell ref="H168:I168"/>
    <mergeCell ref="J168:K168"/>
    <mergeCell ref="A171:G171"/>
    <mergeCell ref="H171:I171"/>
    <mergeCell ref="J171:K171"/>
    <mergeCell ref="A173:K173"/>
    <mergeCell ref="H157:I157"/>
    <mergeCell ref="J157:K157"/>
    <mergeCell ref="H167:I167"/>
    <mergeCell ref="J167:K167"/>
    <mergeCell ref="H184:I184"/>
    <mergeCell ref="J184:K184"/>
    <mergeCell ref="H187:I187"/>
    <mergeCell ref="J187:K187"/>
    <mergeCell ref="H190:I190"/>
    <mergeCell ref="J190:K190"/>
    <mergeCell ref="H175:I175"/>
    <mergeCell ref="J175:K175"/>
    <mergeCell ref="H178:I178"/>
    <mergeCell ref="J178:K178"/>
    <mergeCell ref="H181:I181"/>
    <mergeCell ref="J181:K181"/>
    <mergeCell ref="A201:G201"/>
    <mergeCell ref="H201:I201"/>
    <mergeCell ref="J201:K201"/>
    <mergeCell ref="H193:I193"/>
    <mergeCell ref="J193:K193"/>
    <mergeCell ref="H196:I196"/>
    <mergeCell ref="J196:K196"/>
    <mergeCell ref="A199:G199"/>
    <mergeCell ref="H199:I199"/>
    <mergeCell ref="J199:K19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6493-FC75-4A1B-AED7-EFBB14B3FAC8}">
  <dimension ref="A1:K228"/>
  <sheetViews>
    <sheetView workbookViewId="0">
      <selection activeCell="A3" sqref="A3:K3"/>
    </sheetView>
  </sheetViews>
  <sheetFormatPr defaultRowHeight="12.5" x14ac:dyDescent="0.25"/>
  <cols>
    <col min="1" max="1" width="5.54296875" customWidth="1"/>
    <col min="2" max="2" width="11.54296875" customWidth="1"/>
    <col min="3" max="3" width="40.54296875" customWidth="1"/>
    <col min="4" max="4" width="11.54296875" customWidth="1"/>
    <col min="5" max="5" width="7.453125" bestFit="1" customWidth="1"/>
    <col min="6" max="6" width="11.26953125" customWidth="1"/>
    <col min="7" max="7" width="8.453125" bestFit="1" customWidth="1"/>
    <col min="11" max="11" width="14.453125" customWidth="1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32.15" customHeight="1" x14ac:dyDescent="0.25">
      <c r="A3" s="161" t="str">
        <f>ССРСС!A11</f>
        <v>Выполнение работ по капитальному ремонту здания в Басманном районе ЦАО города Москвы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1757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1781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47" t="s">
        <v>235</v>
      </c>
      <c r="F13" s="147"/>
      <c r="G13" s="147"/>
      <c r="H13" s="147"/>
      <c r="I13" s="5">
        <v>35.229999999999997</v>
      </c>
      <c r="J13" s="5">
        <v>2010</v>
      </c>
      <c r="K13" s="6" t="s">
        <v>326</v>
      </c>
    </row>
    <row r="14" spans="1:11" ht="14" x14ac:dyDescent="0.3">
      <c r="A14" s="2"/>
      <c r="B14" s="2"/>
      <c r="C14" s="2"/>
      <c r="D14" s="2"/>
      <c r="E14" s="145" t="s">
        <v>238</v>
      </c>
      <c r="F14" s="145"/>
      <c r="G14" s="145"/>
      <c r="H14" s="145"/>
      <c r="I14" s="7">
        <v>35.229999999999997</v>
      </c>
      <c r="J14" s="7">
        <v>2010</v>
      </c>
      <c r="K14" s="2" t="s">
        <v>326</v>
      </c>
    </row>
    <row r="15" spans="1:11" ht="14" x14ac:dyDescent="0.3">
      <c r="A15" s="2"/>
      <c r="B15" s="2"/>
      <c r="C15" s="2"/>
      <c r="D15" s="2"/>
      <c r="E15" s="145" t="s">
        <v>239</v>
      </c>
      <c r="F15" s="145"/>
      <c r="G15" s="145"/>
      <c r="H15" s="145"/>
      <c r="I15" s="7">
        <v>16.78</v>
      </c>
      <c r="J15" s="7">
        <v>957.14</v>
      </c>
      <c r="K15" s="2" t="s">
        <v>326</v>
      </c>
    </row>
    <row r="16" spans="1:11" ht="14" x14ac:dyDescent="0.3">
      <c r="A16" s="2"/>
      <c r="B16" s="2"/>
      <c r="C16" s="2"/>
      <c r="D16" s="2"/>
      <c r="E16" s="145" t="s">
        <v>240</v>
      </c>
      <c r="F16" s="145"/>
      <c r="G16" s="145"/>
      <c r="H16" s="145"/>
      <c r="I16" s="7">
        <v>991.33</v>
      </c>
      <c r="J16" s="7"/>
      <c r="K16" s="2" t="s">
        <v>224</v>
      </c>
    </row>
    <row r="17" spans="1:11" ht="14" x14ac:dyDescent="0.3">
      <c r="A17" s="2"/>
      <c r="B17" s="2"/>
      <c r="C17" s="2"/>
      <c r="D17" s="2"/>
      <c r="E17" s="2"/>
      <c r="F17" s="26"/>
      <c r="G17" s="26"/>
      <c r="H17" s="26"/>
      <c r="I17" s="7"/>
      <c r="J17" s="7"/>
      <c r="K17" s="2"/>
    </row>
    <row r="18" spans="1:11" ht="14" x14ac:dyDescent="0.3">
      <c r="A18" s="2" t="s">
        <v>252</v>
      </c>
      <c r="B18" s="2"/>
      <c r="C18" s="2"/>
      <c r="D18" s="2"/>
      <c r="E18" s="2"/>
      <c r="F18" s="26"/>
      <c r="G18" s="26"/>
      <c r="H18" s="26"/>
      <c r="I18" s="7"/>
      <c r="J18" s="7"/>
      <c r="K18" s="2"/>
    </row>
    <row r="19" spans="1:11" ht="35.25" customHeight="1" x14ac:dyDescent="0.3">
      <c r="A19" s="146" t="s">
        <v>253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</row>
    <row r="20" spans="1:11" ht="112" x14ac:dyDescent="0.25">
      <c r="A20" s="8" t="s">
        <v>241</v>
      </c>
      <c r="B20" s="8" t="s">
        <v>242</v>
      </c>
      <c r="C20" s="8" t="s">
        <v>243</v>
      </c>
      <c r="D20" s="8" t="s">
        <v>244</v>
      </c>
      <c r="E20" s="8" t="s">
        <v>245</v>
      </c>
      <c r="F20" s="8" t="s">
        <v>246</v>
      </c>
      <c r="G20" s="9" t="s">
        <v>247</v>
      </c>
      <c r="H20" s="9" t="s">
        <v>248</v>
      </c>
      <c r="I20" s="8" t="s">
        <v>254</v>
      </c>
      <c r="J20" s="8" t="s">
        <v>249</v>
      </c>
      <c r="K20" s="8" t="s">
        <v>250</v>
      </c>
    </row>
    <row r="21" spans="1:11" ht="14" x14ac:dyDescent="0.25">
      <c r="A21" s="8">
        <v>1</v>
      </c>
      <c r="B21" s="8">
        <v>2</v>
      </c>
      <c r="C21" s="8">
        <v>3</v>
      </c>
      <c r="D21" s="8">
        <v>4</v>
      </c>
      <c r="E21" s="8">
        <v>5</v>
      </c>
      <c r="F21" s="8">
        <v>6</v>
      </c>
      <c r="G21" s="8">
        <v>7</v>
      </c>
      <c r="H21" s="8">
        <v>8</v>
      </c>
      <c r="I21" s="8">
        <v>9</v>
      </c>
      <c r="J21" s="8">
        <v>10</v>
      </c>
      <c r="K21" s="8">
        <v>11</v>
      </c>
    </row>
    <row r="22" spans="1:11" ht="16.5" x14ac:dyDescent="0.25">
      <c r="A22" s="144" t="s">
        <v>1782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ht="29" x14ac:dyDescent="0.25">
      <c r="A23" s="10">
        <v>1</v>
      </c>
      <c r="B23" s="10" t="s">
        <v>1758</v>
      </c>
      <c r="C23" s="10" t="s">
        <v>1746</v>
      </c>
      <c r="D23" s="12" t="s">
        <v>1759</v>
      </c>
      <c r="E23" s="11">
        <v>5</v>
      </c>
      <c r="F23" s="14"/>
      <c r="G23" s="13"/>
      <c r="H23" s="11"/>
      <c r="I23" s="14"/>
      <c r="J23" s="11"/>
      <c r="K23" s="14"/>
    </row>
    <row r="24" spans="1:11" ht="14.5" x14ac:dyDescent="0.25">
      <c r="A24" s="10"/>
      <c r="B24" s="10"/>
      <c r="C24" s="10" t="s">
        <v>256</v>
      </c>
      <c r="D24" s="12"/>
      <c r="E24" s="11"/>
      <c r="F24" s="14">
        <v>12.66</v>
      </c>
      <c r="G24" s="15" t="s">
        <v>1</v>
      </c>
      <c r="H24" s="11">
        <v>1</v>
      </c>
      <c r="I24" s="14">
        <v>63.3</v>
      </c>
      <c r="J24" s="11">
        <v>57.05</v>
      </c>
      <c r="K24" s="14">
        <v>3611.27</v>
      </c>
    </row>
    <row r="25" spans="1:11" ht="14.5" x14ac:dyDescent="0.25">
      <c r="A25" s="10"/>
      <c r="B25" s="10"/>
      <c r="C25" s="10" t="s">
        <v>260</v>
      </c>
      <c r="D25" s="12" t="s">
        <v>261</v>
      </c>
      <c r="E25" s="11">
        <v>74</v>
      </c>
      <c r="F25" s="14"/>
      <c r="G25" s="13"/>
      <c r="H25" s="11"/>
      <c r="I25" s="14">
        <v>46.84</v>
      </c>
      <c r="J25" s="11">
        <v>74</v>
      </c>
      <c r="K25" s="14">
        <v>2672.34</v>
      </c>
    </row>
    <row r="26" spans="1:11" ht="14.5" x14ac:dyDescent="0.25">
      <c r="A26" s="10"/>
      <c r="B26" s="10"/>
      <c r="C26" s="10" t="s">
        <v>262</v>
      </c>
      <c r="D26" s="12" t="s">
        <v>261</v>
      </c>
      <c r="E26" s="11">
        <v>36</v>
      </c>
      <c r="F26" s="14"/>
      <c r="G26" s="13"/>
      <c r="H26" s="11"/>
      <c r="I26" s="14">
        <v>22.79</v>
      </c>
      <c r="J26" s="11">
        <v>36</v>
      </c>
      <c r="K26" s="14">
        <v>1300.06</v>
      </c>
    </row>
    <row r="27" spans="1:11" ht="14.5" x14ac:dyDescent="0.25">
      <c r="A27" s="17"/>
      <c r="B27" s="17"/>
      <c r="C27" s="17" t="s">
        <v>263</v>
      </c>
      <c r="D27" s="18" t="s">
        <v>264</v>
      </c>
      <c r="E27" s="19">
        <v>0.8</v>
      </c>
      <c r="F27" s="20"/>
      <c r="G27" s="21" t="s">
        <v>1</v>
      </c>
      <c r="H27" s="19">
        <v>1</v>
      </c>
      <c r="I27" s="20">
        <v>4</v>
      </c>
      <c r="J27" s="19"/>
      <c r="K27" s="20"/>
    </row>
    <row r="28" spans="1:11" ht="14" x14ac:dyDescent="0.25">
      <c r="C28" s="22" t="s">
        <v>265</v>
      </c>
      <c r="H28" s="143">
        <v>132.93</v>
      </c>
      <c r="I28" s="143"/>
      <c r="J28" s="143">
        <v>7583.67</v>
      </c>
      <c r="K28" s="143"/>
    </row>
    <row r="29" spans="1:11" ht="14" x14ac:dyDescent="0.25">
      <c r="C29" s="22" t="s">
        <v>267</v>
      </c>
      <c r="H29" s="141">
        <v>132.93</v>
      </c>
      <c r="I29" s="141"/>
      <c r="J29" s="141">
        <v>7583.67</v>
      </c>
      <c r="K29" s="141"/>
    </row>
    <row r="31" spans="1:11" ht="43.5" x14ac:dyDescent="0.25">
      <c r="A31" s="10">
        <v>2</v>
      </c>
      <c r="B31" s="10" t="s">
        <v>1760</v>
      </c>
      <c r="C31" s="10" t="s">
        <v>1747</v>
      </c>
      <c r="D31" s="12" t="s">
        <v>1761</v>
      </c>
      <c r="E31" s="11">
        <v>128</v>
      </c>
      <c r="F31" s="14"/>
      <c r="G31" s="13"/>
      <c r="H31" s="11"/>
      <c r="I31" s="14"/>
      <c r="J31" s="11"/>
      <c r="K31" s="14"/>
    </row>
    <row r="32" spans="1:11" ht="37.5" x14ac:dyDescent="0.25">
      <c r="C32" s="23" t="s">
        <v>1762</v>
      </c>
    </row>
    <row r="33" spans="1:11" ht="14.5" x14ac:dyDescent="0.25">
      <c r="A33" s="10"/>
      <c r="B33" s="10"/>
      <c r="C33" s="10" t="s">
        <v>256</v>
      </c>
      <c r="D33" s="12"/>
      <c r="E33" s="11"/>
      <c r="F33" s="14">
        <v>12.66</v>
      </c>
      <c r="G33" s="15" t="s">
        <v>1</v>
      </c>
      <c r="H33" s="11">
        <v>1</v>
      </c>
      <c r="I33" s="14">
        <v>1620.48</v>
      </c>
      <c r="J33" s="11">
        <v>57.05</v>
      </c>
      <c r="K33" s="14">
        <v>92448.38</v>
      </c>
    </row>
    <row r="34" spans="1:11" ht="14.5" x14ac:dyDescent="0.25">
      <c r="A34" s="10"/>
      <c r="B34" s="10"/>
      <c r="C34" s="10" t="s">
        <v>260</v>
      </c>
      <c r="D34" s="12" t="s">
        <v>261</v>
      </c>
      <c r="E34" s="11">
        <v>74</v>
      </c>
      <c r="F34" s="14"/>
      <c r="G34" s="13"/>
      <c r="H34" s="11"/>
      <c r="I34" s="14">
        <v>1199.1600000000001</v>
      </c>
      <c r="J34" s="11">
        <v>74</v>
      </c>
      <c r="K34" s="14">
        <v>68411.8</v>
      </c>
    </row>
    <row r="35" spans="1:11" ht="14.5" x14ac:dyDescent="0.25">
      <c r="A35" s="10"/>
      <c r="B35" s="10"/>
      <c r="C35" s="10" t="s">
        <v>262</v>
      </c>
      <c r="D35" s="12" t="s">
        <v>261</v>
      </c>
      <c r="E35" s="11">
        <v>36</v>
      </c>
      <c r="F35" s="14"/>
      <c r="G35" s="13"/>
      <c r="H35" s="11"/>
      <c r="I35" s="14">
        <v>583.37</v>
      </c>
      <c r="J35" s="11">
        <v>36</v>
      </c>
      <c r="K35" s="14">
        <v>33281.42</v>
      </c>
    </row>
    <row r="36" spans="1:11" ht="14.5" x14ac:dyDescent="0.25">
      <c r="A36" s="17"/>
      <c r="B36" s="17"/>
      <c r="C36" s="17" t="s">
        <v>263</v>
      </c>
      <c r="D36" s="18" t="s">
        <v>264</v>
      </c>
      <c r="E36" s="19">
        <v>0.8</v>
      </c>
      <c r="F36" s="20"/>
      <c r="G36" s="21" t="s">
        <v>1</v>
      </c>
      <c r="H36" s="19">
        <v>1</v>
      </c>
      <c r="I36" s="20">
        <v>102.4</v>
      </c>
      <c r="J36" s="19"/>
      <c r="K36" s="20"/>
    </row>
    <row r="37" spans="1:11" ht="14" x14ac:dyDescent="0.25">
      <c r="C37" s="22" t="s">
        <v>265</v>
      </c>
      <c r="H37" s="143">
        <v>3403.01</v>
      </c>
      <c r="I37" s="143"/>
      <c r="J37" s="143">
        <v>194141.6</v>
      </c>
      <c r="K37" s="143"/>
    </row>
    <row r="38" spans="1:11" ht="14" x14ac:dyDescent="0.25">
      <c r="C38" s="22" t="s">
        <v>267</v>
      </c>
      <c r="H38" s="141">
        <v>3403.01</v>
      </c>
      <c r="I38" s="141"/>
      <c r="J38" s="141">
        <v>194141.6</v>
      </c>
      <c r="K38" s="141"/>
    </row>
    <row r="40" spans="1:11" ht="98" x14ac:dyDescent="0.25">
      <c r="A40" s="10">
        <v>3</v>
      </c>
      <c r="B40" s="10" t="s">
        <v>1763</v>
      </c>
      <c r="C40" s="10" t="s">
        <v>1748</v>
      </c>
      <c r="D40" s="12" t="s">
        <v>1759</v>
      </c>
      <c r="E40" s="11">
        <v>128</v>
      </c>
      <c r="F40" s="14"/>
      <c r="G40" s="13"/>
      <c r="H40" s="11"/>
      <c r="I40" s="14"/>
      <c r="J40" s="11"/>
      <c r="K40" s="14"/>
    </row>
    <row r="41" spans="1:11" ht="14.5" x14ac:dyDescent="0.25">
      <c r="A41" s="10"/>
      <c r="B41" s="10"/>
      <c r="C41" s="10" t="s">
        <v>256</v>
      </c>
      <c r="D41" s="12"/>
      <c r="E41" s="11"/>
      <c r="F41" s="14">
        <v>4.5599999999999996</v>
      </c>
      <c r="G41" s="15" t="s">
        <v>1</v>
      </c>
      <c r="H41" s="11">
        <v>1</v>
      </c>
      <c r="I41" s="14">
        <v>583.67999999999995</v>
      </c>
      <c r="J41" s="11">
        <v>57.05</v>
      </c>
      <c r="K41" s="14">
        <v>33298.94</v>
      </c>
    </row>
    <row r="42" spans="1:11" ht="14.5" x14ac:dyDescent="0.25">
      <c r="A42" s="10"/>
      <c r="B42" s="10"/>
      <c r="C42" s="10" t="s">
        <v>260</v>
      </c>
      <c r="D42" s="12" t="s">
        <v>261</v>
      </c>
      <c r="E42" s="11">
        <v>74</v>
      </c>
      <c r="F42" s="14"/>
      <c r="G42" s="13"/>
      <c r="H42" s="11"/>
      <c r="I42" s="14">
        <v>431.92</v>
      </c>
      <c r="J42" s="11">
        <v>74</v>
      </c>
      <c r="K42" s="14">
        <v>24641.22</v>
      </c>
    </row>
    <row r="43" spans="1:11" ht="14.5" x14ac:dyDescent="0.25">
      <c r="A43" s="10"/>
      <c r="B43" s="10"/>
      <c r="C43" s="10" t="s">
        <v>262</v>
      </c>
      <c r="D43" s="12" t="s">
        <v>261</v>
      </c>
      <c r="E43" s="11">
        <v>36</v>
      </c>
      <c r="F43" s="14"/>
      <c r="G43" s="13"/>
      <c r="H43" s="11"/>
      <c r="I43" s="14">
        <v>210.12</v>
      </c>
      <c r="J43" s="11">
        <v>36</v>
      </c>
      <c r="K43" s="14">
        <v>11987.62</v>
      </c>
    </row>
    <row r="44" spans="1:11" ht="14.5" x14ac:dyDescent="0.25">
      <c r="A44" s="17"/>
      <c r="B44" s="17"/>
      <c r="C44" s="17" t="s">
        <v>263</v>
      </c>
      <c r="D44" s="18" t="s">
        <v>264</v>
      </c>
      <c r="E44" s="19">
        <v>0.28999999999999998</v>
      </c>
      <c r="F44" s="20"/>
      <c r="G44" s="21" t="s">
        <v>1</v>
      </c>
      <c r="H44" s="19">
        <v>1</v>
      </c>
      <c r="I44" s="20">
        <v>37.119999999999997</v>
      </c>
      <c r="J44" s="19"/>
      <c r="K44" s="20"/>
    </row>
    <row r="45" spans="1:11" ht="14" x14ac:dyDescent="0.25">
      <c r="C45" s="22" t="s">
        <v>265</v>
      </c>
      <c r="H45" s="143">
        <v>1225.72</v>
      </c>
      <c r="I45" s="143"/>
      <c r="J45" s="143">
        <v>69927.78</v>
      </c>
      <c r="K45" s="143"/>
    </row>
    <row r="46" spans="1:11" ht="14" x14ac:dyDescent="0.25">
      <c r="C46" s="22" t="s">
        <v>267</v>
      </c>
      <c r="H46" s="141">
        <v>1225.72</v>
      </c>
      <c r="I46" s="141"/>
      <c r="J46" s="141">
        <v>69927.78</v>
      </c>
      <c r="K46" s="141"/>
    </row>
    <row r="48" spans="1:11" ht="42" x14ac:dyDescent="0.25">
      <c r="A48" s="10">
        <v>4</v>
      </c>
      <c r="B48" s="10" t="s">
        <v>1764</v>
      </c>
      <c r="C48" s="10" t="s">
        <v>1749</v>
      </c>
      <c r="D48" s="12" t="s">
        <v>1765</v>
      </c>
      <c r="E48" s="11">
        <v>10</v>
      </c>
      <c r="F48" s="14"/>
      <c r="G48" s="13"/>
      <c r="H48" s="11"/>
      <c r="I48" s="14"/>
      <c r="J48" s="11"/>
      <c r="K48" s="14"/>
    </row>
    <row r="49" spans="1:11" x14ac:dyDescent="0.25">
      <c r="C49" s="23" t="s">
        <v>714</v>
      </c>
    </row>
    <row r="50" spans="1:11" ht="14.5" x14ac:dyDescent="0.25">
      <c r="A50" s="10"/>
      <c r="B50" s="10"/>
      <c r="C50" s="10" t="s">
        <v>256</v>
      </c>
      <c r="D50" s="12"/>
      <c r="E50" s="11"/>
      <c r="F50" s="14">
        <v>1.9</v>
      </c>
      <c r="G50" s="15" t="s">
        <v>1</v>
      </c>
      <c r="H50" s="11">
        <v>1</v>
      </c>
      <c r="I50" s="14">
        <v>19</v>
      </c>
      <c r="J50" s="11">
        <v>57.05</v>
      </c>
      <c r="K50" s="14">
        <v>1083.95</v>
      </c>
    </row>
    <row r="51" spans="1:11" ht="14.5" x14ac:dyDescent="0.25">
      <c r="A51" s="10"/>
      <c r="B51" s="10"/>
      <c r="C51" s="10" t="s">
        <v>260</v>
      </c>
      <c r="D51" s="12" t="s">
        <v>261</v>
      </c>
      <c r="E51" s="11">
        <v>74</v>
      </c>
      <c r="F51" s="14"/>
      <c r="G51" s="13"/>
      <c r="H51" s="11"/>
      <c r="I51" s="14">
        <v>14.06</v>
      </c>
      <c r="J51" s="11">
        <v>74</v>
      </c>
      <c r="K51" s="14">
        <v>802.12</v>
      </c>
    </row>
    <row r="52" spans="1:11" ht="14.5" x14ac:dyDescent="0.25">
      <c r="A52" s="10"/>
      <c r="B52" s="10"/>
      <c r="C52" s="10" t="s">
        <v>262</v>
      </c>
      <c r="D52" s="12" t="s">
        <v>261</v>
      </c>
      <c r="E52" s="11">
        <v>36</v>
      </c>
      <c r="F52" s="14"/>
      <c r="G52" s="13"/>
      <c r="H52" s="11"/>
      <c r="I52" s="14">
        <v>6.84</v>
      </c>
      <c r="J52" s="11">
        <v>36</v>
      </c>
      <c r="K52" s="14">
        <v>390.22</v>
      </c>
    </row>
    <row r="53" spans="1:11" ht="14.5" x14ac:dyDescent="0.25">
      <c r="A53" s="17"/>
      <c r="B53" s="17"/>
      <c r="C53" s="17" t="s">
        <v>263</v>
      </c>
      <c r="D53" s="18" t="s">
        <v>264</v>
      </c>
      <c r="E53" s="19">
        <v>0.12</v>
      </c>
      <c r="F53" s="20"/>
      <c r="G53" s="21" t="s">
        <v>1</v>
      </c>
      <c r="H53" s="19">
        <v>1</v>
      </c>
      <c r="I53" s="20">
        <v>1.2</v>
      </c>
      <c r="J53" s="19"/>
      <c r="K53" s="20"/>
    </row>
    <row r="54" spans="1:11" ht="14" x14ac:dyDescent="0.25">
      <c r="C54" s="22" t="s">
        <v>265</v>
      </c>
      <c r="H54" s="143">
        <v>39.9</v>
      </c>
      <c r="I54" s="143"/>
      <c r="J54" s="143">
        <v>2276.29</v>
      </c>
      <c r="K54" s="143"/>
    </row>
    <row r="55" spans="1:11" ht="14" x14ac:dyDescent="0.25">
      <c r="C55" s="22" t="s">
        <v>267</v>
      </c>
      <c r="H55" s="141">
        <v>39.9</v>
      </c>
      <c r="I55" s="141"/>
      <c r="J55" s="141">
        <v>2276.29</v>
      </c>
      <c r="K55" s="141"/>
    </row>
    <row r="57" spans="1:11" ht="42" x14ac:dyDescent="0.25">
      <c r="A57" s="10">
        <v>5</v>
      </c>
      <c r="B57" s="10" t="s">
        <v>1766</v>
      </c>
      <c r="C57" s="10" t="s">
        <v>1750</v>
      </c>
      <c r="D57" s="12" t="s">
        <v>1767</v>
      </c>
      <c r="E57" s="11">
        <v>5</v>
      </c>
      <c r="F57" s="14"/>
      <c r="G57" s="13"/>
      <c r="H57" s="11"/>
      <c r="I57" s="14"/>
      <c r="J57" s="11"/>
      <c r="K57" s="14"/>
    </row>
    <row r="58" spans="1:11" ht="14.5" x14ac:dyDescent="0.25">
      <c r="A58" s="10"/>
      <c r="B58" s="10"/>
      <c r="C58" s="10" t="s">
        <v>256</v>
      </c>
      <c r="D58" s="12"/>
      <c r="E58" s="11"/>
      <c r="F58" s="14">
        <v>11.39</v>
      </c>
      <c r="G58" s="15" t="s">
        <v>1</v>
      </c>
      <c r="H58" s="11">
        <v>1</v>
      </c>
      <c r="I58" s="14">
        <v>56.95</v>
      </c>
      <c r="J58" s="11">
        <v>57.05</v>
      </c>
      <c r="K58" s="14">
        <v>3249</v>
      </c>
    </row>
    <row r="59" spans="1:11" ht="14.5" x14ac:dyDescent="0.25">
      <c r="A59" s="10"/>
      <c r="B59" s="10"/>
      <c r="C59" s="10" t="s">
        <v>260</v>
      </c>
      <c r="D59" s="12" t="s">
        <v>261</v>
      </c>
      <c r="E59" s="11">
        <v>74</v>
      </c>
      <c r="F59" s="14"/>
      <c r="G59" s="13"/>
      <c r="H59" s="11"/>
      <c r="I59" s="14">
        <v>42.14</v>
      </c>
      <c r="J59" s="11">
        <v>74</v>
      </c>
      <c r="K59" s="14">
        <v>2404.2600000000002</v>
      </c>
    </row>
    <row r="60" spans="1:11" ht="14.5" x14ac:dyDescent="0.25">
      <c r="A60" s="10"/>
      <c r="B60" s="10"/>
      <c r="C60" s="10" t="s">
        <v>262</v>
      </c>
      <c r="D60" s="12" t="s">
        <v>261</v>
      </c>
      <c r="E60" s="11">
        <v>36</v>
      </c>
      <c r="F60" s="14"/>
      <c r="G60" s="13"/>
      <c r="H60" s="11"/>
      <c r="I60" s="14">
        <v>20.5</v>
      </c>
      <c r="J60" s="11">
        <v>36</v>
      </c>
      <c r="K60" s="14">
        <v>1169.6400000000001</v>
      </c>
    </row>
    <row r="61" spans="1:11" ht="14.5" x14ac:dyDescent="0.25">
      <c r="A61" s="17"/>
      <c r="B61" s="17"/>
      <c r="C61" s="17" t="s">
        <v>263</v>
      </c>
      <c r="D61" s="18" t="s">
        <v>264</v>
      </c>
      <c r="E61" s="19">
        <v>0.72</v>
      </c>
      <c r="F61" s="20"/>
      <c r="G61" s="21" t="s">
        <v>1</v>
      </c>
      <c r="H61" s="19">
        <v>1</v>
      </c>
      <c r="I61" s="20">
        <v>3.6</v>
      </c>
      <c r="J61" s="19"/>
      <c r="K61" s="20"/>
    </row>
    <row r="62" spans="1:11" ht="14" x14ac:dyDescent="0.25">
      <c r="C62" s="22" t="s">
        <v>265</v>
      </c>
      <c r="H62" s="143">
        <v>119.59</v>
      </c>
      <c r="I62" s="143"/>
      <c r="J62" s="143">
        <v>6822.9</v>
      </c>
      <c r="K62" s="143"/>
    </row>
    <row r="63" spans="1:11" ht="14" x14ac:dyDescent="0.25">
      <c r="C63" s="22" t="s">
        <v>267</v>
      </c>
      <c r="H63" s="141">
        <v>119.59</v>
      </c>
      <c r="I63" s="141"/>
      <c r="J63" s="141">
        <v>6822.9</v>
      </c>
      <c r="K63" s="141"/>
    </row>
    <row r="66" spans="1:11" ht="14" x14ac:dyDescent="0.3">
      <c r="A66" s="140" t="s">
        <v>1783</v>
      </c>
      <c r="B66" s="140"/>
      <c r="C66" s="140"/>
      <c r="D66" s="140"/>
      <c r="E66" s="140"/>
      <c r="F66" s="140"/>
      <c r="G66" s="140"/>
      <c r="H66" s="141">
        <v>4921.1499999999996</v>
      </c>
      <c r="I66" s="142"/>
      <c r="J66" s="141">
        <v>280752.24</v>
      </c>
      <c r="K66" s="142"/>
    </row>
    <row r="68" spans="1:11" ht="16.5" x14ac:dyDescent="0.25">
      <c r="A68" s="144" t="s">
        <v>1784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</row>
    <row r="69" spans="1:11" ht="112" x14ac:dyDescent="0.25">
      <c r="A69" s="10">
        <v>6</v>
      </c>
      <c r="B69" s="10" t="s">
        <v>1768</v>
      </c>
      <c r="C69" s="10" t="s">
        <v>1751</v>
      </c>
      <c r="D69" s="12" t="s">
        <v>1769</v>
      </c>
      <c r="E69" s="11">
        <v>25</v>
      </c>
      <c r="F69" s="14"/>
      <c r="G69" s="13"/>
      <c r="H69" s="11"/>
      <c r="I69" s="14"/>
      <c r="J69" s="11"/>
      <c r="K69" s="14"/>
    </row>
    <row r="70" spans="1:11" ht="37.5" x14ac:dyDescent="0.25">
      <c r="C70" s="23" t="s">
        <v>875</v>
      </c>
    </row>
    <row r="71" spans="1:11" ht="14.5" x14ac:dyDescent="0.25">
      <c r="A71" s="10"/>
      <c r="B71" s="10"/>
      <c r="C71" s="10" t="s">
        <v>256</v>
      </c>
      <c r="D71" s="12"/>
      <c r="E71" s="11"/>
      <c r="F71" s="14">
        <v>87.74</v>
      </c>
      <c r="G71" s="15" t="s">
        <v>1</v>
      </c>
      <c r="H71" s="11">
        <v>1</v>
      </c>
      <c r="I71" s="14">
        <v>2193.5</v>
      </c>
      <c r="J71" s="11">
        <v>57.05</v>
      </c>
      <c r="K71" s="14">
        <v>125139.18</v>
      </c>
    </row>
    <row r="72" spans="1:11" ht="14.5" x14ac:dyDescent="0.25">
      <c r="A72" s="10"/>
      <c r="B72" s="10"/>
      <c r="C72" s="10" t="s">
        <v>260</v>
      </c>
      <c r="D72" s="12" t="s">
        <v>261</v>
      </c>
      <c r="E72" s="11">
        <v>74</v>
      </c>
      <c r="F72" s="14"/>
      <c r="G72" s="13"/>
      <c r="H72" s="11"/>
      <c r="I72" s="14">
        <v>1623.19</v>
      </c>
      <c r="J72" s="11">
        <v>74</v>
      </c>
      <c r="K72" s="14">
        <v>92602.99</v>
      </c>
    </row>
    <row r="73" spans="1:11" ht="14.5" x14ac:dyDescent="0.25">
      <c r="A73" s="10"/>
      <c r="B73" s="10"/>
      <c r="C73" s="10" t="s">
        <v>262</v>
      </c>
      <c r="D73" s="12" t="s">
        <v>261</v>
      </c>
      <c r="E73" s="11">
        <v>36</v>
      </c>
      <c r="F73" s="14"/>
      <c r="G73" s="13"/>
      <c r="H73" s="11"/>
      <c r="I73" s="14">
        <v>789.66</v>
      </c>
      <c r="J73" s="11">
        <v>36</v>
      </c>
      <c r="K73" s="14">
        <v>45050.1</v>
      </c>
    </row>
    <row r="74" spans="1:11" ht="14.5" x14ac:dyDescent="0.25">
      <c r="A74" s="17"/>
      <c r="B74" s="17"/>
      <c r="C74" s="17" t="s">
        <v>263</v>
      </c>
      <c r="D74" s="18" t="s">
        <v>264</v>
      </c>
      <c r="E74" s="19">
        <v>4.96</v>
      </c>
      <c r="F74" s="20"/>
      <c r="G74" s="21" t="s">
        <v>1</v>
      </c>
      <c r="H74" s="19">
        <v>1</v>
      </c>
      <c r="I74" s="20">
        <v>124</v>
      </c>
      <c r="J74" s="19"/>
      <c r="K74" s="20"/>
    </row>
    <row r="75" spans="1:11" ht="14" x14ac:dyDescent="0.25">
      <c r="C75" s="22" t="s">
        <v>265</v>
      </c>
      <c r="H75" s="143">
        <v>4606.3500000000004</v>
      </c>
      <c r="I75" s="143"/>
      <c r="J75" s="143">
        <v>262792.27</v>
      </c>
      <c r="K75" s="143"/>
    </row>
    <row r="76" spans="1:11" ht="14" x14ac:dyDescent="0.25">
      <c r="C76" s="22" t="s">
        <v>267</v>
      </c>
      <c r="H76" s="141">
        <v>4606.3500000000004</v>
      </c>
      <c r="I76" s="141"/>
      <c r="J76" s="141">
        <v>262792.27</v>
      </c>
      <c r="K76" s="141"/>
    </row>
    <row r="79" spans="1:11" ht="14" x14ac:dyDescent="0.3">
      <c r="A79" s="140" t="s">
        <v>895</v>
      </c>
      <c r="B79" s="140"/>
      <c r="C79" s="140"/>
      <c r="D79" s="140"/>
      <c r="E79" s="140"/>
      <c r="F79" s="140"/>
      <c r="G79" s="140"/>
      <c r="H79" s="141">
        <v>4606.3500000000004</v>
      </c>
      <c r="I79" s="142"/>
      <c r="J79" s="141">
        <v>262792.27</v>
      </c>
      <c r="K79" s="142"/>
    </row>
    <row r="81" spans="1:11" ht="16.5" x14ac:dyDescent="0.25">
      <c r="A81" s="144" t="s">
        <v>1785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</row>
    <row r="82" spans="1:11" ht="14.5" x14ac:dyDescent="0.25">
      <c r="A82" s="10">
        <v>7</v>
      </c>
      <c r="B82" s="10" t="s">
        <v>1770</v>
      </c>
      <c r="C82" s="10" t="s">
        <v>1752</v>
      </c>
      <c r="D82" s="12" t="s">
        <v>24</v>
      </c>
      <c r="E82" s="11">
        <v>1</v>
      </c>
      <c r="F82" s="14"/>
      <c r="G82" s="13"/>
      <c r="H82" s="11"/>
      <c r="I82" s="14"/>
      <c r="J82" s="11"/>
      <c r="K82" s="14"/>
    </row>
    <row r="83" spans="1:11" ht="14.5" x14ac:dyDescent="0.25">
      <c r="A83" s="10"/>
      <c r="B83" s="10"/>
      <c r="C83" s="10" t="s">
        <v>256</v>
      </c>
      <c r="D83" s="12"/>
      <c r="E83" s="11"/>
      <c r="F83" s="14">
        <v>30.78</v>
      </c>
      <c r="G83" s="15" t="s">
        <v>1</v>
      </c>
      <c r="H83" s="11">
        <v>1</v>
      </c>
      <c r="I83" s="14">
        <v>30.78</v>
      </c>
      <c r="J83" s="11">
        <v>57.05</v>
      </c>
      <c r="K83" s="14">
        <v>1756</v>
      </c>
    </row>
    <row r="84" spans="1:11" ht="14.5" x14ac:dyDescent="0.25">
      <c r="A84" s="10"/>
      <c r="B84" s="10"/>
      <c r="C84" s="10" t="s">
        <v>260</v>
      </c>
      <c r="D84" s="12" t="s">
        <v>261</v>
      </c>
      <c r="E84" s="11">
        <v>74</v>
      </c>
      <c r="F84" s="14"/>
      <c r="G84" s="13"/>
      <c r="H84" s="11"/>
      <c r="I84" s="14">
        <v>22.78</v>
      </c>
      <c r="J84" s="11">
        <v>74</v>
      </c>
      <c r="K84" s="14">
        <v>1299.44</v>
      </c>
    </row>
    <row r="85" spans="1:11" ht="14.5" x14ac:dyDescent="0.25">
      <c r="A85" s="10"/>
      <c r="B85" s="10"/>
      <c r="C85" s="10" t="s">
        <v>262</v>
      </c>
      <c r="D85" s="12" t="s">
        <v>261</v>
      </c>
      <c r="E85" s="11">
        <v>36</v>
      </c>
      <c r="F85" s="14"/>
      <c r="G85" s="13"/>
      <c r="H85" s="11"/>
      <c r="I85" s="14">
        <v>11.08</v>
      </c>
      <c r="J85" s="11">
        <v>36</v>
      </c>
      <c r="K85" s="14">
        <v>632.16</v>
      </c>
    </row>
    <row r="86" spans="1:11" ht="14.5" x14ac:dyDescent="0.25">
      <c r="A86" s="17"/>
      <c r="B86" s="17"/>
      <c r="C86" s="17" t="s">
        <v>263</v>
      </c>
      <c r="D86" s="18" t="s">
        <v>264</v>
      </c>
      <c r="E86" s="19">
        <v>1.66</v>
      </c>
      <c r="F86" s="20"/>
      <c r="G86" s="21" t="s">
        <v>1</v>
      </c>
      <c r="H86" s="19">
        <v>1</v>
      </c>
      <c r="I86" s="20">
        <v>1.66</v>
      </c>
      <c r="J86" s="19"/>
      <c r="K86" s="20"/>
    </row>
    <row r="87" spans="1:11" ht="14" x14ac:dyDescent="0.25">
      <c r="C87" s="22" t="s">
        <v>265</v>
      </c>
      <c r="H87" s="143">
        <v>64.64</v>
      </c>
      <c r="I87" s="143"/>
      <c r="J87" s="143">
        <v>3687.6</v>
      </c>
      <c r="K87" s="143"/>
    </row>
    <row r="88" spans="1:11" ht="14" x14ac:dyDescent="0.25">
      <c r="C88" s="22" t="s">
        <v>267</v>
      </c>
      <c r="H88" s="141">
        <v>64.64</v>
      </c>
      <c r="I88" s="141"/>
      <c r="J88" s="141">
        <v>3687.6</v>
      </c>
      <c r="K88" s="141"/>
    </row>
    <row r="90" spans="1:11" ht="42" x14ac:dyDescent="0.25">
      <c r="A90" s="10">
        <v>8</v>
      </c>
      <c r="B90" s="10" t="s">
        <v>1771</v>
      </c>
      <c r="C90" s="10" t="s">
        <v>1753</v>
      </c>
      <c r="D90" s="12" t="s">
        <v>24</v>
      </c>
      <c r="E90" s="11">
        <v>107</v>
      </c>
      <c r="F90" s="14"/>
      <c r="G90" s="13"/>
      <c r="H90" s="11"/>
      <c r="I90" s="14"/>
      <c r="J90" s="11"/>
      <c r="K90" s="14"/>
    </row>
    <row r="91" spans="1:11" x14ac:dyDescent="0.25">
      <c r="C91" s="23" t="s">
        <v>1772</v>
      </c>
    </row>
    <row r="92" spans="1:11" ht="14.5" x14ac:dyDescent="0.25">
      <c r="A92" s="10"/>
      <c r="B92" s="10"/>
      <c r="C92" s="10" t="s">
        <v>256</v>
      </c>
      <c r="D92" s="12"/>
      <c r="E92" s="11"/>
      <c r="F92" s="14">
        <v>18.510000000000002</v>
      </c>
      <c r="G92" s="15" t="s">
        <v>1</v>
      </c>
      <c r="H92" s="11">
        <v>1</v>
      </c>
      <c r="I92" s="14">
        <v>1980.57</v>
      </c>
      <c r="J92" s="11">
        <v>57.05</v>
      </c>
      <c r="K92" s="14">
        <v>112991.52</v>
      </c>
    </row>
    <row r="93" spans="1:11" ht="14.5" x14ac:dyDescent="0.25">
      <c r="A93" s="10"/>
      <c r="B93" s="10"/>
      <c r="C93" s="10" t="s">
        <v>260</v>
      </c>
      <c r="D93" s="12" t="s">
        <v>261</v>
      </c>
      <c r="E93" s="11">
        <v>74</v>
      </c>
      <c r="F93" s="14"/>
      <c r="G93" s="13"/>
      <c r="H93" s="11"/>
      <c r="I93" s="14">
        <v>1465.62</v>
      </c>
      <c r="J93" s="11">
        <v>74</v>
      </c>
      <c r="K93" s="14">
        <v>83613.72</v>
      </c>
    </row>
    <row r="94" spans="1:11" ht="14.5" x14ac:dyDescent="0.25">
      <c r="A94" s="10"/>
      <c r="B94" s="10"/>
      <c r="C94" s="10" t="s">
        <v>262</v>
      </c>
      <c r="D94" s="12" t="s">
        <v>261</v>
      </c>
      <c r="E94" s="11">
        <v>36</v>
      </c>
      <c r="F94" s="14"/>
      <c r="G94" s="13"/>
      <c r="H94" s="11"/>
      <c r="I94" s="14">
        <v>713.01</v>
      </c>
      <c r="J94" s="11">
        <v>36</v>
      </c>
      <c r="K94" s="14">
        <v>40676.949999999997</v>
      </c>
    </row>
    <row r="95" spans="1:11" ht="14.5" x14ac:dyDescent="0.25">
      <c r="A95" s="17"/>
      <c r="B95" s="17"/>
      <c r="C95" s="17" t="s">
        <v>263</v>
      </c>
      <c r="D95" s="18" t="s">
        <v>264</v>
      </c>
      <c r="E95" s="19">
        <v>1.27</v>
      </c>
      <c r="F95" s="20"/>
      <c r="G95" s="21" t="s">
        <v>1</v>
      </c>
      <c r="H95" s="19">
        <v>1</v>
      </c>
      <c r="I95" s="20">
        <v>135.88999999999999</v>
      </c>
      <c r="J95" s="19"/>
      <c r="K95" s="20"/>
    </row>
    <row r="96" spans="1:11" ht="14" x14ac:dyDescent="0.25">
      <c r="C96" s="22" t="s">
        <v>265</v>
      </c>
      <c r="H96" s="143">
        <v>4159.2</v>
      </c>
      <c r="I96" s="143"/>
      <c r="J96" s="143">
        <v>237282.19</v>
      </c>
      <c r="K96" s="143"/>
    </row>
    <row r="97" spans="1:11" ht="14" x14ac:dyDescent="0.25">
      <c r="C97" s="22" t="s">
        <v>267</v>
      </c>
      <c r="H97" s="141">
        <v>4159.2</v>
      </c>
      <c r="I97" s="141"/>
      <c r="J97" s="141">
        <v>237282.19</v>
      </c>
      <c r="K97" s="141"/>
    </row>
    <row r="100" spans="1:11" ht="14" x14ac:dyDescent="0.3">
      <c r="A100" s="140" t="s">
        <v>1786</v>
      </c>
      <c r="B100" s="140"/>
      <c r="C100" s="140"/>
      <c r="D100" s="140"/>
      <c r="E100" s="140"/>
      <c r="F100" s="140"/>
      <c r="G100" s="140"/>
      <c r="H100" s="141">
        <v>4223.84</v>
      </c>
      <c r="I100" s="142"/>
      <c r="J100" s="141">
        <v>240969.79</v>
      </c>
      <c r="K100" s="142"/>
    </row>
    <row r="102" spans="1:11" ht="16.5" x14ac:dyDescent="0.25">
      <c r="A102" s="144" t="s">
        <v>1787</v>
      </c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</row>
    <row r="103" spans="1:11" ht="14.5" x14ac:dyDescent="0.25">
      <c r="A103" s="10">
        <v>9</v>
      </c>
      <c r="B103" s="10" t="s">
        <v>1770</v>
      </c>
      <c r="C103" s="10" t="s">
        <v>1752</v>
      </c>
      <c r="D103" s="12" t="s">
        <v>24</v>
      </c>
      <c r="E103" s="11">
        <v>1</v>
      </c>
      <c r="F103" s="14"/>
      <c r="G103" s="13"/>
      <c r="H103" s="11"/>
      <c r="I103" s="14"/>
      <c r="J103" s="11"/>
      <c r="K103" s="14"/>
    </row>
    <row r="104" spans="1:11" ht="14.5" x14ac:dyDescent="0.25">
      <c r="A104" s="10"/>
      <c r="B104" s="10"/>
      <c r="C104" s="10" t="s">
        <v>256</v>
      </c>
      <c r="D104" s="12"/>
      <c r="E104" s="11"/>
      <c r="F104" s="14">
        <v>30.78</v>
      </c>
      <c r="G104" s="15" t="s">
        <v>1</v>
      </c>
      <c r="H104" s="11">
        <v>1</v>
      </c>
      <c r="I104" s="14">
        <v>30.78</v>
      </c>
      <c r="J104" s="11">
        <v>57.05</v>
      </c>
      <c r="K104" s="14">
        <v>1756</v>
      </c>
    </row>
    <row r="105" spans="1:11" ht="14.5" x14ac:dyDescent="0.25">
      <c r="A105" s="10"/>
      <c r="B105" s="10"/>
      <c r="C105" s="10" t="s">
        <v>260</v>
      </c>
      <c r="D105" s="12" t="s">
        <v>261</v>
      </c>
      <c r="E105" s="11">
        <v>74</v>
      </c>
      <c r="F105" s="14"/>
      <c r="G105" s="13"/>
      <c r="H105" s="11"/>
      <c r="I105" s="14">
        <v>22.78</v>
      </c>
      <c r="J105" s="11">
        <v>74</v>
      </c>
      <c r="K105" s="14">
        <v>1299.44</v>
      </c>
    </row>
    <row r="106" spans="1:11" ht="14.5" x14ac:dyDescent="0.25">
      <c r="A106" s="10"/>
      <c r="B106" s="10"/>
      <c r="C106" s="10" t="s">
        <v>262</v>
      </c>
      <c r="D106" s="12" t="s">
        <v>261</v>
      </c>
      <c r="E106" s="11">
        <v>36</v>
      </c>
      <c r="F106" s="14"/>
      <c r="G106" s="13"/>
      <c r="H106" s="11"/>
      <c r="I106" s="14">
        <v>11.08</v>
      </c>
      <c r="J106" s="11">
        <v>36</v>
      </c>
      <c r="K106" s="14">
        <v>632.16</v>
      </c>
    </row>
    <row r="107" spans="1:11" ht="14.5" x14ac:dyDescent="0.25">
      <c r="A107" s="17"/>
      <c r="B107" s="17"/>
      <c r="C107" s="17" t="s">
        <v>263</v>
      </c>
      <c r="D107" s="18" t="s">
        <v>264</v>
      </c>
      <c r="E107" s="19">
        <v>1.66</v>
      </c>
      <c r="F107" s="20"/>
      <c r="G107" s="21" t="s">
        <v>1</v>
      </c>
      <c r="H107" s="19">
        <v>1</v>
      </c>
      <c r="I107" s="20">
        <v>1.66</v>
      </c>
      <c r="J107" s="19"/>
      <c r="K107" s="20"/>
    </row>
    <row r="108" spans="1:11" ht="14" x14ac:dyDescent="0.25">
      <c r="C108" s="22" t="s">
        <v>265</v>
      </c>
      <c r="H108" s="143">
        <v>64.64</v>
      </c>
      <c r="I108" s="143"/>
      <c r="J108" s="143">
        <v>3687.6</v>
      </c>
      <c r="K108" s="143"/>
    </row>
    <row r="109" spans="1:11" ht="14" x14ac:dyDescent="0.25">
      <c r="C109" s="22" t="s">
        <v>267</v>
      </c>
      <c r="H109" s="141">
        <v>64.64</v>
      </c>
      <c r="I109" s="141"/>
      <c r="J109" s="141">
        <v>3687.6</v>
      </c>
      <c r="K109" s="141"/>
    </row>
    <row r="111" spans="1:11" ht="42" x14ac:dyDescent="0.25">
      <c r="A111" s="10">
        <v>10</v>
      </c>
      <c r="B111" s="10" t="s">
        <v>1771</v>
      </c>
      <c r="C111" s="10" t="s">
        <v>1753</v>
      </c>
      <c r="D111" s="12" t="s">
        <v>24</v>
      </c>
      <c r="E111" s="11">
        <v>35</v>
      </c>
      <c r="F111" s="14"/>
      <c r="G111" s="13"/>
      <c r="H111" s="11"/>
      <c r="I111" s="14"/>
      <c r="J111" s="11"/>
      <c r="K111" s="14"/>
    </row>
    <row r="112" spans="1:11" x14ac:dyDescent="0.25">
      <c r="C112" s="23" t="s">
        <v>1773</v>
      </c>
    </row>
    <row r="113" spans="1:11" ht="14.5" x14ac:dyDescent="0.25">
      <c r="A113" s="10"/>
      <c r="B113" s="10"/>
      <c r="C113" s="10" t="s">
        <v>256</v>
      </c>
      <c r="D113" s="12"/>
      <c r="E113" s="11"/>
      <c r="F113" s="14">
        <v>18.510000000000002</v>
      </c>
      <c r="G113" s="15" t="s">
        <v>1</v>
      </c>
      <c r="H113" s="11">
        <v>1</v>
      </c>
      <c r="I113" s="14">
        <v>647.85</v>
      </c>
      <c r="J113" s="11">
        <v>57.05</v>
      </c>
      <c r="K113" s="14">
        <v>36959.839999999997</v>
      </c>
    </row>
    <row r="114" spans="1:11" ht="14.5" x14ac:dyDescent="0.25">
      <c r="A114" s="10"/>
      <c r="B114" s="10"/>
      <c r="C114" s="10" t="s">
        <v>260</v>
      </c>
      <c r="D114" s="12" t="s">
        <v>261</v>
      </c>
      <c r="E114" s="11">
        <v>74</v>
      </c>
      <c r="F114" s="14"/>
      <c r="G114" s="13"/>
      <c r="H114" s="11"/>
      <c r="I114" s="14">
        <v>479.41</v>
      </c>
      <c r="J114" s="11">
        <v>74</v>
      </c>
      <c r="K114" s="14">
        <v>27350.28</v>
      </c>
    </row>
    <row r="115" spans="1:11" ht="14.5" x14ac:dyDescent="0.25">
      <c r="A115" s="10"/>
      <c r="B115" s="10"/>
      <c r="C115" s="10" t="s">
        <v>262</v>
      </c>
      <c r="D115" s="12" t="s">
        <v>261</v>
      </c>
      <c r="E115" s="11">
        <v>36</v>
      </c>
      <c r="F115" s="14"/>
      <c r="G115" s="13"/>
      <c r="H115" s="11"/>
      <c r="I115" s="14">
        <v>233.23</v>
      </c>
      <c r="J115" s="11">
        <v>36</v>
      </c>
      <c r="K115" s="14">
        <v>13305.54</v>
      </c>
    </row>
    <row r="116" spans="1:11" ht="14.5" x14ac:dyDescent="0.25">
      <c r="A116" s="17"/>
      <c r="B116" s="17"/>
      <c r="C116" s="17" t="s">
        <v>263</v>
      </c>
      <c r="D116" s="18" t="s">
        <v>264</v>
      </c>
      <c r="E116" s="19">
        <v>1.27</v>
      </c>
      <c r="F116" s="20"/>
      <c r="G116" s="21" t="s">
        <v>1</v>
      </c>
      <c r="H116" s="19">
        <v>1</v>
      </c>
      <c r="I116" s="20">
        <v>44.45</v>
      </c>
      <c r="J116" s="19"/>
      <c r="K116" s="20"/>
    </row>
    <row r="117" spans="1:11" ht="14" x14ac:dyDescent="0.25">
      <c r="C117" s="22" t="s">
        <v>265</v>
      </c>
      <c r="H117" s="143">
        <v>1360.49</v>
      </c>
      <c r="I117" s="143"/>
      <c r="J117" s="143">
        <v>77615.66</v>
      </c>
      <c r="K117" s="143"/>
    </row>
    <row r="118" spans="1:11" ht="14" x14ac:dyDescent="0.25">
      <c r="C118" s="22" t="s">
        <v>267</v>
      </c>
      <c r="H118" s="141">
        <v>1360.49</v>
      </c>
      <c r="I118" s="141"/>
      <c r="J118" s="141">
        <v>77615.66</v>
      </c>
      <c r="K118" s="141"/>
    </row>
    <row r="121" spans="1:11" ht="14" x14ac:dyDescent="0.3">
      <c r="A121" s="140" t="s">
        <v>1788</v>
      </c>
      <c r="B121" s="140"/>
      <c r="C121" s="140"/>
      <c r="D121" s="140"/>
      <c r="E121" s="140"/>
      <c r="F121" s="140"/>
      <c r="G121" s="140"/>
      <c r="H121" s="141">
        <v>1425.13</v>
      </c>
      <c r="I121" s="142"/>
      <c r="J121" s="141">
        <v>81303.259999999995</v>
      </c>
      <c r="K121" s="142"/>
    </row>
    <row r="123" spans="1:11" ht="16.5" x14ac:dyDescent="0.25">
      <c r="A123" s="144" t="s">
        <v>1789</v>
      </c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</row>
    <row r="124" spans="1:11" ht="14.5" x14ac:dyDescent="0.25">
      <c r="A124" s="10">
        <v>11</v>
      </c>
      <c r="B124" s="10" t="s">
        <v>1770</v>
      </c>
      <c r="C124" s="10" t="s">
        <v>1752</v>
      </c>
      <c r="D124" s="12" t="s">
        <v>24</v>
      </c>
      <c r="E124" s="11">
        <v>1</v>
      </c>
      <c r="F124" s="14"/>
      <c r="G124" s="13"/>
      <c r="H124" s="11"/>
      <c r="I124" s="14"/>
      <c r="J124" s="11"/>
      <c r="K124" s="14"/>
    </row>
    <row r="125" spans="1:11" ht="14.5" x14ac:dyDescent="0.25">
      <c r="A125" s="10"/>
      <c r="B125" s="10"/>
      <c r="C125" s="10" t="s">
        <v>256</v>
      </c>
      <c r="D125" s="12"/>
      <c r="E125" s="11"/>
      <c r="F125" s="14">
        <v>30.78</v>
      </c>
      <c r="G125" s="15" t="s">
        <v>1</v>
      </c>
      <c r="H125" s="11">
        <v>1</v>
      </c>
      <c r="I125" s="14">
        <v>30.78</v>
      </c>
      <c r="J125" s="11">
        <v>57.05</v>
      </c>
      <c r="K125" s="14">
        <v>1756</v>
      </c>
    </row>
    <row r="126" spans="1:11" ht="14.5" x14ac:dyDescent="0.25">
      <c r="A126" s="10"/>
      <c r="B126" s="10"/>
      <c r="C126" s="10" t="s">
        <v>260</v>
      </c>
      <c r="D126" s="12" t="s">
        <v>261</v>
      </c>
      <c r="E126" s="11">
        <v>74</v>
      </c>
      <c r="F126" s="14"/>
      <c r="G126" s="13"/>
      <c r="H126" s="11"/>
      <c r="I126" s="14">
        <v>22.78</v>
      </c>
      <c r="J126" s="11">
        <v>74</v>
      </c>
      <c r="K126" s="14">
        <v>1299.44</v>
      </c>
    </row>
    <row r="127" spans="1:11" ht="14.5" x14ac:dyDescent="0.25">
      <c r="A127" s="10"/>
      <c r="B127" s="10"/>
      <c r="C127" s="10" t="s">
        <v>262</v>
      </c>
      <c r="D127" s="12" t="s">
        <v>261</v>
      </c>
      <c r="E127" s="11">
        <v>36</v>
      </c>
      <c r="F127" s="14"/>
      <c r="G127" s="13"/>
      <c r="H127" s="11"/>
      <c r="I127" s="14">
        <v>11.08</v>
      </c>
      <c r="J127" s="11">
        <v>36</v>
      </c>
      <c r="K127" s="14">
        <v>632.16</v>
      </c>
    </row>
    <row r="128" spans="1:11" ht="14.5" x14ac:dyDescent="0.25">
      <c r="A128" s="17"/>
      <c r="B128" s="17"/>
      <c r="C128" s="17" t="s">
        <v>263</v>
      </c>
      <c r="D128" s="18" t="s">
        <v>264</v>
      </c>
      <c r="E128" s="19">
        <v>1.66</v>
      </c>
      <c r="F128" s="20"/>
      <c r="G128" s="21" t="s">
        <v>1</v>
      </c>
      <c r="H128" s="19">
        <v>1</v>
      </c>
      <c r="I128" s="20">
        <v>1.66</v>
      </c>
      <c r="J128" s="19"/>
      <c r="K128" s="20"/>
    </row>
    <row r="129" spans="1:11" ht="14" x14ac:dyDescent="0.25">
      <c r="C129" s="22" t="s">
        <v>265</v>
      </c>
      <c r="H129" s="143">
        <v>64.64</v>
      </c>
      <c r="I129" s="143"/>
      <c r="J129" s="143">
        <v>3687.6</v>
      </c>
      <c r="K129" s="143"/>
    </row>
    <row r="130" spans="1:11" ht="14" x14ac:dyDescent="0.25">
      <c r="C130" s="22" t="s">
        <v>267</v>
      </c>
      <c r="H130" s="141">
        <v>64.64</v>
      </c>
      <c r="I130" s="141"/>
      <c r="J130" s="141">
        <v>3687.6</v>
      </c>
      <c r="K130" s="141"/>
    </row>
    <row r="133" spans="1:11" ht="14" x14ac:dyDescent="0.3">
      <c r="A133" s="140" t="s">
        <v>1790</v>
      </c>
      <c r="B133" s="140"/>
      <c r="C133" s="140"/>
      <c r="D133" s="140"/>
      <c r="E133" s="140"/>
      <c r="F133" s="140"/>
      <c r="G133" s="140"/>
      <c r="H133" s="141">
        <v>64.64</v>
      </c>
      <c r="I133" s="142"/>
      <c r="J133" s="141">
        <v>3687.6</v>
      </c>
      <c r="K133" s="142"/>
    </row>
    <row r="135" spans="1:11" ht="16.5" x14ac:dyDescent="0.25">
      <c r="A135" s="144" t="s">
        <v>1791</v>
      </c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</row>
    <row r="136" spans="1:11" ht="14.5" x14ac:dyDescent="0.25">
      <c r="A136" s="10">
        <v>12</v>
      </c>
      <c r="B136" s="10" t="s">
        <v>1770</v>
      </c>
      <c r="C136" s="10" t="s">
        <v>1752</v>
      </c>
      <c r="D136" s="12" t="s">
        <v>24</v>
      </c>
      <c r="E136" s="11">
        <v>1</v>
      </c>
      <c r="F136" s="14"/>
      <c r="G136" s="13"/>
      <c r="H136" s="11"/>
      <c r="I136" s="14"/>
      <c r="J136" s="11"/>
      <c r="K136" s="14"/>
    </row>
    <row r="137" spans="1:11" ht="14.5" x14ac:dyDescent="0.25">
      <c r="A137" s="10"/>
      <c r="B137" s="10"/>
      <c r="C137" s="10" t="s">
        <v>256</v>
      </c>
      <c r="D137" s="12"/>
      <c r="E137" s="11"/>
      <c r="F137" s="14">
        <v>30.78</v>
      </c>
      <c r="G137" s="15" t="s">
        <v>1</v>
      </c>
      <c r="H137" s="11">
        <v>1</v>
      </c>
      <c r="I137" s="14">
        <v>30.78</v>
      </c>
      <c r="J137" s="11">
        <v>57.05</v>
      </c>
      <c r="K137" s="14">
        <v>1756</v>
      </c>
    </row>
    <row r="138" spans="1:11" ht="14.5" x14ac:dyDescent="0.25">
      <c r="A138" s="10"/>
      <c r="B138" s="10"/>
      <c r="C138" s="10" t="s">
        <v>260</v>
      </c>
      <c r="D138" s="12" t="s">
        <v>261</v>
      </c>
      <c r="E138" s="11">
        <v>74</v>
      </c>
      <c r="F138" s="14"/>
      <c r="G138" s="13"/>
      <c r="H138" s="11"/>
      <c r="I138" s="14">
        <v>22.78</v>
      </c>
      <c r="J138" s="11">
        <v>74</v>
      </c>
      <c r="K138" s="14">
        <v>1299.44</v>
      </c>
    </row>
    <row r="139" spans="1:11" ht="14.5" x14ac:dyDescent="0.25">
      <c r="A139" s="10"/>
      <c r="B139" s="10"/>
      <c r="C139" s="10" t="s">
        <v>262</v>
      </c>
      <c r="D139" s="12" t="s">
        <v>261</v>
      </c>
      <c r="E139" s="11">
        <v>36</v>
      </c>
      <c r="F139" s="14"/>
      <c r="G139" s="13"/>
      <c r="H139" s="11"/>
      <c r="I139" s="14">
        <v>11.08</v>
      </c>
      <c r="J139" s="11">
        <v>36</v>
      </c>
      <c r="K139" s="14">
        <v>632.16</v>
      </c>
    </row>
    <row r="140" spans="1:11" ht="14.5" x14ac:dyDescent="0.25">
      <c r="A140" s="17"/>
      <c r="B140" s="17"/>
      <c r="C140" s="17" t="s">
        <v>263</v>
      </c>
      <c r="D140" s="18" t="s">
        <v>264</v>
      </c>
      <c r="E140" s="19">
        <v>1.66</v>
      </c>
      <c r="F140" s="20"/>
      <c r="G140" s="21" t="s">
        <v>1</v>
      </c>
      <c r="H140" s="19">
        <v>1</v>
      </c>
      <c r="I140" s="20">
        <v>1.66</v>
      </c>
      <c r="J140" s="19"/>
      <c r="K140" s="20"/>
    </row>
    <row r="141" spans="1:11" ht="14" x14ac:dyDescent="0.25">
      <c r="C141" s="22" t="s">
        <v>265</v>
      </c>
      <c r="H141" s="143">
        <v>64.64</v>
      </c>
      <c r="I141" s="143"/>
      <c r="J141" s="143">
        <v>3687.6</v>
      </c>
      <c r="K141" s="143"/>
    </row>
    <row r="142" spans="1:11" ht="14" x14ac:dyDescent="0.25">
      <c r="C142" s="22" t="s">
        <v>267</v>
      </c>
      <c r="H142" s="141">
        <v>64.64</v>
      </c>
      <c r="I142" s="141"/>
      <c r="J142" s="141">
        <v>3687.6</v>
      </c>
      <c r="K142" s="141"/>
    </row>
    <row r="145" spans="1:11" ht="14" x14ac:dyDescent="0.3">
      <c r="A145" s="140" t="s">
        <v>1792</v>
      </c>
      <c r="B145" s="140"/>
      <c r="C145" s="140"/>
      <c r="D145" s="140"/>
      <c r="E145" s="140"/>
      <c r="F145" s="140"/>
      <c r="G145" s="140"/>
      <c r="H145" s="141">
        <v>64.64</v>
      </c>
      <c r="I145" s="142"/>
      <c r="J145" s="141">
        <v>3687.6</v>
      </c>
      <c r="K145" s="142"/>
    </row>
    <row r="147" spans="1:11" ht="16.5" x14ac:dyDescent="0.25">
      <c r="A147" s="144" t="s">
        <v>1793</v>
      </c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</row>
    <row r="148" spans="1:11" ht="14.5" x14ac:dyDescent="0.25">
      <c r="A148" s="10">
        <v>13</v>
      </c>
      <c r="B148" s="10" t="s">
        <v>1770</v>
      </c>
      <c r="C148" s="10" t="s">
        <v>1752</v>
      </c>
      <c r="D148" s="12" t="s">
        <v>24</v>
      </c>
      <c r="E148" s="11">
        <v>1</v>
      </c>
      <c r="F148" s="14"/>
      <c r="G148" s="13"/>
      <c r="H148" s="11"/>
      <c r="I148" s="14"/>
      <c r="J148" s="11"/>
      <c r="K148" s="14"/>
    </row>
    <row r="149" spans="1:11" ht="14.5" x14ac:dyDescent="0.25">
      <c r="A149" s="10"/>
      <c r="B149" s="10"/>
      <c r="C149" s="10" t="s">
        <v>256</v>
      </c>
      <c r="D149" s="12"/>
      <c r="E149" s="11"/>
      <c r="F149" s="14">
        <v>30.78</v>
      </c>
      <c r="G149" s="15" t="s">
        <v>1</v>
      </c>
      <c r="H149" s="11">
        <v>1</v>
      </c>
      <c r="I149" s="14">
        <v>30.78</v>
      </c>
      <c r="J149" s="11">
        <v>57.05</v>
      </c>
      <c r="K149" s="14">
        <v>1756</v>
      </c>
    </row>
    <row r="150" spans="1:11" ht="14.5" x14ac:dyDescent="0.25">
      <c r="A150" s="10"/>
      <c r="B150" s="10"/>
      <c r="C150" s="10" t="s">
        <v>260</v>
      </c>
      <c r="D150" s="12" t="s">
        <v>261</v>
      </c>
      <c r="E150" s="11">
        <v>74</v>
      </c>
      <c r="F150" s="14"/>
      <c r="G150" s="13"/>
      <c r="H150" s="11"/>
      <c r="I150" s="14">
        <v>22.78</v>
      </c>
      <c r="J150" s="11">
        <v>74</v>
      </c>
      <c r="K150" s="14">
        <v>1299.44</v>
      </c>
    </row>
    <row r="151" spans="1:11" ht="14.5" x14ac:dyDescent="0.25">
      <c r="A151" s="10"/>
      <c r="B151" s="10"/>
      <c r="C151" s="10" t="s">
        <v>262</v>
      </c>
      <c r="D151" s="12" t="s">
        <v>261</v>
      </c>
      <c r="E151" s="11">
        <v>36</v>
      </c>
      <c r="F151" s="14"/>
      <c r="G151" s="13"/>
      <c r="H151" s="11"/>
      <c r="I151" s="14">
        <v>11.08</v>
      </c>
      <c r="J151" s="11">
        <v>36</v>
      </c>
      <c r="K151" s="14">
        <v>632.16</v>
      </c>
    </row>
    <row r="152" spans="1:11" ht="14.5" x14ac:dyDescent="0.25">
      <c r="A152" s="17"/>
      <c r="B152" s="17"/>
      <c r="C152" s="17" t="s">
        <v>263</v>
      </c>
      <c r="D152" s="18" t="s">
        <v>264</v>
      </c>
      <c r="E152" s="19">
        <v>1.66</v>
      </c>
      <c r="F152" s="20"/>
      <c r="G152" s="21" t="s">
        <v>1</v>
      </c>
      <c r="H152" s="19">
        <v>1</v>
      </c>
      <c r="I152" s="20">
        <v>1.66</v>
      </c>
      <c r="J152" s="19"/>
      <c r="K152" s="20"/>
    </row>
    <row r="153" spans="1:11" ht="14" x14ac:dyDescent="0.25">
      <c r="C153" s="22" t="s">
        <v>265</v>
      </c>
      <c r="H153" s="143">
        <v>64.64</v>
      </c>
      <c r="I153" s="143"/>
      <c r="J153" s="143">
        <v>3687.6</v>
      </c>
      <c r="K153" s="143"/>
    </row>
    <row r="154" spans="1:11" ht="14" x14ac:dyDescent="0.25">
      <c r="C154" s="22" t="s">
        <v>267</v>
      </c>
      <c r="H154" s="141">
        <v>64.64</v>
      </c>
      <c r="I154" s="141"/>
      <c r="J154" s="141">
        <v>3687.6</v>
      </c>
      <c r="K154" s="141"/>
    </row>
    <row r="157" spans="1:11" ht="14" x14ac:dyDescent="0.3">
      <c r="A157" s="140" t="s">
        <v>1794</v>
      </c>
      <c r="B157" s="140"/>
      <c r="C157" s="140"/>
      <c r="D157" s="140"/>
      <c r="E157" s="140"/>
      <c r="F157" s="140"/>
      <c r="G157" s="140"/>
      <c r="H157" s="141">
        <v>64.64</v>
      </c>
      <c r="I157" s="142"/>
      <c r="J157" s="141">
        <v>3687.6</v>
      </c>
      <c r="K157" s="142"/>
    </row>
    <row r="159" spans="1:11" ht="16.5" x14ac:dyDescent="0.25">
      <c r="A159" s="144" t="s">
        <v>1795</v>
      </c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</row>
    <row r="160" spans="1:11" ht="42" x14ac:dyDescent="0.25">
      <c r="A160" s="10">
        <v>14</v>
      </c>
      <c r="B160" s="10" t="s">
        <v>1774</v>
      </c>
      <c r="C160" s="10" t="s">
        <v>1754</v>
      </c>
      <c r="D160" s="12" t="s">
        <v>1775</v>
      </c>
      <c r="E160" s="11">
        <v>1</v>
      </c>
      <c r="F160" s="14"/>
      <c r="G160" s="13"/>
      <c r="H160" s="11"/>
      <c r="I160" s="14"/>
      <c r="J160" s="11"/>
      <c r="K160" s="14"/>
    </row>
    <row r="161" spans="1:11" ht="14.5" x14ac:dyDescent="0.25">
      <c r="A161" s="10"/>
      <c r="B161" s="10"/>
      <c r="C161" s="10" t="s">
        <v>256</v>
      </c>
      <c r="D161" s="12"/>
      <c r="E161" s="11"/>
      <c r="F161" s="14">
        <v>1086.6199999999999</v>
      </c>
      <c r="G161" s="15" t="s">
        <v>1</v>
      </c>
      <c r="H161" s="11">
        <v>1</v>
      </c>
      <c r="I161" s="14">
        <v>1086.6199999999999</v>
      </c>
      <c r="J161" s="11">
        <v>57.05</v>
      </c>
      <c r="K161" s="14">
        <v>61991.67</v>
      </c>
    </row>
    <row r="162" spans="1:11" ht="14.5" x14ac:dyDescent="0.25">
      <c r="A162" s="10"/>
      <c r="B162" s="10"/>
      <c r="C162" s="10" t="s">
        <v>260</v>
      </c>
      <c r="D162" s="12" t="s">
        <v>261</v>
      </c>
      <c r="E162" s="11">
        <v>74</v>
      </c>
      <c r="F162" s="14"/>
      <c r="G162" s="13"/>
      <c r="H162" s="11"/>
      <c r="I162" s="14">
        <v>804.1</v>
      </c>
      <c r="J162" s="11">
        <v>74</v>
      </c>
      <c r="K162" s="14">
        <v>45873.84</v>
      </c>
    </row>
    <row r="163" spans="1:11" ht="14.5" x14ac:dyDescent="0.25">
      <c r="A163" s="10"/>
      <c r="B163" s="10"/>
      <c r="C163" s="10" t="s">
        <v>262</v>
      </c>
      <c r="D163" s="12" t="s">
        <v>261</v>
      </c>
      <c r="E163" s="11">
        <v>36</v>
      </c>
      <c r="F163" s="14"/>
      <c r="G163" s="13"/>
      <c r="H163" s="11"/>
      <c r="I163" s="14">
        <v>391.18</v>
      </c>
      <c r="J163" s="11">
        <v>36</v>
      </c>
      <c r="K163" s="14">
        <v>22317</v>
      </c>
    </row>
    <row r="164" spans="1:11" ht="14.5" x14ac:dyDescent="0.25">
      <c r="A164" s="17"/>
      <c r="B164" s="17"/>
      <c r="C164" s="17" t="s">
        <v>263</v>
      </c>
      <c r="D164" s="18" t="s">
        <v>264</v>
      </c>
      <c r="E164" s="19">
        <v>56</v>
      </c>
      <c r="F164" s="20"/>
      <c r="G164" s="21" t="s">
        <v>1</v>
      </c>
      <c r="H164" s="19">
        <v>1</v>
      </c>
      <c r="I164" s="20">
        <v>56</v>
      </c>
      <c r="J164" s="19"/>
      <c r="K164" s="20"/>
    </row>
    <row r="165" spans="1:11" ht="14" x14ac:dyDescent="0.25">
      <c r="C165" s="22" t="s">
        <v>265</v>
      </c>
      <c r="H165" s="143">
        <v>2281.9</v>
      </c>
      <c r="I165" s="143"/>
      <c r="J165" s="143">
        <v>130182.51</v>
      </c>
      <c r="K165" s="143"/>
    </row>
    <row r="166" spans="1:11" ht="14" x14ac:dyDescent="0.25">
      <c r="C166" s="22" t="s">
        <v>267</v>
      </c>
      <c r="H166" s="141">
        <v>2281.9</v>
      </c>
      <c r="I166" s="141"/>
      <c r="J166" s="141">
        <v>130182.51</v>
      </c>
      <c r="K166" s="141"/>
    </row>
    <row r="169" spans="1:11" ht="14" x14ac:dyDescent="0.3">
      <c r="A169" s="140" t="s">
        <v>1796</v>
      </c>
      <c r="B169" s="140"/>
      <c r="C169" s="140"/>
      <c r="D169" s="140"/>
      <c r="E169" s="140"/>
      <c r="F169" s="140"/>
      <c r="G169" s="140"/>
      <c r="H169" s="141">
        <v>2281.9</v>
      </c>
      <c r="I169" s="142"/>
      <c r="J169" s="141">
        <v>130182.51</v>
      </c>
      <c r="K169" s="142"/>
    </row>
    <row r="171" spans="1:11" ht="16.5" x14ac:dyDescent="0.25">
      <c r="A171" s="144" t="s">
        <v>1797</v>
      </c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</row>
    <row r="172" spans="1:11" ht="43.5" x14ac:dyDescent="0.25">
      <c r="A172" s="10">
        <v>15</v>
      </c>
      <c r="B172" s="10" t="s">
        <v>1776</v>
      </c>
      <c r="C172" s="10" t="s">
        <v>1755</v>
      </c>
      <c r="D172" s="12" t="s">
        <v>1777</v>
      </c>
      <c r="E172" s="11">
        <v>26</v>
      </c>
      <c r="F172" s="14"/>
      <c r="G172" s="13"/>
      <c r="H172" s="11"/>
      <c r="I172" s="14"/>
      <c r="J172" s="11"/>
      <c r="K172" s="14"/>
    </row>
    <row r="173" spans="1:11" ht="14.5" x14ac:dyDescent="0.25">
      <c r="A173" s="10"/>
      <c r="B173" s="10"/>
      <c r="C173" s="10" t="s">
        <v>256</v>
      </c>
      <c r="D173" s="12"/>
      <c r="E173" s="11"/>
      <c r="F173" s="14">
        <v>129.76</v>
      </c>
      <c r="G173" s="15" t="s">
        <v>1</v>
      </c>
      <c r="H173" s="11">
        <v>1</v>
      </c>
      <c r="I173" s="14">
        <v>3373.76</v>
      </c>
      <c r="J173" s="11">
        <v>57.05</v>
      </c>
      <c r="K173" s="14">
        <v>192473.01</v>
      </c>
    </row>
    <row r="174" spans="1:11" ht="14.5" x14ac:dyDescent="0.25">
      <c r="A174" s="10"/>
      <c r="B174" s="10"/>
      <c r="C174" s="10" t="s">
        <v>260</v>
      </c>
      <c r="D174" s="12" t="s">
        <v>261</v>
      </c>
      <c r="E174" s="11">
        <v>74</v>
      </c>
      <c r="F174" s="14"/>
      <c r="G174" s="13"/>
      <c r="H174" s="11"/>
      <c r="I174" s="14">
        <v>2496.58</v>
      </c>
      <c r="J174" s="11">
        <v>74</v>
      </c>
      <c r="K174" s="14">
        <v>142430.03</v>
      </c>
    </row>
    <row r="175" spans="1:11" ht="14.5" x14ac:dyDescent="0.25">
      <c r="A175" s="10"/>
      <c r="B175" s="10"/>
      <c r="C175" s="10" t="s">
        <v>262</v>
      </c>
      <c r="D175" s="12" t="s">
        <v>261</v>
      </c>
      <c r="E175" s="11">
        <v>36</v>
      </c>
      <c r="F175" s="14"/>
      <c r="G175" s="13"/>
      <c r="H175" s="11"/>
      <c r="I175" s="14">
        <v>1214.55</v>
      </c>
      <c r="J175" s="11">
        <v>36</v>
      </c>
      <c r="K175" s="14">
        <v>69290.28</v>
      </c>
    </row>
    <row r="176" spans="1:11" ht="14.5" x14ac:dyDescent="0.25">
      <c r="A176" s="17"/>
      <c r="B176" s="17"/>
      <c r="C176" s="17" t="s">
        <v>263</v>
      </c>
      <c r="D176" s="18" t="s">
        <v>264</v>
      </c>
      <c r="E176" s="19">
        <v>6.06</v>
      </c>
      <c r="F176" s="20"/>
      <c r="G176" s="21" t="s">
        <v>1</v>
      </c>
      <c r="H176" s="19">
        <v>1</v>
      </c>
      <c r="I176" s="20">
        <v>157.56</v>
      </c>
      <c r="J176" s="19"/>
      <c r="K176" s="20"/>
    </row>
    <row r="177" spans="1:11" ht="14" x14ac:dyDescent="0.25">
      <c r="C177" s="22" t="s">
        <v>265</v>
      </c>
      <c r="H177" s="143">
        <v>7084.89</v>
      </c>
      <c r="I177" s="143"/>
      <c r="J177" s="143">
        <v>404193.32</v>
      </c>
      <c r="K177" s="143"/>
    </row>
    <row r="178" spans="1:11" ht="14" x14ac:dyDescent="0.25">
      <c r="C178" s="22" t="s">
        <v>267</v>
      </c>
      <c r="H178" s="141">
        <v>7084.89</v>
      </c>
      <c r="I178" s="141"/>
      <c r="J178" s="141">
        <v>404193.32</v>
      </c>
      <c r="K178" s="141"/>
    </row>
    <row r="181" spans="1:11" ht="14" x14ac:dyDescent="0.3">
      <c r="A181" s="140" t="s">
        <v>1792</v>
      </c>
      <c r="B181" s="140"/>
      <c r="C181" s="140"/>
      <c r="D181" s="140"/>
      <c r="E181" s="140"/>
      <c r="F181" s="140"/>
      <c r="G181" s="140"/>
      <c r="H181" s="141">
        <v>7084.89</v>
      </c>
      <c r="I181" s="142"/>
      <c r="J181" s="141">
        <v>404193.32</v>
      </c>
      <c r="K181" s="142"/>
    </row>
    <row r="183" spans="1:11" ht="16.5" x14ac:dyDescent="0.25">
      <c r="A183" s="144" t="s">
        <v>1798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</row>
    <row r="184" spans="1:11" ht="14.5" x14ac:dyDescent="0.25">
      <c r="A184" s="10">
        <v>16</v>
      </c>
      <c r="B184" s="10" t="s">
        <v>1770</v>
      </c>
      <c r="C184" s="10" t="s">
        <v>1752</v>
      </c>
      <c r="D184" s="12" t="s">
        <v>24</v>
      </c>
      <c r="E184" s="11">
        <v>1</v>
      </c>
      <c r="F184" s="14"/>
      <c r="G184" s="13"/>
      <c r="H184" s="11"/>
      <c r="I184" s="14"/>
      <c r="J184" s="11"/>
      <c r="K184" s="14"/>
    </row>
    <row r="185" spans="1:11" ht="14.5" x14ac:dyDescent="0.25">
      <c r="A185" s="10"/>
      <c r="B185" s="10"/>
      <c r="C185" s="10" t="s">
        <v>256</v>
      </c>
      <c r="D185" s="12"/>
      <c r="E185" s="11"/>
      <c r="F185" s="14">
        <v>30.78</v>
      </c>
      <c r="G185" s="15" t="s">
        <v>1</v>
      </c>
      <c r="H185" s="11">
        <v>1</v>
      </c>
      <c r="I185" s="14">
        <v>30.78</v>
      </c>
      <c r="J185" s="11">
        <v>57.05</v>
      </c>
      <c r="K185" s="14">
        <v>1756</v>
      </c>
    </row>
    <row r="186" spans="1:11" ht="14.5" x14ac:dyDescent="0.25">
      <c r="A186" s="10"/>
      <c r="B186" s="10"/>
      <c r="C186" s="10" t="s">
        <v>260</v>
      </c>
      <c r="D186" s="12" t="s">
        <v>261</v>
      </c>
      <c r="E186" s="11">
        <v>74</v>
      </c>
      <c r="F186" s="14"/>
      <c r="G186" s="13"/>
      <c r="H186" s="11"/>
      <c r="I186" s="14">
        <v>22.78</v>
      </c>
      <c r="J186" s="11">
        <v>74</v>
      </c>
      <c r="K186" s="14">
        <v>1299.44</v>
      </c>
    </row>
    <row r="187" spans="1:11" ht="14.5" x14ac:dyDescent="0.25">
      <c r="A187" s="10"/>
      <c r="B187" s="10"/>
      <c r="C187" s="10" t="s">
        <v>262</v>
      </c>
      <c r="D187" s="12" t="s">
        <v>261</v>
      </c>
      <c r="E187" s="11">
        <v>36</v>
      </c>
      <c r="F187" s="14"/>
      <c r="G187" s="13"/>
      <c r="H187" s="11"/>
      <c r="I187" s="14">
        <v>11.08</v>
      </c>
      <c r="J187" s="11">
        <v>36</v>
      </c>
      <c r="K187" s="14">
        <v>632.16</v>
      </c>
    </row>
    <row r="188" spans="1:11" ht="14.5" x14ac:dyDescent="0.25">
      <c r="A188" s="17"/>
      <c r="B188" s="17"/>
      <c r="C188" s="17" t="s">
        <v>263</v>
      </c>
      <c r="D188" s="18" t="s">
        <v>264</v>
      </c>
      <c r="E188" s="19">
        <v>1.66</v>
      </c>
      <c r="F188" s="20"/>
      <c r="G188" s="21" t="s">
        <v>1</v>
      </c>
      <c r="H188" s="19">
        <v>1</v>
      </c>
      <c r="I188" s="20">
        <v>1.66</v>
      </c>
      <c r="J188" s="19"/>
      <c r="K188" s="20"/>
    </row>
    <row r="189" spans="1:11" ht="14" x14ac:dyDescent="0.25">
      <c r="C189" s="22" t="s">
        <v>265</v>
      </c>
      <c r="H189" s="143">
        <v>64.64</v>
      </c>
      <c r="I189" s="143"/>
      <c r="J189" s="143">
        <v>3687.6</v>
      </c>
      <c r="K189" s="143"/>
    </row>
    <row r="190" spans="1:11" ht="14" x14ac:dyDescent="0.25">
      <c r="C190" s="22" t="s">
        <v>267</v>
      </c>
      <c r="H190" s="141">
        <v>64.64</v>
      </c>
      <c r="I190" s="141"/>
      <c r="J190" s="141">
        <v>3687.6</v>
      </c>
      <c r="K190" s="141"/>
    </row>
    <row r="192" spans="1:11" ht="42" x14ac:dyDescent="0.25">
      <c r="A192" s="10">
        <v>17</v>
      </c>
      <c r="B192" s="10" t="s">
        <v>1771</v>
      </c>
      <c r="C192" s="10" t="s">
        <v>1753</v>
      </c>
      <c r="D192" s="12" t="s">
        <v>24</v>
      </c>
      <c r="E192" s="11">
        <v>187</v>
      </c>
      <c r="F192" s="14"/>
      <c r="G192" s="13"/>
      <c r="H192" s="11"/>
      <c r="I192" s="14"/>
      <c r="J192" s="11"/>
      <c r="K192" s="14"/>
    </row>
    <row r="193" spans="1:11" ht="25" x14ac:dyDescent="0.25">
      <c r="C193" s="23" t="s">
        <v>1778</v>
      </c>
    </row>
    <row r="194" spans="1:11" ht="14.5" x14ac:dyDescent="0.25">
      <c r="A194" s="10"/>
      <c r="B194" s="10"/>
      <c r="C194" s="10" t="s">
        <v>256</v>
      </c>
      <c r="D194" s="12"/>
      <c r="E194" s="11"/>
      <c r="F194" s="14">
        <v>18.510000000000002</v>
      </c>
      <c r="G194" s="15" t="s">
        <v>1</v>
      </c>
      <c r="H194" s="11">
        <v>1</v>
      </c>
      <c r="I194" s="14">
        <v>3461.37</v>
      </c>
      <c r="J194" s="11">
        <v>57.05</v>
      </c>
      <c r="K194" s="14">
        <v>197471.16</v>
      </c>
    </row>
    <row r="195" spans="1:11" ht="14.5" x14ac:dyDescent="0.25">
      <c r="A195" s="10"/>
      <c r="B195" s="10"/>
      <c r="C195" s="10" t="s">
        <v>260</v>
      </c>
      <c r="D195" s="12" t="s">
        <v>261</v>
      </c>
      <c r="E195" s="11">
        <v>74</v>
      </c>
      <c r="F195" s="14"/>
      <c r="G195" s="13"/>
      <c r="H195" s="11"/>
      <c r="I195" s="14">
        <v>2561.41</v>
      </c>
      <c r="J195" s="11">
        <v>74</v>
      </c>
      <c r="K195" s="14">
        <v>146128.66</v>
      </c>
    </row>
    <row r="196" spans="1:11" ht="14.5" x14ac:dyDescent="0.25">
      <c r="A196" s="10"/>
      <c r="B196" s="10"/>
      <c r="C196" s="10" t="s">
        <v>262</v>
      </c>
      <c r="D196" s="12" t="s">
        <v>261</v>
      </c>
      <c r="E196" s="11">
        <v>36</v>
      </c>
      <c r="F196" s="14"/>
      <c r="G196" s="13"/>
      <c r="H196" s="11"/>
      <c r="I196" s="14">
        <v>1246.0899999999999</v>
      </c>
      <c r="J196" s="11">
        <v>36</v>
      </c>
      <c r="K196" s="14">
        <v>71089.62</v>
      </c>
    </row>
    <row r="197" spans="1:11" ht="14.5" x14ac:dyDescent="0.25">
      <c r="A197" s="17"/>
      <c r="B197" s="17"/>
      <c r="C197" s="17" t="s">
        <v>263</v>
      </c>
      <c r="D197" s="18" t="s">
        <v>264</v>
      </c>
      <c r="E197" s="19">
        <v>1.27</v>
      </c>
      <c r="F197" s="20"/>
      <c r="G197" s="21" t="s">
        <v>1</v>
      </c>
      <c r="H197" s="19">
        <v>1</v>
      </c>
      <c r="I197" s="20">
        <v>237.49</v>
      </c>
      <c r="J197" s="19"/>
      <c r="K197" s="20"/>
    </row>
    <row r="198" spans="1:11" ht="14" x14ac:dyDescent="0.25">
      <c r="C198" s="22" t="s">
        <v>265</v>
      </c>
      <c r="H198" s="143">
        <v>7268.87</v>
      </c>
      <c r="I198" s="143"/>
      <c r="J198" s="143">
        <v>414689.44</v>
      </c>
      <c r="K198" s="143"/>
    </row>
    <row r="199" spans="1:11" ht="14" x14ac:dyDescent="0.25">
      <c r="C199" s="22" t="s">
        <v>267</v>
      </c>
      <c r="H199" s="141">
        <v>7268.87</v>
      </c>
      <c r="I199" s="141"/>
      <c r="J199" s="141">
        <v>414689.44</v>
      </c>
      <c r="K199" s="141"/>
    </row>
    <row r="202" spans="1:11" ht="14" x14ac:dyDescent="0.3">
      <c r="A202" s="140" t="s">
        <v>1799</v>
      </c>
      <c r="B202" s="140"/>
      <c r="C202" s="140"/>
      <c r="D202" s="140"/>
      <c r="E202" s="140"/>
      <c r="F202" s="140"/>
      <c r="G202" s="140"/>
      <c r="H202" s="141">
        <v>7333.51</v>
      </c>
      <c r="I202" s="142"/>
      <c r="J202" s="141">
        <v>418377.04</v>
      </c>
      <c r="K202" s="142"/>
    </row>
    <row r="204" spans="1:11" ht="16.5" x14ac:dyDescent="0.25">
      <c r="A204" s="144" t="s">
        <v>1800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1" ht="14.5" x14ac:dyDescent="0.25">
      <c r="A205" s="10">
        <v>18</v>
      </c>
      <c r="B205" s="10" t="s">
        <v>1770</v>
      </c>
      <c r="C205" s="10" t="s">
        <v>1752</v>
      </c>
      <c r="D205" s="12" t="s">
        <v>24</v>
      </c>
      <c r="E205" s="11">
        <v>1</v>
      </c>
      <c r="F205" s="14"/>
      <c r="G205" s="13"/>
      <c r="H205" s="11"/>
      <c r="I205" s="14"/>
      <c r="J205" s="11"/>
      <c r="K205" s="14"/>
    </row>
    <row r="206" spans="1:11" ht="14.5" x14ac:dyDescent="0.25">
      <c r="A206" s="10"/>
      <c r="B206" s="10"/>
      <c r="C206" s="10" t="s">
        <v>256</v>
      </c>
      <c r="D206" s="12"/>
      <c r="E206" s="11"/>
      <c r="F206" s="14">
        <v>30.78</v>
      </c>
      <c r="G206" s="15" t="s">
        <v>1</v>
      </c>
      <c r="H206" s="11">
        <v>1</v>
      </c>
      <c r="I206" s="14">
        <v>30.78</v>
      </c>
      <c r="J206" s="11">
        <v>57.05</v>
      </c>
      <c r="K206" s="14">
        <v>1756</v>
      </c>
    </row>
    <row r="207" spans="1:11" ht="14.5" x14ac:dyDescent="0.25">
      <c r="A207" s="10"/>
      <c r="B207" s="10"/>
      <c r="C207" s="10" t="s">
        <v>260</v>
      </c>
      <c r="D207" s="12" t="s">
        <v>261</v>
      </c>
      <c r="E207" s="11">
        <v>74</v>
      </c>
      <c r="F207" s="14"/>
      <c r="G207" s="13"/>
      <c r="H207" s="11"/>
      <c r="I207" s="14">
        <v>22.78</v>
      </c>
      <c r="J207" s="11">
        <v>74</v>
      </c>
      <c r="K207" s="14">
        <v>1299.44</v>
      </c>
    </row>
    <row r="208" spans="1:11" ht="14.5" x14ac:dyDescent="0.25">
      <c r="A208" s="10"/>
      <c r="B208" s="10"/>
      <c r="C208" s="10" t="s">
        <v>262</v>
      </c>
      <c r="D208" s="12" t="s">
        <v>261</v>
      </c>
      <c r="E208" s="11">
        <v>36</v>
      </c>
      <c r="F208" s="14"/>
      <c r="G208" s="13"/>
      <c r="H208" s="11"/>
      <c r="I208" s="14">
        <v>11.08</v>
      </c>
      <c r="J208" s="11">
        <v>36</v>
      </c>
      <c r="K208" s="14">
        <v>632.16</v>
      </c>
    </row>
    <row r="209" spans="1:11" ht="14.5" x14ac:dyDescent="0.25">
      <c r="A209" s="17"/>
      <c r="B209" s="17"/>
      <c r="C209" s="17" t="s">
        <v>263</v>
      </c>
      <c r="D209" s="18" t="s">
        <v>264</v>
      </c>
      <c r="E209" s="19">
        <v>1.66</v>
      </c>
      <c r="F209" s="20"/>
      <c r="G209" s="21" t="s">
        <v>1</v>
      </c>
      <c r="H209" s="19">
        <v>1</v>
      </c>
      <c r="I209" s="20">
        <v>1.66</v>
      </c>
      <c r="J209" s="19"/>
      <c r="K209" s="20"/>
    </row>
    <row r="210" spans="1:11" ht="14" x14ac:dyDescent="0.25">
      <c r="C210" s="22" t="s">
        <v>265</v>
      </c>
      <c r="H210" s="143">
        <v>64.64</v>
      </c>
      <c r="I210" s="143"/>
      <c r="J210" s="143">
        <v>3687.6</v>
      </c>
      <c r="K210" s="143"/>
    </row>
    <row r="211" spans="1:11" ht="14" x14ac:dyDescent="0.25">
      <c r="C211" s="22" t="s">
        <v>267</v>
      </c>
      <c r="H211" s="141">
        <v>64.64</v>
      </c>
      <c r="I211" s="141"/>
      <c r="J211" s="141">
        <v>3687.6</v>
      </c>
      <c r="K211" s="141"/>
    </row>
    <row r="214" spans="1:11" ht="14" x14ac:dyDescent="0.3">
      <c r="A214" s="140" t="s">
        <v>1801</v>
      </c>
      <c r="B214" s="140"/>
      <c r="C214" s="140"/>
      <c r="D214" s="140"/>
      <c r="E214" s="140"/>
      <c r="F214" s="140"/>
      <c r="G214" s="140"/>
      <c r="H214" s="141">
        <v>64.64</v>
      </c>
      <c r="I214" s="142"/>
      <c r="J214" s="141">
        <v>3687.6</v>
      </c>
      <c r="K214" s="142"/>
    </row>
    <row r="216" spans="1:11" ht="16.5" x14ac:dyDescent="0.25">
      <c r="A216" s="144" t="s">
        <v>1802</v>
      </c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</row>
    <row r="217" spans="1:11" ht="28" x14ac:dyDescent="0.25">
      <c r="A217" s="10">
        <v>19</v>
      </c>
      <c r="B217" s="10" t="s">
        <v>1779</v>
      </c>
      <c r="C217" s="10" t="s">
        <v>1756</v>
      </c>
      <c r="D217" s="12" t="s">
        <v>1780</v>
      </c>
      <c r="E217" s="11">
        <v>1</v>
      </c>
      <c r="F217" s="14"/>
      <c r="G217" s="13"/>
      <c r="H217" s="11"/>
      <c r="I217" s="14"/>
      <c r="J217" s="11"/>
      <c r="K217" s="14"/>
    </row>
    <row r="218" spans="1:11" ht="14.5" x14ac:dyDescent="0.25">
      <c r="A218" s="10"/>
      <c r="B218" s="10"/>
      <c r="C218" s="10" t="s">
        <v>256</v>
      </c>
      <c r="D218" s="12"/>
      <c r="E218" s="11"/>
      <c r="F218" s="14">
        <v>1474.7</v>
      </c>
      <c r="G218" s="15" t="s">
        <v>1</v>
      </c>
      <c r="H218" s="11">
        <v>1</v>
      </c>
      <c r="I218" s="14">
        <v>1474.7</v>
      </c>
      <c r="J218" s="11">
        <v>57.05</v>
      </c>
      <c r="K218" s="14">
        <v>84131.64</v>
      </c>
    </row>
    <row r="219" spans="1:11" ht="14.5" x14ac:dyDescent="0.25">
      <c r="A219" s="10"/>
      <c r="B219" s="10"/>
      <c r="C219" s="10" t="s">
        <v>260</v>
      </c>
      <c r="D219" s="12" t="s">
        <v>261</v>
      </c>
      <c r="E219" s="11">
        <v>74</v>
      </c>
      <c r="F219" s="14"/>
      <c r="G219" s="13"/>
      <c r="H219" s="11"/>
      <c r="I219" s="14">
        <v>1091.28</v>
      </c>
      <c r="J219" s="11">
        <v>74</v>
      </c>
      <c r="K219" s="14">
        <v>62257.41</v>
      </c>
    </row>
    <row r="220" spans="1:11" ht="14.5" x14ac:dyDescent="0.25">
      <c r="A220" s="10"/>
      <c r="B220" s="10"/>
      <c r="C220" s="10" t="s">
        <v>262</v>
      </c>
      <c r="D220" s="12" t="s">
        <v>261</v>
      </c>
      <c r="E220" s="11">
        <v>36</v>
      </c>
      <c r="F220" s="14"/>
      <c r="G220" s="13"/>
      <c r="H220" s="11"/>
      <c r="I220" s="14">
        <v>530.89</v>
      </c>
      <c r="J220" s="11">
        <v>36</v>
      </c>
      <c r="K220" s="14">
        <v>30287.39</v>
      </c>
    </row>
    <row r="221" spans="1:11" ht="14.5" x14ac:dyDescent="0.25">
      <c r="A221" s="17"/>
      <c r="B221" s="17"/>
      <c r="C221" s="17" t="s">
        <v>263</v>
      </c>
      <c r="D221" s="18" t="s">
        <v>264</v>
      </c>
      <c r="E221" s="19">
        <v>76</v>
      </c>
      <c r="F221" s="20"/>
      <c r="G221" s="21" t="s">
        <v>1</v>
      </c>
      <c r="H221" s="19">
        <v>1</v>
      </c>
      <c r="I221" s="20">
        <v>76</v>
      </c>
      <c r="J221" s="19"/>
      <c r="K221" s="20"/>
    </row>
    <row r="222" spans="1:11" ht="14" x14ac:dyDescent="0.25">
      <c r="C222" s="22" t="s">
        <v>265</v>
      </c>
      <c r="H222" s="143">
        <v>3096.87</v>
      </c>
      <c r="I222" s="143"/>
      <c r="J222" s="143">
        <v>176676.44</v>
      </c>
      <c r="K222" s="143"/>
    </row>
    <row r="223" spans="1:11" ht="14" x14ac:dyDescent="0.25">
      <c r="C223" s="22" t="s">
        <v>267</v>
      </c>
      <c r="H223" s="141">
        <v>3096.87</v>
      </c>
      <c r="I223" s="141"/>
      <c r="J223" s="141">
        <v>176676.44</v>
      </c>
      <c r="K223" s="141"/>
    </row>
    <row r="226" spans="1:11" ht="14" x14ac:dyDescent="0.3">
      <c r="A226" s="140" t="s">
        <v>1803</v>
      </c>
      <c r="B226" s="140"/>
      <c r="C226" s="140"/>
      <c r="D226" s="140"/>
      <c r="E226" s="140"/>
      <c r="F226" s="140"/>
      <c r="G226" s="140"/>
      <c r="H226" s="141">
        <v>3096.87</v>
      </c>
      <c r="I226" s="142"/>
      <c r="J226" s="141">
        <v>176676.44</v>
      </c>
      <c r="K226" s="142"/>
    </row>
    <row r="228" spans="1:11" ht="14" x14ac:dyDescent="0.3">
      <c r="A228" s="140" t="s">
        <v>435</v>
      </c>
      <c r="B228" s="140"/>
      <c r="C228" s="140"/>
      <c r="D228" s="140"/>
      <c r="E228" s="140"/>
      <c r="F228" s="140"/>
      <c r="G228" s="140"/>
      <c r="H228" s="141">
        <v>35232.199999999997</v>
      </c>
      <c r="I228" s="142"/>
      <c r="J228" s="141">
        <v>2009997.27</v>
      </c>
      <c r="K228" s="142"/>
    </row>
  </sheetData>
  <mergeCells count="138">
    <mergeCell ref="E15:H15"/>
    <mergeCell ref="E16:H16"/>
    <mergeCell ref="A19:K19"/>
    <mergeCell ref="E13:H13"/>
    <mergeCell ref="E14:H14"/>
    <mergeCell ref="J2:K2"/>
    <mergeCell ref="A3:K3"/>
    <mergeCell ref="A4:K4"/>
    <mergeCell ref="A6:K6"/>
    <mergeCell ref="A8:K8"/>
    <mergeCell ref="A9:K9"/>
    <mergeCell ref="H37:I37"/>
    <mergeCell ref="J37:K37"/>
    <mergeCell ref="H38:I38"/>
    <mergeCell ref="J38:K38"/>
    <mergeCell ref="A22:K22"/>
    <mergeCell ref="H28:I28"/>
    <mergeCell ref="J28:K28"/>
    <mergeCell ref="H29:I29"/>
    <mergeCell ref="J29:K29"/>
    <mergeCell ref="H62:I62"/>
    <mergeCell ref="J62:K62"/>
    <mergeCell ref="H63:I63"/>
    <mergeCell ref="J63:K63"/>
    <mergeCell ref="H54:I54"/>
    <mergeCell ref="J54:K54"/>
    <mergeCell ref="H55:I55"/>
    <mergeCell ref="J55:K55"/>
    <mergeCell ref="H45:I45"/>
    <mergeCell ref="J45:K45"/>
    <mergeCell ref="H46:I46"/>
    <mergeCell ref="J46:K46"/>
    <mergeCell ref="H76:I76"/>
    <mergeCell ref="J76:K76"/>
    <mergeCell ref="A79:G79"/>
    <mergeCell ref="H79:I79"/>
    <mergeCell ref="J79:K79"/>
    <mergeCell ref="A66:G66"/>
    <mergeCell ref="H66:I66"/>
    <mergeCell ref="J66:K66"/>
    <mergeCell ref="A68:K68"/>
    <mergeCell ref="H75:I75"/>
    <mergeCell ref="J75:K75"/>
    <mergeCell ref="H96:I96"/>
    <mergeCell ref="J96:K96"/>
    <mergeCell ref="H97:I97"/>
    <mergeCell ref="J97:K97"/>
    <mergeCell ref="A81:K81"/>
    <mergeCell ref="H87:I87"/>
    <mergeCell ref="J87:K87"/>
    <mergeCell ref="H88:I88"/>
    <mergeCell ref="J88:K88"/>
    <mergeCell ref="H109:I109"/>
    <mergeCell ref="J109:K109"/>
    <mergeCell ref="H117:I117"/>
    <mergeCell ref="J117:K117"/>
    <mergeCell ref="A100:G100"/>
    <mergeCell ref="H100:I100"/>
    <mergeCell ref="J100:K100"/>
    <mergeCell ref="A102:K102"/>
    <mergeCell ref="H108:I108"/>
    <mergeCell ref="J108:K108"/>
    <mergeCell ref="A123:K123"/>
    <mergeCell ref="H129:I129"/>
    <mergeCell ref="J129:K129"/>
    <mergeCell ref="H130:I130"/>
    <mergeCell ref="J130:K130"/>
    <mergeCell ref="H118:I118"/>
    <mergeCell ref="J118:K118"/>
    <mergeCell ref="A121:G121"/>
    <mergeCell ref="H121:I121"/>
    <mergeCell ref="J121:K121"/>
    <mergeCell ref="H142:I142"/>
    <mergeCell ref="J142:K142"/>
    <mergeCell ref="A145:G145"/>
    <mergeCell ref="H145:I145"/>
    <mergeCell ref="J145:K145"/>
    <mergeCell ref="A133:G133"/>
    <mergeCell ref="H133:I133"/>
    <mergeCell ref="J133:K133"/>
    <mergeCell ref="A135:K135"/>
    <mergeCell ref="H141:I141"/>
    <mergeCell ref="J141:K141"/>
    <mergeCell ref="A157:G157"/>
    <mergeCell ref="H157:I157"/>
    <mergeCell ref="J157:K157"/>
    <mergeCell ref="A159:K159"/>
    <mergeCell ref="H165:I165"/>
    <mergeCell ref="J165:K165"/>
    <mergeCell ref="A147:K147"/>
    <mergeCell ref="H153:I153"/>
    <mergeCell ref="J153:K153"/>
    <mergeCell ref="H154:I154"/>
    <mergeCell ref="J154:K154"/>
    <mergeCell ref="A171:K171"/>
    <mergeCell ref="H177:I177"/>
    <mergeCell ref="J177:K177"/>
    <mergeCell ref="H178:I178"/>
    <mergeCell ref="J178:K178"/>
    <mergeCell ref="H166:I166"/>
    <mergeCell ref="J166:K166"/>
    <mergeCell ref="A169:G169"/>
    <mergeCell ref="H169:I169"/>
    <mergeCell ref="J169:K169"/>
    <mergeCell ref="H190:I190"/>
    <mergeCell ref="J190:K190"/>
    <mergeCell ref="H198:I198"/>
    <mergeCell ref="J198:K198"/>
    <mergeCell ref="A181:G181"/>
    <mergeCell ref="H181:I181"/>
    <mergeCell ref="J181:K181"/>
    <mergeCell ref="A183:K183"/>
    <mergeCell ref="H189:I189"/>
    <mergeCell ref="J189:K189"/>
    <mergeCell ref="A204:K204"/>
    <mergeCell ref="H210:I210"/>
    <mergeCell ref="J210:K210"/>
    <mergeCell ref="H211:I211"/>
    <mergeCell ref="J211:K211"/>
    <mergeCell ref="H199:I199"/>
    <mergeCell ref="J199:K199"/>
    <mergeCell ref="A202:G202"/>
    <mergeCell ref="H202:I202"/>
    <mergeCell ref="J202:K202"/>
    <mergeCell ref="A228:G228"/>
    <mergeCell ref="H228:I228"/>
    <mergeCell ref="J228:K228"/>
    <mergeCell ref="H223:I223"/>
    <mergeCell ref="J223:K223"/>
    <mergeCell ref="A226:G226"/>
    <mergeCell ref="H226:I226"/>
    <mergeCell ref="J226:K226"/>
    <mergeCell ref="A214:G214"/>
    <mergeCell ref="H214:I214"/>
    <mergeCell ref="J214:K214"/>
    <mergeCell ref="A216:K216"/>
    <mergeCell ref="H222:I222"/>
    <mergeCell ref="J222:K2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52C2-2951-4D5A-AA32-5BDB80682A51}">
  <dimension ref="A1:K27"/>
  <sheetViews>
    <sheetView workbookViewId="0">
      <selection activeCell="A3" sqref="A3:K3"/>
    </sheetView>
  </sheetViews>
  <sheetFormatPr defaultRowHeight="12.5" x14ac:dyDescent="0.25"/>
  <cols>
    <col min="1" max="1" width="5.54296875" customWidth="1"/>
    <col min="2" max="2" width="11.54296875" customWidth="1"/>
    <col min="3" max="3" width="40.54296875" customWidth="1"/>
    <col min="4" max="4" width="11.54296875" customWidth="1"/>
    <col min="5" max="5" width="8.453125" bestFit="1" customWidth="1"/>
    <col min="6" max="6" width="11.54296875" customWidth="1"/>
    <col min="7" max="7" width="8.453125" bestFit="1" customWidth="1"/>
    <col min="11" max="11" width="12.26953125" customWidth="1"/>
  </cols>
  <sheetData>
    <row r="1" spans="1:11" x14ac:dyDescent="0.25">
      <c r="A1" s="1"/>
    </row>
    <row r="2" spans="1:11" ht="14" x14ac:dyDescent="0.3">
      <c r="A2" s="2"/>
      <c r="B2" s="2"/>
      <c r="C2" s="2"/>
      <c r="D2" s="2"/>
      <c r="E2" s="2"/>
      <c r="F2" s="2"/>
      <c r="G2" s="2"/>
      <c r="H2" s="2"/>
      <c r="I2" s="2"/>
      <c r="J2" s="148" t="s">
        <v>251</v>
      </c>
      <c r="K2" s="148"/>
    </row>
    <row r="3" spans="1:11" ht="29.15" customHeight="1" x14ac:dyDescent="0.35">
      <c r="A3" s="149" t="str">
        <f>ССРСС!A11</f>
        <v>Выполнение работ по капитальному ремонту здания в Басманном районе ЦАО города Москвы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x14ac:dyDescent="0.25">
      <c r="A4" s="150" t="s">
        <v>231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49" t="s">
        <v>1809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</row>
    <row r="7" spans="1:11" ht="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4">
      <c r="A8" s="152" t="s">
        <v>1810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x14ac:dyDescent="0.25">
      <c r="A9" s="153" t="s">
        <v>232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</row>
    <row r="10" spans="1:11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70" x14ac:dyDescent="0.3">
      <c r="A12" s="2"/>
      <c r="B12" s="2"/>
      <c r="C12" s="2"/>
      <c r="D12" s="2"/>
      <c r="E12" s="2"/>
      <c r="F12" s="2"/>
      <c r="G12" s="2"/>
      <c r="H12" s="2"/>
      <c r="I12" s="4" t="s">
        <v>233</v>
      </c>
      <c r="J12" s="4" t="s">
        <v>234</v>
      </c>
      <c r="K12" s="2"/>
    </row>
    <row r="13" spans="1:11" ht="14" x14ac:dyDescent="0.3">
      <c r="A13" s="2"/>
      <c r="B13" s="2"/>
      <c r="C13" s="2"/>
      <c r="D13" s="2"/>
      <c r="E13" s="163" t="s">
        <v>17</v>
      </c>
      <c r="F13" s="163"/>
      <c r="G13" s="163"/>
      <c r="H13" s="163"/>
      <c r="I13" s="5">
        <v>2.48</v>
      </c>
      <c r="J13" s="5">
        <v>31.51</v>
      </c>
      <c r="K13" s="6" t="s">
        <v>326</v>
      </c>
    </row>
    <row r="14" spans="1:11" ht="14" x14ac:dyDescent="0.3">
      <c r="A14" s="2"/>
      <c r="B14" s="2"/>
      <c r="C14" s="2"/>
      <c r="D14" s="2"/>
      <c r="E14" s="2"/>
      <c r="F14" s="26"/>
      <c r="G14" s="26"/>
      <c r="H14" s="26"/>
      <c r="I14" s="7"/>
      <c r="J14" s="7"/>
      <c r="K14" s="2"/>
    </row>
    <row r="15" spans="1:11" ht="14" x14ac:dyDescent="0.3">
      <c r="A15" s="2" t="s">
        <v>252</v>
      </c>
      <c r="B15" s="2"/>
      <c r="C15" s="2"/>
      <c r="D15" s="2"/>
      <c r="E15" s="2"/>
      <c r="F15" s="26"/>
      <c r="G15" s="26"/>
      <c r="H15" s="26"/>
      <c r="I15" s="7"/>
      <c r="J15" s="7"/>
      <c r="K15" s="2"/>
    </row>
    <row r="16" spans="1:11" ht="42.75" customHeight="1" x14ac:dyDescent="0.3">
      <c r="A16" s="146" t="s">
        <v>457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</row>
    <row r="17" spans="1:11" ht="112" x14ac:dyDescent="0.25">
      <c r="A17" s="8" t="s">
        <v>241</v>
      </c>
      <c r="B17" s="8" t="s">
        <v>242</v>
      </c>
      <c r="C17" s="8" t="s">
        <v>243</v>
      </c>
      <c r="D17" s="8" t="s">
        <v>244</v>
      </c>
      <c r="E17" s="8" t="s">
        <v>245</v>
      </c>
      <c r="F17" s="8" t="s">
        <v>246</v>
      </c>
      <c r="G17" s="9" t="s">
        <v>247</v>
      </c>
      <c r="H17" s="9" t="s">
        <v>248</v>
      </c>
      <c r="I17" s="8" t="s">
        <v>254</v>
      </c>
      <c r="J17" s="8" t="s">
        <v>249</v>
      </c>
      <c r="K17" s="8" t="s">
        <v>250</v>
      </c>
    </row>
    <row r="18" spans="1:11" ht="14" x14ac:dyDescent="0.25">
      <c r="A18" s="8">
        <v>1</v>
      </c>
      <c r="B18" s="8">
        <v>2</v>
      </c>
      <c r="C18" s="8">
        <v>3</v>
      </c>
      <c r="D18" s="8">
        <v>4</v>
      </c>
      <c r="E18" s="8">
        <v>5</v>
      </c>
      <c r="F18" s="8">
        <v>6</v>
      </c>
      <c r="G18" s="8">
        <v>7</v>
      </c>
      <c r="H18" s="8">
        <v>8</v>
      </c>
      <c r="I18" s="8">
        <v>9</v>
      </c>
      <c r="J18" s="8">
        <v>10</v>
      </c>
      <c r="K18" s="8">
        <v>11</v>
      </c>
    </row>
    <row r="19" spans="1:11" ht="16.5" x14ac:dyDescent="0.25">
      <c r="A19" s="144" t="s">
        <v>1806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</row>
    <row r="20" spans="1:11" ht="42" x14ac:dyDescent="0.25">
      <c r="A20" s="17">
        <v>1</v>
      </c>
      <c r="B20" s="17" t="s">
        <v>1807</v>
      </c>
      <c r="C20" s="17" t="s">
        <v>1804</v>
      </c>
      <c r="D20" s="18" t="s">
        <v>28</v>
      </c>
      <c r="E20" s="19">
        <v>1.23125</v>
      </c>
      <c r="F20" s="20">
        <v>1853.64</v>
      </c>
      <c r="G20" s="37"/>
      <c r="H20" s="19">
        <v>1</v>
      </c>
      <c r="I20" s="20">
        <v>2282.29</v>
      </c>
      <c r="J20" s="19">
        <v>12.79</v>
      </c>
      <c r="K20" s="20">
        <v>29190.49</v>
      </c>
    </row>
    <row r="21" spans="1:11" ht="14" x14ac:dyDescent="0.25">
      <c r="C21" s="22" t="s">
        <v>267</v>
      </c>
      <c r="H21" s="143">
        <v>2282.29</v>
      </c>
      <c r="I21" s="143"/>
      <c r="J21" s="143">
        <v>29190.49</v>
      </c>
      <c r="K21" s="143"/>
    </row>
    <row r="23" spans="1:11" ht="42" x14ac:dyDescent="0.25">
      <c r="A23" s="17">
        <v>2</v>
      </c>
      <c r="B23" s="17" t="s">
        <v>1808</v>
      </c>
      <c r="C23" s="17" t="s">
        <v>1805</v>
      </c>
      <c r="D23" s="18" t="s">
        <v>28</v>
      </c>
      <c r="E23" s="19">
        <v>9.0999999999999998E-2</v>
      </c>
      <c r="F23" s="20">
        <v>2205.0300000000002</v>
      </c>
      <c r="G23" s="37"/>
      <c r="H23" s="19">
        <v>1</v>
      </c>
      <c r="I23" s="20">
        <v>200.66</v>
      </c>
      <c r="J23" s="19">
        <v>11.56</v>
      </c>
      <c r="K23" s="20">
        <v>2319.63</v>
      </c>
    </row>
    <row r="24" spans="1:11" ht="14" x14ac:dyDescent="0.25">
      <c r="C24" s="22" t="s">
        <v>267</v>
      </c>
      <c r="H24" s="143">
        <v>200.66</v>
      </c>
      <c r="I24" s="143"/>
      <c r="J24" s="143">
        <v>2319.63</v>
      </c>
      <c r="K24" s="143"/>
    </row>
    <row r="27" spans="1:11" ht="14" x14ac:dyDescent="0.3">
      <c r="A27" s="140" t="s">
        <v>1811</v>
      </c>
      <c r="B27" s="140"/>
      <c r="C27" s="140"/>
      <c r="D27" s="140"/>
      <c r="E27" s="140"/>
      <c r="F27" s="140"/>
      <c r="G27" s="140"/>
      <c r="H27" s="141">
        <v>2482.9499999999998</v>
      </c>
      <c r="I27" s="142"/>
      <c r="J27" s="141">
        <v>31510.12</v>
      </c>
      <c r="K27" s="142"/>
    </row>
  </sheetData>
  <mergeCells count="16">
    <mergeCell ref="E13:H13"/>
    <mergeCell ref="A16:K16"/>
    <mergeCell ref="J2:K2"/>
    <mergeCell ref="A3:K3"/>
    <mergeCell ref="A4:K4"/>
    <mergeCell ref="A6:K6"/>
    <mergeCell ref="A8:K8"/>
    <mergeCell ref="A9:K9"/>
    <mergeCell ref="A27:G27"/>
    <mergeCell ref="H27:I27"/>
    <mergeCell ref="J27:K27"/>
    <mergeCell ref="A19:K19"/>
    <mergeCell ref="H21:I21"/>
    <mergeCell ref="J21:K21"/>
    <mergeCell ref="H24:I24"/>
    <mergeCell ref="J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23</vt:i4>
      </vt:variant>
      <vt:variant>
        <vt:lpstr>Именованные диапазоны</vt:lpstr>
      </vt:variant>
      <vt:variant>
        <vt:i4>2</vt:i4>
      </vt:variant>
    </vt:vector>
  </HeadingPairs>
  <TitlesOfParts>
    <vt:vector size="25" baseType="lpstr">
      <vt:lpstr>ССРСС</vt:lpstr>
      <vt:lpstr>ОСР 02-01</vt:lpstr>
      <vt:lpstr>ЛС 02-01-01</vt:lpstr>
      <vt:lpstr>ЛС 02-01-02</vt:lpstr>
      <vt:lpstr>ЛС 02-01-03</vt:lpstr>
      <vt:lpstr>ЛС 02-01-04</vt:lpstr>
      <vt:lpstr>ЛС 02-01-05</vt:lpstr>
      <vt:lpstr>ЛС 02-01-06</vt:lpstr>
      <vt:lpstr>ЛС 02-01-07</vt:lpstr>
      <vt:lpstr>ЛС 02-01-08</vt:lpstr>
      <vt:lpstr>ЛС 02-01-09</vt:lpstr>
      <vt:lpstr>ЛС 02-01-10</vt:lpstr>
      <vt:lpstr>ЛС 02-01-11</vt:lpstr>
      <vt:lpstr>ЛС 02-01-12</vt:lpstr>
      <vt:lpstr>ЛС 02-01-13</vt:lpstr>
      <vt:lpstr>ЛС 02-01-14</vt:lpstr>
      <vt:lpstr>ЛС 02-01-15</vt:lpstr>
      <vt:lpstr>ЛС 02-01-16</vt:lpstr>
      <vt:lpstr>ЛС 02-01-17</vt:lpstr>
      <vt:lpstr>ЛС 02-01-18</vt:lpstr>
      <vt:lpstr>ЛС 02-01-19</vt:lpstr>
      <vt:lpstr>ЛС 09-01-01</vt:lpstr>
      <vt:lpstr>Возврат</vt:lpstr>
      <vt:lpstr>'ЛС 02-01-03'!Заголовки_для_печати</vt:lpstr>
      <vt:lpstr>'ЛС 02-01-03'!Область_печати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Лосицкая Анастасия Олеговна</dc:creator>
  <cp:lastModifiedBy>Велкова Виктория Анатольевна</cp:lastModifiedBy>
  <dcterms:created xsi:type="dcterms:W3CDTF">2026-08-20T06:19:26Z</dcterms:created>
  <dcterms:modified xsi:type="dcterms:W3CDTF">2026-08-22T09:18:29Z</dcterms:modified>
</cp:coreProperties>
</file>
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Project\sst-audit\data\"/>
    </mc:Choice>
  </mc:AlternateContent>
  <xr:revisionPtr revIDLastSave="0" documentId="8_{5566D76B-1A25-4193-8C02-FE6380DA6025}" xr6:coauthVersionLast="46" xr6:coauthVersionMax="46" xr10:uidLastSave="{00000000-0000-0000-0000-000000000000}"/>
  <bookViews>
    <workbookView xWindow="-108" yWindow="-108" windowWidth="23256" windowHeight="14616" xr2:uid="{C0CBB24A-FA91-4A4E-9E2D-EC99E694EE8A}"/>
  </bookViews>
  <sheets>
    <sheet name="ЛС 02-01-14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<sst xmlns="http://schemas.openxmlformats.org/spreadsheetml/2006/main" count="490" uniqueCount="134">
  <si>
    <t>Форма № 4б</t>
  </si>
  <si>
    <t>(наименование стройки и/или объекта)</t>
  </si>
  <si>
    <t>ЛОКАЛЬНАЯ СМЕТА № 02-01-14</t>
  </si>
  <si>
    <t>Система охранного теленаблюдения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</si>
  <si>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</si>
  <si>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</si>
  <si>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</si>
  <si>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</si>
  <si>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 xml:space="preserve"> тыс.руб.</t>
  </si>
  <si>
    <t>Строительные работы</t>
  </si>
  <si>
    <t>Работы по монтажу оборудования</t>
  </si>
  <si>
    <t>Оборудование</t>
  </si>
  <si>
    <t>Средства на оплату труда</t>
  </si>
  <si>
    <t>Затраты труда</t>
  </si>
  <si>
    <t>чел.-ч.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</si>
  <si>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</si>
  <si>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№220 II квартал 2026 года и Коэффициенты к ТСН-2001.13-2 Дополнение 47 №65 II квартал 2026 года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</si>
  <si>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</si>
  <si>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</si>
  <si>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</si>
  <si>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</si>
  <si>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</si>
  <si>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</si>
  <si>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</si>
  <si>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</si>
  <si>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</si>
  <si>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</si>
  <si>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</si>
  <si>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Раздел: Оборудование</t>
  </si>
  <si>
    <r>
      <t>4.10-174-2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</si>
  <si>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наружной камеры видеонаблюдения</t>
  </si>
  <si>
    <t>10 шт.</t>
  </si>
  <si>
    <t>Объем: 0,5=5/10</t>
  </si>
  <si>
    <t>ЗП</t>
  </si>
  <si>
    <t>1,2</t>
  </si>
  <si>
    <t>ЭМ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</si>
  <si>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</si>
  <si>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</si>
  <si>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</si>
  <si>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</si>
  <si>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</si>
  <si>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</si>
  <si>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</si>
  <si>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</si>
  <si>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</si>
  <si>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по позиции:</t>
  </si>
  <si>
    <t>Прайс-лист</t>
  </si>
  <si>
    <r>
      <t>ОБОРУДОВАНИЕ:
Цилиндрическая IP-видеокамера с фиксированным объективом IP 4 Мп; размер матрицы 1/2.9"; встроенный микрофон; Дальность ИК подсветки 80м; режим "день/ночь"; PoE 7 Вт; -40 ~ +60°C, (2/8-12)</t>
    </r>
    <r>
      <rPr>
        <i/>
        <sz val="10"/>
        <rFont val="Arial"/>
        <family val="2"/>
        <charset val="204"/>
      </rPr>
      <t xml:space="preserve">
1 236,60 = [10 913 / 1,22 /  7,54] +  3% Трансп +  1,2% Заг.скл</t>
    </r>
  </si>
  <si>
    <t>ШТ</t>
  </si>
  <si>
    <r>
      <t>4.10-136-1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</si>
  <si>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коробки телевизионной (ответвители, разветвители магистральные, домовые, абонентские), УСС, БФТК</t>
  </si>
  <si>
    <t>1  ШТ.</t>
  </si>
  <si>
    <r>
      <t xml:space="preserve">ОБОРУДОВАНИЕ:
Устройство грозозащиты </t>
    </r>
    <r>
      <rPr>
        <i/>
        <sz val="10"/>
        <rFont val="Arial"/>
        <family val="2"/>
        <charset val="204"/>
      </rPr>
      <t xml:space="preserve">
326,34 = [2 880 / 1,22 /  7,54] +  3% Трансп +  1,2% Заг.скл</t>
    </r>
  </si>
  <si>
    <r>
      <t>4.10-174-1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</si>
  <si>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внутренней камеры видеонаблюдения</t>
  </si>
  <si>
    <t>Объем: 1,7=17/10</t>
  </si>
  <si>
    <r>
      <t xml:space="preserve">ОБОРУДОВАНИЕ:
IP-видеокамера купольная 4Мп с фиксированным объективом 2,8мм  </t>
    </r>
    <r>
      <rPr>
        <i/>
        <sz val="10"/>
        <rFont val="Arial"/>
        <family val="2"/>
        <charset val="204"/>
      </rPr>
      <t xml:space="preserve">
1 585,28 = [13 990 / 1,22 /  7,54] +  3% Трансп +  1,2% Заг.скл</t>
    </r>
  </si>
  <si>
    <r>
      <t>4.10-72-14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</si>
  <si>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устройства цифровой регистрации</t>
  </si>
  <si>
    <t>1 устройство</t>
  </si>
  <si>
    <r>
      <t xml:space="preserve">ОБОРУДОВАНИЕ:
Видеорегистратор до 32 IP-видеокамер </t>
    </r>
    <r>
      <rPr>
        <i/>
        <sz val="10"/>
        <rFont val="Arial"/>
        <family val="2"/>
        <charset val="204"/>
      </rPr>
      <t xml:space="preserve">
2 275,93 = [20 085 / 1,22 /  7,54] +  3% Трансп +  1,2% Заг.скл</t>
    </r>
  </si>
  <si>
    <r>
      <t>4.10-34-5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</si>
  <si>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коммутатора служебной связи</t>
  </si>
  <si>
    <r>
      <t xml:space="preserve">ОБОРУДОВАНИЕ:
Коммутатор сетевой </t>
    </r>
    <r>
      <rPr>
        <i/>
        <sz val="10"/>
        <rFont val="Arial"/>
        <family val="2"/>
        <charset val="204"/>
      </rPr>
      <t xml:space="preserve">
4 798,88 = [42 350 / 1,22 /  7,54] +  3% Трансп +  1,2% Заг.скл</t>
    </r>
  </si>
  <si>
    <r>
      <t>4.10-32-4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</si>
  <si>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платы дополнительной, устанавливаемой на готовом месте стойки</t>
  </si>
  <si>
    <t>Объем: 2=1+1</t>
  </si>
  <si>
    <r>
      <t xml:space="preserve">ОБОРУДОВАНИЕ:
Модуль защиты </t>
    </r>
    <r>
      <rPr>
        <i/>
        <sz val="10"/>
        <rFont val="Arial"/>
        <family val="2"/>
        <charset val="204"/>
      </rPr>
      <t xml:space="preserve">
220,86 = [1 949 / 1,22 /  7,54] +  3% Трансп +  1,2% Заг.скл</t>
    </r>
  </si>
  <si>
    <r>
      <t>ОБОРУДОВАНИЕ:
Универсальный корпус 19"</t>
    </r>
    <r>
      <rPr>
        <i/>
        <sz val="10"/>
        <rFont val="Arial"/>
        <family val="2"/>
        <charset val="204"/>
      </rPr>
      <t xml:space="preserve">
363,07 = [3 204 / 1,22 /  7,54] +  3% Трансп +  1,2% Заг.скл</t>
    </r>
  </si>
  <si>
    <r>
      <t>4.11-7-1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</si>
  <si>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аппарата настольного массой до 0,015 т</t>
  </si>
  <si>
    <r>
      <t xml:space="preserve">ОБОРУДОВАНИЕ:
Автоматизированное рабочее место, моноблок </t>
    </r>
    <r>
      <rPr>
        <i/>
        <sz val="10"/>
        <rFont val="Arial"/>
        <family val="2"/>
        <charset val="204"/>
      </rPr>
      <t xml:space="preserve">
16 661,80 = [147 040 / 1,22 /  7,54] +  3% Трансп +  1,2% Заг.скл</t>
    </r>
  </si>
  <si>
    <t>13.1-14-104</t>
  </si>
  <si>
    <t>ОБОРУДОВАНИЕ:_x000D_
Клавиатура компьютерная проводная, интерфейс USB. Материал корпуса пластик, влагозащищенная конструкция, индикатор Caps Lock, индикатор Num Lock</t>
  </si>
  <si>
    <t>шт.</t>
  </si>
  <si>
    <t>13.1-14-105</t>
  </si>
  <si>
    <t>ОБОРУДОВАНИЕ:_x000D_
Мышь компьютерная проводная оптическая, интерфейс USB</t>
  </si>
  <si>
    <r>
      <t>4.10-27-4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</si>
  <si>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и включение перемычки кабельной между секциями одного статива без укладки в кабельном канале</t>
  </si>
  <si>
    <t>100 перемычек</t>
  </si>
  <si>
    <t>Объем: 0,27=27/100</t>
  </si>
  <si>
    <r>
      <t xml:space="preserve">Коммутационный шнур (патч-корд) кат.5E 1м синий </t>
    </r>
    <r>
      <rPr>
        <i/>
        <sz val="10"/>
        <rFont val="Arial"/>
        <family val="2"/>
        <charset val="204"/>
      </rPr>
      <t xml:space="preserve">
19,68 = [239,53 / 1,22 /  10,18] +  2% Заг.скл</t>
    </r>
  </si>
  <si>
    <r>
      <t xml:space="preserve">Изолирующий колпачек для разъемов </t>
    </r>
    <r>
      <rPr>
        <i/>
        <sz val="10"/>
        <rFont val="Arial"/>
        <family val="2"/>
        <charset val="204"/>
      </rPr>
      <t xml:space="preserve">
0,32 = [3,79 / 1,22 /  10,18] +  2% Заг.скл</t>
    </r>
  </si>
  <si>
    <r>
      <t>Mонтажная коробка для цилиндрических камер на стену, white</t>
    </r>
    <r>
      <rPr>
        <i/>
        <sz val="10"/>
        <rFont val="Arial"/>
        <family val="2"/>
        <charset val="204"/>
      </rPr>
      <t xml:space="preserve">
231,11 = [2 814 / 1,22 /  10,18] +  2% Заг.скл</t>
    </r>
  </si>
  <si>
    <r>
      <t>4.10-173-2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</si>
  <si>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блока бесперебойного питания (ББП) в диспетчерской</t>
  </si>
  <si>
    <r>
      <t>ОБОРУДОВАНИЕ:
Источник бесперебойного питания 1500 Вт,36В (3x9Ач)</t>
    </r>
    <r>
      <rPr>
        <i/>
        <sz val="10"/>
        <rFont val="Arial"/>
        <family val="2"/>
        <charset val="204"/>
      </rPr>
      <t xml:space="preserve">
7 525,80 = [66 415 / 1,22 /  7,54] +  3% Трансп +  1,2% Заг.скл</t>
    </r>
  </si>
  <si>
    <t>Итого по разделу: Оборудование</t>
  </si>
  <si>
    <t>Раздел: Материалы и кабельные изделия</t>
  </si>
  <si>
    <r>
      <t>4.11-12-1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</si>
  <si>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Установка съемных и выдвижных блоков (модулей, ячеек, ТЭЗ) массой до 5 кг</t>
  </si>
  <si>
    <r>
      <t xml:space="preserve">ОБОРУДОВАНИЕ:
1U патч-панель кат.5E 24 порта высокой  плотности </t>
    </r>
    <r>
      <rPr>
        <i/>
        <sz val="10"/>
        <rFont val="Arial"/>
        <family val="2"/>
        <charset val="204"/>
      </rPr>
      <t xml:space="preserve">
493,37 = [4 354 / 1,22 /  7,54] +  3% Трансп +  1,2% Заг.скл</t>
    </r>
  </si>
  <si>
    <t>Итого по разделу: Материалы и кабельные изделия</t>
  </si>
  <si>
    <t>Раздел: Кабельные изделия</t>
  </si>
  <si>
    <r>
      <t>4.10-186-5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</si>
  <si>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</si>
  <si>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100 м</t>
  </si>
  <si>
    <t>Объем: 10=1000/100</t>
  </si>
  <si>
    <t>26,1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</si>
  <si>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</si>
  <si>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</si>
  <si>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</si>
  <si>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26,2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</si>
  <si>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</si>
  <si>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</si>
  <si>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</si>
  <si>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r>
      <t>4.8-280-2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</si>
  <si>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пластикового кабель-канала по бетонному основанию</t>
  </si>
  <si>
    <t>Объем: 3=300/100</t>
  </si>
  <si>
    <t>27,1</t>
  </si>
  <si>
    <t>1.1-1-1962</t>
  </si>
  <si>
    <t>Кабель-канал, размер 10х15 мм/10х12мм</t>
  </si>
  <si>
    <r>
      <t>4.8-174-1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</si>
  <si>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металлического рукава, наружный диаметр до 48 мм</t>
  </si>
  <si>
    <t>Объем: 0,1=10/100</t>
  </si>
  <si>
    <t>28,1</t>
  </si>
  <si>
    <t>1.21-5-435</t>
  </si>
  <si>
    <t>Рукав металлический, типа РЗ-ЦХ, из стальной оцинкованной ленты, негерметичный, с уплотнением хлопчатобумажной нитью, условный диаметр 20 мм</t>
  </si>
  <si>
    <r>
      <t>4.8-162-1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</si>
  <si>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Прокладка в коробах провода сечением до 6 мм2</t>
  </si>
  <si>
    <r>
      <t>Кабель витая пара U/UTP в общем экране, cat 5e, 4х2х0.52,  оболочка из ПВХ пластиката пониженной пожарной опасности с  низким дымо- и газовыделением, цвет оболочки зеленый  U/UTP Cat5e типа  PVCLS нг(A)-HFx4x2x0.52</t>
    </r>
    <r>
      <rPr>
        <i/>
        <sz val="10"/>
        <rFont val="Arial"/>
        <family val="2"/>
        <charset val="204"/>
      </rPr>
      <t xml:space="preserve">
7,81 = [95,09 / 1,22 /  10,18] +  2% Заг.скл</t>
    </r>
  </si>
  <si>
    <t>Итого по разделу: Кабельные изделия</t>
  </si>
  <si>
    <t>Раздел: Телекамукационный шкаф СОТ</t>
  </si>
  <si>
    <r>
      <t>4.10-32-1</t>
    </r>
    <r>
      <rPr>
        <i/>
        <sz val="10"/>
        <rFont val="Arial"/>
        <family val="2"/>
        <charset val="204"/>
      </rPr>
      <t xml:space="preserve">
Поправка: Гл.12.Прил.8.п.8. 3_12.00.01.11.001</t>
    </r>
  </si>
  <si>
    <t>Монтаж стойки, полустойки, каркаса стойки или шкафа массой до 100 кг</t>
  </si>
  <si>
    <r>
      <t>ОБОРУДОВАНИЕ:
Шкаф монтажный телекоммуникационный 19" напольный  для распределительного и серверного оборудования 32U  600x600x1610mm (ШхГхВ) передняя стеклянная и задняя сплошная  металлическая двери, ручка с замком, цвет серый</t>
    </r>
    <r>
      <rPr>
        <i/>
        <sz val="10"/>
        <rFont val="Arial"/>
        <family val="2"/>
        <charset val="204"/>
      </rPr>
      <t xml:space="preserve">
5 921,61 = [52 258 / 1,22 /  7,54] +  3% Трансп +  1,2% Заг.скл</t>
    </r>
  </si>
  <si>
    <r>
      <t>ОБОРУДОВАНИЕ:
Вентиляторный модуль 19", 4 вентилятора серый</t>
    </r>
    <r>
      <rPr>
        <i/>
        <sz val="10"/>
        <rFont val="Arial"/>
        <family val="2"/>
        <charset val="204"/>
      </rPr>
      <t xml:space="preserve">
1 681,48 = [14 839 / 1,22 /  7,54] +  3% Трансп +  1,2% Заг.скл</t>
    </r>
  </si>
  <si>
    <r>
      <t xml:space="preserve">ОБОРУДОВАНИЕ:
Органайзер для кабеля 1U с крышкой </t>
    </r>
    <r>
      <rPr>
        <i/>
        <sz val="10"/>
        <rFont val="Arial"/>
        <family val="2"/>
        <charset val="204"/>
      </rPr>
      <t xml:space="preserve">
94,73 = [836 / 1,22 /  7,54] +  3% Трансп +  1,2% Заг.скл</t>
    </r>
  </si>
  <si>
    <r>
      <t>ОБОРУДОВАНИЕ:
Выдвижная полка 19" для клавиатуры, серая</t>
    </r>
    <r>
      <rPr>
        <i/>
        <sz val="10"/>
        <rFont val="Arial"/>
        <family val="2"/>
        <charset val="204"/>
      </rPr>
      <t xml:space="preserve">
261,99 = [2 312 / 1,22 /  7,54] +  3% Трансп +  1,2% Заг.скл</t>
    </r>
  </si>
  <si>
    <r>
      <t>ОБОРУДОВАНИЕ:
Фальш-панель</t>
    </r>
    <r>
      <rPr>
        <i/>
        <sz val="10"/>
        <rFont val="Arial"/>
        <family val="2"/>
        <charset val="204"/>
      </rPr>
      <t xml:space="preserve">
36,48 = [322 / 1,22 /  7,54] +  3% Трансп +  1,2% Заг.скл</t>
    </r>
  </si>
  <si>
    <r>
      <t>Блок евророзеток для 19" шкафов 16А ,8 розеток</t>
    </r>
    <r>
      <rPr>
        <i/>
        <sz val="10"/>
        <rFont val="Arial"/>
        <family val="2"/>
        <charset val="204"/>
      </rPr>
      <t xml:space="preserve">
233,16 = [2 839 / 1,22 /  10,18] +  2% Заг.скл</t>
    </r>
  </si>
  <si>
    <r>
      <t xml:space="preserve">Набор кабелей заземления </t>
    </r>
    <r>
      <rPr>
        <i/>
        <sz val="10"/>
        <rFont val="Arial"/>
        <family val="2"/>
        <charset val="204"/>
      </rPr>
      <t xml:space="preserve">
95,02 = [1 157 / 1,22 /  10,18] +  2% Заг.скл</t>
    </r>
  </si>
  <si>
    <t>Итого по разделу: Телекамукационный шкаф СОТ</t>
  </si>
  <si>
    <t xml:space="preserve">Итого по смете: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</si>
</sst>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11" x14ac:knownFonts="1">
    <font>
      <sz val="10"/>
      <name val="Arial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0"/>
      <name val="Arial"/>
      <family val="2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7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3" fillId="0" borderId="0" xfId="0" quotePrefix="1" applyFont="1" applyAlignment="1">
      <alignment horizontal="right" vertical="top" wrapText="1"/>
    </xf>
    <xf numFmtId="164" fontId="10" fillId="0" borderId="0" xfId="0" applyNumberFormat="1" applyFont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0" fontId="3" fillId="0" borderId="1" xfId="0" quotePrefix="1" applyFont="1" applyBorder="1" applyAlignment="1">
      <alignment horizontal="right" vertical="top" wrapText="1"/>
    </xf>
    <xf numFmtId="0" fontId="7" fillId="0" borderId="0" xfId="0" applyFont="1" applyAlignment="1">
      <alignment vertical="top"/>
    </xf>
    <xf numFmtId="164" fontId="7" fillId="0" borderId="2" xfId="0" applyNumberFormat="1" applyFont="1" applyBorder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eta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СРСС"/>
      <sheetName val="ОСР 02-01"/>
      <sheetName val="ЛС 02-01-01"/>
      <sheetName val="ЛС 02-01-02"/>
      <sheetName val="ЛС 02-01-03"/>
      <sheetName val="ЛС 02-01-04"/>
      <sheetName val="ЛС 02-01-05"/>
      <sheetName val="ЛС 02-01-06"/>
      <sheetName val="ЛС 02-01-07"/>
      <sheetName val="ЛС 02-01-08"/>
      <sheetName val="ЛС 02-01-09"/>
      <sheetName val="ЛС 02-01-10"/>
      <sheetName val="ЛС 02-01-11"/>
      <sheetName val="ЛС 02-01-12"/>
      <sheetName val="ЛС 02-01-13"/>
      <sheetName val="ЛС 02-01-14"/>
      <sheetName val="ЛС 02-01-15"/>
      <sheetName val="ЛС 02-01-16"/>
      <sheetName val="ЛС 02-01-17"/>
      <sheetName val="ЛС 02-01-18"/>
      <sheetName val="ЛС 02-01-19"/>
      <sheetName val="ЛС 09-01-01"/>
      <sheetName val="Возврат"/>
    </sheetNames>
    <sheetDataSet>
      <sheetData sheetId="0">
        <row r="11">
          <cell r="A11" t="str">
            <v>Выполнение работ по капитальному ремонту здания в Басманном районе ЦАО города Москвы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9739-9912-4CA4-8C28-83578D6CDCC7}">
  <dimension ref="A1:K291"/>
  <sheetViews>
    <sheetView tabSelected="1" workbookViewId="0">
      <selection activeCell="O15" sqref="O15"/>
    </sheetView>
  </sheetViews>
  <sheetFormatPr defaultColWidth="9.21875" defaultRowHeight="13.2" x14ac:dyDescent="0.25"/>
  <cols>
    <col min="1" max="1" width="5.5546875" style="2" customWidth="1"/>
    <col min="2" max="2" width="11.5546875" style="2" customWidth="1"/>
    <col min="3" max="3" width="40.5546875" style="2" customWidth="1"/>
    <col min="4" max="4" width="11.5546875" style="2" customWidth="1"/>
    <col min="5" max="5" width="7.5546875" style="2" bestFit="1" customWidth="1"/>
    <col min="6" max="6" width="10.21875" style="2" bestFit="1" customWidth="1"/>
    <col min="7" max="7" width="8.5546875" style="2" bestFit="1" customWidth="1"/>
    <col min="8" max="8" width="9.21875" style="2" bestFit="1" customWidth="1"/>
    <col min="9" max="9" width="10.21875" style="2" bestFit="1" customWidth="1"/>
    <col min="10" max="10" width="9.21875" style="2" bestFit="1" customWidth="1"/>
    <col min="11" max="11" width="11.21875" style="2" bestFit="1" customWidth="1"/>
    <col min="12" max="16384" width="9.21875" style="2"/>
  </cols>
  <sheetData>
    <row r="1" spans="1:11" x14ac:dyDescent="0.25">
      <c r="A1" s="1"/>
    </row>
    <row r="2" spans="1:11" ht="13.8" x14ac:dyDescent="0.25">
      <c r="A2" s="3"/>
      <c r="B2" s="3"/>
      <c r="C2" s="3"/>
      <c r="D2" s="3"/>
      <c r="E2" s="3"/>
      <c r="F2" s="3"/>
      <c r="G2" s="3"/>
      <c r="H2" s="3"/>
      <c r="I2" s="3"/>
      <c r="J2" s="4" t="s">
        <v>0</v>
      </c>
      <c r="K2" s="4"/>
    </row>
    <row r="3" spans="1:11" ht="30.75" customHeight="1" x14ac:dyDescent="0.25">
      <c r="A3" s="5" t="str">
        <f>[1]ССРСС!A11</f>
        <v>Выполнение работ по капитальному ремонту здания в Басманном районе ЦАО города Москвы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3.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7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3.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399999999999999" x14ac:dyDescent="0.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10" t="s">
        <v>4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13.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3.8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55.2" x14ac:dyDescent="0.25">
      <c r="A12" s="3"/>
      <c r="B12" s="3"/>
      <c r="C12" s="3"/>
      <c r="D12" s="3"/>
      <c r="E12" s="3"/>
      <c r="F12" s="3"/>
      <c r="G12" s="3"/>
      <c r="H12" s="3"/>
      <c r="I12" s="13" t="s">
        <v>5</v>
      </c>
      <c r="J12" s="13" t="s">
        <v>6</v>
      </c>
      <c r="K12" s="3"/>
    </row>
    <row r="13" spans="1:11" ht="13.8" x14ac:dyDescent="0.25">
      <c r="A13" s="3"/>
      <c r="B13" s="3"/>
      <c r="C13" s="3"/>
      <c r="D13" s="3"/>
      <c r="E13" s="14" t="s">
        <v>7</v>
      </c>
      <c r="F13" s="14"/>
      <c r="G13" s="14"/>
      <c r="H13" s="14"/>
      <c r="I13" s="15">
        <v>116.6</v>
      </c>
      <c r="J13" s="15">
        <v>1565.76</v>
      </c>
      <c r="K13" s="16" t="s">
        <v>8</v>
      </c>
    </row>
    <row r="14" spans="1:11" ht="13.8" x14ac:dyDescent="0.25">
      <c r="A14" s="3"/>
      <c r="B14" s="3"/>
      <c r="C14" s="3"/>
      <c r="D14" s="3"/>
      <c r="E14" s="17" t="s">
        <v>9</v>
      </c>
      <c r="F14" s="17"/>
      <c r="G14" s="17"/>
      <c r="H14" s="17"/>
      <c r="I14" s="18">
        <v>12.38</v>
      </c>
      <c r="J14" s="18">
        <v>126.04</v>
      </c>
      <c r="K14" s="3" t="s">
        <v>8</v>
      </c>
    </row>
    <row r="15" spans="1:11" ht="13.8" x14ac:dyDescent="0.25">
      <c r="A15" s="3"/>
      <c r="B15" s="3"/>
      <c r="C15" s="3"/>
      <c r="D15" s="3"/>
      <c r="E15" s="17" t="s">
        <v>10</v>
      </c>
      <c r="F15" s="17"/>
      <c r="G15" s="17"/>
      <c r="H15" s="17"/>
      <c r="I15" s="18">
        <v>28.89</v>
      </c>
      <c r="J15" s="18">
        <v>872.27</v>
      </c>
      <c r="K15" s="3" t="s">
        <v>8</v>
      </c>
    </row>
    <row r="16" spans="1:11" ht="13.8" x14ac:dyDescent="0.25">
      <c r="A16" s="3"/>
      <c r="B16" s="3"/>
      <c r="C16" s="3"/>
      <c r="D16" s="3"/>
      <c r="E16" s="17" t="s">
        <v>11</v>
      </c>
      <c r="F16" s="17"/>
      <c r="G16" s="17"/>
      <c r="H16" s="17"/>
      <c r="I16" s="18">
        <v>75.33</v>
      </c>
      <c r="J16" s="18">
        <v>567.45000000000005</v>
      </c>
      <c r="K16" s="3" t="s">
        <v>8</v>
      </c>
    </row>
    <row r="17" spans="1:11" ht="13.8" x14ac:dyDescent="0.25">
      <c r="A17" s="3"/>
      <c r="B17" s="3"/>
      <c r="C17" s="3"/>
      <c r="D17" s="3"/>
      <c r="E17" s="17" t="s">
        <v>12</v>
      </c>
      <c r="F17" s="17"/>
      <c r="G17" s="17"/>
      <c r="H17" s="17"/>
      <c r="I17" s="18">
        <v>5.68</v>
      </c>
      <c r="J17" s="18">
        <v>324.17</v>
      </c>
      <c r="K17" s="3" t="s">
        <v>8</v>
      </c>
    </row>
    <row r="18" spans="1:11" ht="13.8" x14ac:dyDescent="0.25">
      <c r="A18" s="3"/>
      <c r="B18" s="3"/>
      <c r="C18" s="3"/>
      <c r="D18" s="3"/>
      <c r="E18" s="17" t="s">
        <v>13</v>
      </c>
      <c r="F18" s="17"/>
      <c r="G18" s="17"/>
      <c r="H18" s="17"/>
      <c r="I18" s="18">
        <v>456.19</v>
      </c>
      <c r="J18" s="18"/>
      <c r="K18" s="3" t="s">
        <v>14</v>
      </c>
    </row>
    <row r="19" spans="1:11" ht="13.8" x14ac:dyDescent="0.25">
      <c r="A19" s="3"/>
      <c r="B19" s="3"/>
      <c r="C19" s="3"/>
      <c r="D19" s="3"/>
      <c r="E19" s="3"/>
      <c r="F19" s="19"/>
      <c r="G19" s="19"/>
      <c r="H19" s="19"/>
      <c r="I19" s="18"/>
      <c r="J19" s="18"/>
      <c r="K19" s="3"/>
    </row>
    <row r="20" spans="1:11" ht="13.8" x14ac:dyDescent="0.25">
      <c r="A20" s="3" t="s">
        <v>15</v>
      </c>
      <c r="B20" s="3"/>
      <c r="C20" s="3"/>
      <c r="D20" s="3"/>
      <c r="E20" s="3"/>
      <c r="F20" s="19"/>
      <c r="G20" s="19"/>
      <c r="H20" s="19"/>
      <c r="I20" s="18"/>
      <c r="J20" s="18"/>
      <c r="K20" s="3"/>
    </row>
    <row r="21" spans="1:11" ht="35.25" customHeight="1" x14ac:dyDescent="0.25">
      <c r="A21" s="20" t="s">
        <v>16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96.6" x14ac:dyDescent="0.25">
      <c r="A22" s="21" t="s">
        <v>17</v>
      </c>
      <c r="B22" s="21" t="s">
        <v>18</v>
      </c>
      <c r="C22" s="21" t="s">
        <v>19</v>
      </c>
      <c r="D22" s="21" t="s">
        <v>20</v>
      </c>
      <c r="E22" s="21" t="s">
        <v>21</v>
      </c>
      <c r="F22" s="21" t="s">
        <v>22</v>
      </c>
      <c r="G22" s="22" t="s">
        <v>23</v>
      </c>
      <c r="H22" s="22" t="s">
        <v>24</v>
      </c>
      <c r="I22" s="21" t="s">
        <v>25</v>
      </c>
      <c r="J22" s="21" t="s">
        <v>26</v>
      </c>
      <c r="K22" s="21" t="s">
        <v>27</v>
      </c>
    </row>
    <row r="23" spans="1:11" ht="13.8" x14ac:dyDescent="0.25">
      <c r="A23" s="21">
        <v>1</v>
      </c>
      <c r="B23" s="21">
        <v>2</v>
      </c>
      <c r="C23" s="21">
        <v>3</v>
      </c>
      <c r="D23" s="21">
        <v>4</v>
      </c>
      <c r="E23" s="21">
        <v>5</v>
      </c>
      <c r="F23" s="21">
        <v>6</v>
      </c>
      <c r="G23" s="21">
        <v>7</v>
      </c>
      <c r="H23" s="21">
        <v>8</v>
      </c>
      <c r="I23" s="21">
        <v>9</v>
      </c>
      <c r="J23" s="21">
        <v>10</v>
      </c>
      <c r="K23" s="21">
        <v>11</v>
      </c>
    </row>
    <row r="24" spans="1:11" ht="16.8" x14ac:dyDescent="0.25">
      <c r="A24" s="23" t="s">
        <v>28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79.8" x14ac:dyDescent="0.25">
      <c r="A25" s="24">
        <v>1</v>
      </c>
      <c r="B25" s="24" t="s">
        <v>29</v>
      </c>
      <c r="C25" s="24" t="s">
        <v>30</v>
      </c>
      <c r="D25" s="25" t="s">
        <v>31</v>
      </c>
      <c r="E25" s="26">
        <v>0.5</v>
      </c>
      <c r="F25" s="27"/>
      <c r="G25" s="28"/>
      <c r="H25" s="26"/>
      <c r="I25" s="27"/>
      <c r="J25" s="26"/>
      <c r="K25" s="27"/>
    </row>
    <row r="26" spans="1:11" x14ac:dyDescent="0.25">
      <c r="C26" s="29" t="s">
        <v>32</v>
      </c>
    </row>
    <row r="27" spans="1:11" ht="14.4" x14ac:dyDescent="0.25">
      <c r="A27" s="24"/>
      <c r="B27" s="24"/>
      <c r="C27" s="24" t="s">
        <v>33</v>
      </c>
      <c r="D27" s="25"/>
      <c r="E27" s="26"/>
      <c r="F27" s="27">
        <v>401.27</v>
      </c>
      <c r="G27" s="30" t="s">
        <v>34</v>
      </c>
      <c r="H27" s="26">
        <v>1</v>
      </c>
      <c r="I27" s="27">
        <v>240.76</v>
      </c>
      <c r="J27" s="26">
        <v>57.05</v>
      </c>
      <c r="K27" s="27">
        <v>13735.36</v>
      </c>
    </row>
    <row r="28" spans="1:11" ht="14.4" x14ac:dyDescent="0.25">
      <c r="A28" s="24"/>
      <c r="B28" s="24"/>
      <c r="C28" s="24" t="s">
        <v>35</v>
      </c>
      <c r="D28" s="25"/>
      <c r="E28" s="26"/>
      <c r="F28" s="27">
        <v>2.36</v>
      </c>
      <c r="G28" s="30" t="s">
        <v>34</v>
      </c>
      <c r="H28" s="26">
        <v>1</v>
      </c>
      <c r="I28" s="27">
        <v>1.42</v>
      </c>
      <c r="J28" s="26">
        <v>11.47</v>
      </c>
      <c r="K28" s="27">
        <v>16.29</v>
      </c>
    </row>
    <row r="29" spans="1:11" ht="14.4" x14ac:dyDescent="0.25">
      <c r="A29" s="24"/>
      <c r="B29" s="24"/>
      <c r="C29" s="24" t="s">
        <v>36</v>
      </c>
      <c r="D29" s="25"/>
      <c r="E29" s="26"/>
      <c r="F29" s="27">
        <v>0.13</v>
      </c>
      <c r="G29" s="30" t="s">
        <v>34</v>
      </c>
      <c r="H29" s="26">
        <v>1</v>
      </c>
      <c r="I29" s="31">
        <v>0.08</v>
      </c>
      <c r="J29" s="26">
        <v>57.05</v>
      </c>
      <c r="K29" s="31">
        <v>4.5599999999999996</v>
      </c>
    </row>
    <row r="30" spans="1:11" ht="14.4" x14ac:dyDescent="0.25">
      <c r="A30" s="24"/>
      <c r="B30" s="24"/>
      <c r="C30" s="24" t="s">
        <v>37</v>
      </c>
      <c r="D30" s="25"/>
      <c r="E30" s="26"/>
      <c r="F30" s="27">
        <v>42.51</v>
      </c>
      <c r="G30" s="30" t="s">
        <v>38</v>
      </c>
      <c r="H30" s="26">
        <v>1</v>
      </c>
      <c r="I30" s="27">
        <v>21.26</v>
      </c>
      <c r="J30" s="26">
        <v>1.84</v>
      </c>
      <c r="K30" s="27">
        <v>39.119999999999997</v>
      </c>
    </row>
    <row r="31" spans="1:11" ht="14.4" x14ac:dyDescent="0.25">
      <c r="A31" s="24"/>
      <c r="B31" s="24"/>
      <c r="C31" s="24" t="s">
        <v>39</v>
      </c>
      <c r="D31" s="25" t="s">
        <v>40</v>
      </c>
      <c r="E31" s="26">
        <v>90</v>
      </c>
      <c r="F31" s="27"/>
      <c r="G31" s="28"/>
      <c r="H31" s="26"/>
      <c r="I31" s="27">
        <v>216.76</v>
      </c>
      <c r="J31" s="26">
        <v>90</v>
      </c>
      <c r="K31" s="27">
        <v>12365.93</v>
      </c>
    </row>
    <row r="32" spans="1:11" ht="14.4" x14ac:dyDescent="0.25">
      <c r="A32" s="24"/>
      <c r="B32" s="24"/>
      <c r="C32" s="24" t="s">
        <v>41</v>
      </c>
      <c r="D32" s="25" t="s">
        <v>40</v>
      </c>
      <c r="E32" s="26">
        <v>46</v>
      </c>
      <c r="F32" s="27"/>
      <c r="G32" s="28"/>
      <c r="H32" s="26"/>
      <c r="I32" s="27">
        <v>110.79</v>
      </c>
      <c r="J32" s="26">
        <v>46</v>
      </c>
      <c r="K32" s="27">
        <v>6320.36</v>
      </c>
    </row>
    <row r="33" spans="1:11" ht="14.4" x14ac:dyDescent="0.25">
      <c r="A33" s="32"/>
      <c r="B33" s="32"/>
      <c r="C33" s="32" t="s">
        <v>42</v>
      </c>
      <c r="D33" s="33" t="s">
        <v>43</v>
      </c>
      <c r="E33" s="34">
        <v>25.33</v>
      </c>
      <c r="F33" s="35"/>
      <c r="G33" s="36" t="s">
        <v>34</v>
      </c>
      <c r="H33" s="34">
        <v>1</v>
      </c>
      <c r="I33" s="35">
        <v>15.2</v>
      </c>
      <c r="J33" s="34"/>
      <c r="K33" s="35"/>
    </row>
    <row r="34" spans="1:11" ht="13.8" x14ac:dyDescent="0.25">
      <c r="C34" s="37" t="s">
        <v>44</v>
      </c>
      <c r="H34" s="38">
        <v>590.99</v>
      </c>
      <c r="I34" s="38"/>
      <c r="J34" s="38">
        <v>32477.06</v>
      </c>
      <c r="K34" s="38"/>
    </row>
    <row r="35" spans="1:11" ht="13.8" x14ac:dyDescent="0.25">
      <c r="C35" s="37" t="s">
        <v>45</v>
      </c>
      <c r="H35" s="39">
        <v>590.99</v>
      </c>
      <c r="I35" s="39"/>
      <c r="J35" s="39">
        <v>32477.06</v>
      </c>
      <c r="K35" s="39"/>
    </row>
    <row r="37" spans="1:11" ht="123" x14ac:dyDescent="0.25">
      <c r="A37" s="32">
        <v>2</v>
      </c>
      <c r="B37" s="32" t="s">
        <v>46</v>
      </c>
      <c r="C37" s="32" t="s">
        <v>47</v>
      </c>
      <c r="D37" s="33" t="s">
        <v>48</v>
      </c>
      <c r="E37" s="34">
        <v>5</v>
      </c>
      <c r="F37" s="35">
        <v>1236.5999999999999</v>
      </c>
      <c r="G37" s="36" t="s">
        <v>38</v>
      </c>
      <c r="H37" s="34">
        <v>1</v>
      </c>
      <c r="I37" s="35">
        <v>6183</v>
      </c>
      <c r="J37" s="34">
        <v>7.54</v>
      </c>
      <c r="K37" s="35">
        <v>46619.82</v>
      </c>
    </row>
    <row r="38" spans="1:11" ht="13.8" x14ac:dyDescent="0.25">
      <c r="C38" s="37" t="s">
        <v>45</v>
      </c>
      <c r="H38" s="38">
        <v>6183</v>
      </c>
      <c r="I38" s="38"/>
      <c r="J38" s="38">
        <v>46619.82</v>
      </c>
      <c r="K38" s="38"/>
    </row>
    <row r="40" spans="1:11" ht="79.8" x14ac:dyDescent="0.25">
      <c r="A40" s="24">
        <v>3</v>
      </c>
      <c r="B40" s="24" t="s">
        <v>49</v>
      </c>
      <c r="C40" s="24" t="s">
        <v>50</v>
      </c>
      <c r="D40" s="25" t="s">
        <v>51</v>
      </c>
      <c r="E40" s="26">
        <v>5</v>
      </c>
      <c r="F40" s="27"/>
      <c r="G40" s="28"/>
      <c r="H40" s="26"/>
      <c r="I40" s="27"/>
      <c r="J40" s="26"/>
      <c r="K40" s="27"/>
    </row>
    <row r="41" spans="1:11" ht="14.4" x14ac:dyDescent="0.25">
      <c r="A41" s="24"/>
      <c r="B41" s="24"/>
      <c r="C41" s="24" t="s">
        <v>33</v>
      </c>
      <c r="D41" s="25"/>
      <c r="E41" s="26"/>
      <c r="F41" s="27">
        <v>11.02</v>
      </c>
      <c r="G41" s="30" t="s">
        <v>34</v>
      </c>
      <c r="H41" s="26">
        <v>1</v>
      </c>
      <c r="I41" s="27">
        <v>66.12</v>
      </c>
      <c r="J41" s="26">
        <v>57.05</v>
      </c>
      <c r="K41" s="27">
        <v>3772.15</v>
      </c>
    </row>
    <row r="42" spans="1:11" ht="14.4" x14ac:dyDescent="0.25">
      <c r="A42" s="24"/>
      <c r="B42" s="24"/>
      <c r="C42" s="24" t="s">
        <v>37</v>
      </c>
      <c r="D42" s="25"/>
      <c r="E42" s="26"/>
      <c r="F42" s="27">
        <v>0.3</v>
      </c>
      <c r="G42" s="30" t="s">
        <v>38</v>
      </c>
      <c r="H42" s="26">
        <v>1</v>
      </c>
      <c r="I42" s="27">
        <v>1.5</v>
      </c>
      <c r="J42" s="26">
        <v>7.37</v>
      </c>
      <c r="K42" s="27">
        <v>11.06</v>
      </c>
    </row>
    <row r="43" spans="1:11" ht="14.4" x14ac:dyDescent="0.25">
      <c r="A43" s="24"/>
      <c r="B43" s="24"/>
      <c r="C43" s="24" t="s">
        <v>39</v>
      </c>
      <c r="D43" s="25" t="s">
        <v>40</v>
      </c>
      <c r="E43" s="26">
        <v>95</v>
      </c>
      <c r="F43" s="27"/>
      <c r="G43" s="28"/>
      <c r="H43" s="26"/>
      <c r="I43" s="27">
        <v>62.81</v>
      </c>
      <c r="J43" s="26">
        <v>95</v>
      </c>
      <c r="K43" s="27">
        <v>3583.54</v>
      </c>
    </row>
    <row r="44" spans="1:11" ht="14.4" x14ac:dyDescent="0.25">
      <c r="A44" s="24"/>
      <c r="B44" s="24"/>
      <c r="C44" s="24" t="s">
        <v>41</v>
      </c>
      <c r="D44" s="25" t="s">
        <v>40</v>
      </c>
      <c r="E44" s="26">
        <v>53</v>
      </c>
      <c r="F44" s="27"/>
      <c r="G44" s="28"/>
      <c r="H44" s="26"/>
      <c r="I44" s="27">
        <v>35.04</v>
      </c>
      <c r="J44" s="26">
        <v>53</v>
      </c>
      <c r="K44" s="27">
        <v>1999.24</v>
      </c>
    </row>
    <row r="45" spans="1:11" ht="14.4" x14ac:dyDescent="0.25">
      <c r="A45" s="32"/>
      <c r="B45" s="32"/>
      <c r="C45" s="32" t="s">
        <v>42</v>
      </c>
      <c r="D45" s="33" t="s">
        <v>43</v>
      </c>
      <c r="E45" s="34">
        <v>0.8</v>
      </c>
      <c r="F45" s="35"/>
      <c r="G45" s="36" t="s">
        <v>34</v>
      </c>
      <c r="H45" s="34">
        <v>1</v>
      </c>
      <c r="I45" s="35">
        <v>4.8</v>
      </c>
      <c r="J45" s="34"/>
      <c r="K45" s="35"/>
    </row>
    <row r="46" spans="1:11" ht="13.8" x14ac:dyDescent="0.25">
      <c r="C46" s="37" t="s">
        <v>44</v>
      </c>
      <c r="H46" s="38">
        <v>165.47</v>
      </c>
      <c r="I46" s="38"/>
      <c r="J46" s="38">
        <v>9365.99</v>
      </c>
      <c r="K46" s="38"/>
    </row>
    <row r="47" spans="1:11" ht="13.8" x14ac:dyDescent="0.25">
      <c r="C47" s="37" t="s">
        <v>45</v>
      </c>
      <c r="H47" s="39">
        <v>165.47</v>
      </c>
      <c r="I47" s="39"/>
      <c r="J47" s="39">
        <v>9365.99</v>
      </c>
      <c r="K47" s="39"/>
    </row>
    <row r="49" spans="1:11" ht="54" x14ac:dyDescent="0.25">
      <c r="A49" s="32">
        <v>4</v>
      </c>
      <c r="B49" s="32" t="s">
        <v>46</v>
      </c>
      <c r="C49" s="32" t="s">
        <v>52</v>
      </c>
      <c r="D49" s="33" t="s">
        <v>48</v>
      </c>
      <c r="E49" s="34">
        <v>5</v>
      </c>
      <c r="F49" s="35">
        <v>326.33999999999997</v>
      </c>
      <c r="G49" s="36" t="s">
        <v>38</v>
      </c>
      <c r="H49" s="34">
        <v>1</v>
      </c>
      <c r="I49" s="35">
        <v>1631.7</v>
      </c>
      <c r="J49" s="34">
        <v>7.54</v>
      </c>
      <c r="K49" s="35">
        <v>12303.02</v>
      </c>
    </row>
    <row r="50" spans="1:11" ht="13.8" x14ac:dyDescent="0.25">
      <c r="C50" s="37" t="s">
        <v>45</v>
      </c>
      <c r="H50" s="38">
        <v>1631.7</v>
      </c>
      <c r="I50" s="38"/>
      <c r="J50" s="38">
        <v>12303.02</v>
      </c>
      <c r="K50" s="38"/>
    </row>
    <row r="52" spans="1:11" ht="79.8" x14ac:dyDescent="0.25">
      <c r="A52" s="24">
        <v>5</v>
      </c>
      <c r="B52" s="24" t="s">
        <v>53</v>
      </c>
      <c r="C52" s="24" t="s">
        <v>54</v>
      </c>
      <c r="D52" s="25" t="s">
        <v>31</v>
      </c>
      <c r="E52" s="26">
        <v>1.7</v>
      </c>
      <c r="F52" s="27"/>
      <c r="G52" s="28"/>
      <c r="H52" s="26"/>
      <c r="I52" s="27"/>
      <c r="J52" s="26"/>
      <c r="K52" s="27"/>
    </row>
    <row r="53" spans="1:11" x14ac:dyDescent="0.25">
      <c r="C53" s="29" t="s">
        <v>55</v>
      </c>
    </row>
    <row r="54" spans="1:11" ht="14.4" x14ac:dyDescent="0.25">
      <c r="A54" s="24"/>
      <c r="B54" s="24"/>
      <c r="C54" s="24" t="s">
        <v>33</v>
      </c>
      <c r="D54" s="25"/>
      <c r="E54" s="26"/>
      <c r="F54" s="27">
        <v>247.42</v>
      </c>
      <c r="G54" s="30" t="s">
        <v>34</v>
      </c>
      <c r="H54" s="26">
        <v>1</v>
      </c>
      <c r="I54" s="27">
        <v>504.74</v>
      </c>
      <c r="J54" s="26">
        <v>57.05</v>
      </c>
      <c r="K54" s="27">
        <v>28795.42</v>
      </c>
    </row>
    <row r="55" spans="1:11" ht="14.4" x14ac:dyDescent="0.25">
      <c r="A55" s="24"/>
      <c r="B55" s="24"/>
      <c r="C55" s="24" t="s">
        <v>35</v>
      </c>
      <c r="D55" s="25"/>
      <c r="E55" s="26"/>
      <c r="F55" s="27">
        <v>2.36</v>
      </c>
      <c r="G55" s="30" t="s">
        <v>34</v>
      </c>
      <c r="H55" s="26">
        <v>1</v>
      </c>
      <c r="I55" s="27">
        <v>4.8099999999999996</v>
      </c>
      <c r="J55" s="26">
        <v>11.47</v>
      </c>
      <c r="K55" s="27">
        <v>55.17</v>
      </c>
    </row>
    <row r="56" spans="1:11" ht="14.4" x14ac:dyDescent="0.25">
      <c r="A56" s="24"/>
      <c r="B56" s="24"/>
      <c r="C56" s="24" t="s">
        <v>36</v>
      </c>
      <c r="D56" s="25"/>
      <c r="E56" s="26"/>
      <c r="F56" s="27">
        <v>0.13</v>
      </c>
      <c r="G56" s="30" t="s">
        <v>34</v>
      </c>
      <c r="H56" s="26">
        <v>1</v>
      </c>
      <c r="I56" s="31">
        <v>0.27</v>
      </c>
      <c r="J56" s="26">
        <v>57.05</v>
      </c>
      <c r="K56" s="31">
        <v>15.4</v>
      </c>
    </row>
    <row r="57" spans="1:11" ht="14.4" x14ac:dyDescent="0.25">
      <c r="A57" s="24"/>
      <c r="B57" s="24"/>
      <c r="C57" s="24" t="s">
        <v>37</v>
      </c>
      <c r="D57" s="25"/>
      <c r="E57" s="26"/>
      <c r="F57" s="27">
        <v>42.51</v>
      </c>
      <c r="G57" s="30" t="s">
        <v>38</v>
      </c>
      <c r="H57" s="26">
        <v>1</v>
      </c>
      <c r="I57" s="27">
        <v>72.27</v>
      </c>
      <c r="J57" s="26">
        <v>1.84</v>
      </c>
      <c r="K57" s="27">
        <v>132.97999999999999</v>
      </c>
    </row>
    <row r="58" spans="1:11" ht="14.4" x14ac:dyDescent="0.25">
      <c r="A58" s="24"/>
      <c r="B58" s="24"/>
      <c r="C58" s="24" t="s">
        <v>39</v>
      </c>
      <c r="D58" s="25" t="s">
        <v>40</v>
      </c>
      <c r="E58" s="26">
        <v>90</v>
      </c>
      <c r="F58" s="27"/>
      <c r="G58" s="28"/>
      <c r="H58" s="26"/>
      <c r="I58" s="27">
        <v>454.51</v>
      </c>
      <c r="J58" s="26">
        <v>90</v>
      </c>
      <c r="K58" s="27">
        <v>25929.74</v>
      </c>
    </row>
    <row r="59" spans="1:11" ht="14.4" x14ac:dyDescent="0.25">
      <c r="A59" s="24"/>
      <c r="B59" s="24"/>
      <c r="C59" s="24" t="s">
        <v>41</v>
      </c>
      <c r="D59" s="25" t="s">
        <v>40</v>
      </c>
      <c r="E59" s="26">
        <v>46</v>
      </c>
      <c r="F59" s="27"/>
      <c r="G59" s="28"/>
      <c r="H59" s="26"/>
      <c r="I59" s="27">
        <v>232.3</v>
      </c>
      <c r="J59" s="26">
        <v>46</v>
      </c>
      <c r="K59" s="27">
        <v>13252.98</v>
      </c>
    </row>
    <row r="60" spans="1:11" ht="14.4" x14ac:dyDescent="0.25">
      <c r="A60" s="32"/>
      <c r="B60" s="32"/>
      <c r="C60" s="32" t="s">
        <v>42</v>
      </c>
      <c r="D60" s="33" t="s">
        <v>43</v>
      </c>
      <c r="E60" s="34">
        <v>15.54</v>
      </c>
      <c r="F60" s="35"/>
      <c r="G60" s="36" t="s">
        <v>34</v>
      </c>
      <c r="H60" s="34">
        <v>1</v>
      </c>
      <c r="I60" s="35">
        <v>31.7</v>
      </c>
      <c r="J60" s="34"/>
      <c r="K60" s="35"/>
    </row>
    <row r="61" spans="1:11" ht="13.8" x14ac:dyDescent="0.25">
      <c r="C61" s="37" t="s">
        <v>44</v>
      </c>
      <c r="H61" s="38">
        <v>1268.6300000000001</v>
      </c>
      <c r="I61" s="38"/>
      <c r="J61" s="38">
        <v>68166.289999999994</v>
      </c>
      <c r="K61" s="38"/>
    </row>
    <row r="62" spans="1:11" ht="13.8" x14ac:dyDescent="0.25">
      <c r="C62" s="37" t="s">
        <v>45</v>
      </c>
      <c r="H62" s="39">
        <v>1268.6300000000001</v>
      </c>
      <c r="I62" s="39"/>
      <c r="J62" s="39">
        <v>68166.289999999994</v>
      </c>
      <c r="K62" s="39"/>
    </row>
    <row r="64" spans="1:11" ht="67.8" x14ac:dyDescent="0.25">
      <c r="A64" s="32">
        <v>6</v>
      </c>
      <c r="B64" s="32" t="s">
        <v>46</v>
      </c>
      <c r="C64" s="32" t="s">
        <v>56</v>
      </c>
      <c r="D64" s="33" t="s">
        <v>48</v>
      </c>
      <c r="E64" s="34">
        <v>17</v>
      </c>
      <c r="F64" s="35">
        <v>1585.28</v>
      </c>
      <c r="G64" s="36" t="s">
        <v>38</v>
      </c>
      <c r="H64" s="34">
        <v>1</v>
      </c>
      <c r="I64" s="35">
        <v>26949.759999999998</v>
      </c>
      <c r="J64" s="34">
        <v>7.54</v>
      </c>
      <c r="K64" s="35">
        <v>203201.19</v>
      </c>
    </row>
    <row r="65" spans="1:11" ht="13.8" x14ac:dyDescent="0.25">
      <c r="C65" s="37" t="s">
        <v>45</v>
      </c>
      <c r="H65" s="38">
        <v>26949.759999999998</v>
      </c>
      <c r="I65" s="38"/>
      <c r="J65" s="38">
        <v>203201.19</v>
      </c>
      <c r="K65" s="38"/>
    </row>
    <row r="67" spans="1:11" ht="79.8" x14ac:dyDescent="0.25">
      <c r="A67" s="24">
        <v>7</v>
      </c>
      <c r="B67" s="24" t="s">
        <v>57</v>
      </c>
      <c r="C67" s="24" t="s">
        <v>58</v>
      </c>
      <c r="D67" s="25" t="s">
        <v>59</v>
      </c>
      <c r="E67" s="26">
        <v>1</v>
      </c>
      <c r="F67" s="27"/>
      <c r="G67" s="28"/>
      <c r="H67" s="26"/>
      <c r="I67" s="27"/>
      <c r="J67" s="26"/>
      <c r="K67" s="27"/>
    </row>
    <row r="68" spans="1:11" ht="14.4" x14ac:dyDescent="0.25">
      <c r="A68" s="24"/>
      <c r="B68" s="24"/>
      <c r="C68" s="24" t="s">
        <v>33</v>
      </c>
      <c r="D68" s="25"/>
      <c r="E68" s="26"/>
      <c r="F68" s="27">
        <v>95.12</v>
      </c>
      <c r="G68" s="30" t="s">
        <v>34</v>
      </c>
      <c r="H68" s="26">
        <v>1</v>
      </c>
      <c r="I68" s="27">
        <v>114.14</v>
      </c>
      <c r="J68" s="26">
        <v>57.05</v>
      </c>
      <c r="K68" s="27">
        <v>6511.69</v>
      </c>
    </row>
    <row r="69" spans="1:11" ht="14.4" x14ac:dyDescent="0.25">
      <c r="A69" s="24"/>
      <c r="B69" s="24"/>
      <c r="C69" s="24" t="s">
        <v>37</v>
      </c>
      <c r="D69" s="25"/>
      <c r="E69" s="26"/>
      <c r="F69" s="27">
        <v>1.1000000000000001</v>
      </c>
      <c r="G69" s="30" t="s">
        <v>38</v>
      </c>
      <c r="H69" s="26">
        <v>1</v>
      </c>
      <c r="I69" s="27">
        <v>1.1000000000000001</v>
      </c>
      <c r="J69" s="26">
        <v>14.2</v>
      </c>
      <c r="K69" s="27">
        <v>15.62</v>
      </c>
    </row>
    <row r="70" spans="1:11" ht="14.4" x14ac:dyDescent="0.25">
      <c r="A70" s="24"/>
      <c r="B70" s="24"/>
      <c r="C70" s="24" t="s">
        <v>39</v>
      </c>
      <c r="D70" s="25" t="s">
        <v>40</v>
      </c>
      <c r="E70" s="26">
        <v>95</v>
      </c>
      <c r="F70" s="27"/>
      <c r="G70" s="28"/>
      <c r="H70" s="26"/>
      <c r="I70" s="27">
        <v>108.43</v>
      </c>
      <c r="J70" s="26">
        <v>95</v>
      </c>
      <c r="K70" s="27">
        <v>6186.11</v>
      </c>
    </row>
    <row r="71" spans="1:11" ht="14.4" x14ac:dyDescent="0.25">
      <c r="A71" s="24"/>
      <c r="B71" s="24"/>
      <c r="C71" s="24" t="s">
        <v>41</v>
      </c>
      <c r="D71" s="25" t="s">
        <v>40</v>
      </c>
      <c r="E71" s="26">
        <v>53</v>
      </c>
      <c r="F71" s="27"/>
      <c r="G71" s="28"/>
      <c r="H71" s="26"/>
      <c r="I71" s="27">
        <v>60.49</v>
      </c>
      <c r="J71" s="26">
        <v>53</v>
      </c>
      <c r="K71" s="27">
        <v>3451.2</v>
      </c>
    </row>
    <row r="72" spans="1:11" ht="14.4" x14ac:dyDescent="0.25">
      <c r="A72" s="32"/>
      <c r="B72" s="32"/>
      <c r="C72" s="32" t="s">
        <v>42</v>
      </c>
      <c r="D72" s="33" t="s">
        <v>43</v>
      </c>
      <c r="E72" s="34">
        <v>8</v>
      </c>
      <c r="F72" s="35"/>
      <c r="G72" s="36" t="s">
        <v>34</v>
      </c>
      <c r="H72" s="34">
        <v>1</v>
      </c>
      <c r="I72" s="35">
        <v>9.6</v>
      </c>
      <c r="J72" s="34"/>
      <c r="K72" s="35"/>
    </row>
    <row r="73" spans="1:11" ht="13.8" x14ac:dyDescent="0.25">
      <c r="C73" s="37" t="s">
        <v>44</v>
      </c>
      <c r="H73" s="38">
        <v>284.16000000000003</v>
      </c>
      <c r="I73" s="38"/>
      <c r="J73" s="38">
        <v>16164.62</v>
      </c>
      <c r="K73" s="38"/>
    </row>
    <row r="74" spans="1:11" ht="13.8" x14ac:dyDescent="0.25">
      <c r="C74" s="37" t="s">
        <v>45</v>
      </c>
      <c r="H74" s="39">
        <v>284.16000000000003</v>
      </c>
      <c r="I74" s="39"/>
      <c r="J74" s="39">
        <v>16164.62</v>
      </c>
      <c r="K74" s="39"/>
    </row>
    <row r="76" spans="1:11" ht="54" x14ac:dyDescent="0.25">
      <c r="A76" s="32">
        <v>8</v>
      </c>
      <c r="B76" s="32" t="s">
        <v>46</v>
      </c>
      <c r="C76" s="32" t="s">
        <v>60</v>
      </c>
      <c r="D76" s="33" t="s">
        <v>48</v>
      </c>
      <c r="E76" s="34">
        <v>1</v>
      </c>
      <c r="F76" s="35">
        <v>2275.9299999999998</v>
      </c>
      <c r="G76" s="36" t="s">
        <v>38</v>
      </c>
      <c r="H76" s="34">
        <v>1</v>
      </c>
      <c r="I76" s="35">
        <v>2275.9299999999998</v>
      </c>
      <c r="J76" s="34">
        <v>7.54</v>
      </c>
      <c r="K76" s="35">
        <v>17160.509999999998</v>
      </c>
    </row>
    <row r="77" spans="1:11" ht="13.8" x14ac:dyDescent="0.25">
      <c r="C77" s="37" t="s">
        <v>45</v>
      </c>
      <c r="H77" s="38">
        <v>2275.9299999999998</v>
      </c>
      <c r="I77" s="38"/>
      <c r="J77" s="38">
        <v>17160.509999999998</v>
      </c>
      <c r="K77" s="38"/>
    </row>
    <row r="79" spans="1:11" ht="79.8" x14ac:dyDescent="0.25">
      <c r="A79" s="24">
        <v>9</v>
      </c>
      <c r="B79" s="24" t="s">
        <v>61</v>
      </c>
      <c r="C79" s="24" t="s">
        <v>62</v>
      </c>
      <c r="D79" s="25" t="s">
        <v>51</v>
      </c>
      <c r="E79" s="26">
        <v>1</v>
      </c>
      <c r="F79" s="27"/>
      <c r="G79" s="28"/>
      <c r="H79" s="26"/>
      <c r="I79" s="27"/>
      <c r="J79" s="26"/>
      <c r="K79" s="27"/>
    </row>
    <row r="80" spans="1:11" ht="14.4" x14ac:dyDescent="0.25">
      <c r="A80" s="24"/>
      <c r="B80" s="24"/>
      <c r="C80" s="24" t="s">
        <v>33</v>
      </c>
      <c r="D80" s="25"/>
      <c r="E80" s="26"/>
      <c r="F80" s="27">
        <v>78.239999999999995</v>
      </c>
      <c r="G80" s="30" t="s">
        <v>34</v>
      </c>
      <c r="H80" s="26">
        <v>1</v>
      </c>
      <c r="I80" s="27">
        <v>93.89</v>
      </c>
      <c r="J80" s="26">
        <v>57.05</v>
      </c>
      <c r="K80" s="27">
        <v>5356.42</v>
      </c>
    </row>
    <row r="81" spans="1:11" ht="14.4" x14ac:dyDescent="0.25">
      <c r="A81" s="24"/>
      <c r="B81" s="24"/>
      <c r="C81" s="24" t="s">
        <v>35</v>
      </c>
      <c r="D81" s="25"/>
      <c r="E81" s="26"/>
      <c r="F81" s="27">
        <v>28.71</v>
      </c>
      <c r="G81" s="30" t="s">
        <v>34</v>
      </c>
      <c r="H81" s="26">
        <v>1</v>
      </c>
      <c r="I81" s="27">
        <v>34.450000000000003</v>
      </c>
      <c r="J81" s="26">
        <v>16.510000000000002</v>
      </c>
      <c r="K81" s="27">
        <v>568.77</v>
      </c>
    </row>
    <row r="82" spans="1:11" ht="14.4" x14ac:dyDescent="0.25">
      <c r="A82" s="24"/>
      <c r="B82" s="24"/>
      <c r="C82" s="24" t="s">
        <v>36</v>
      </c>
      <c r="D82" s="25"/>
      <c r="E82" s="26"/>
      <c r="F82" s="27">
        <v>3.16</v>
      </c>
      <c r="G82" s="30" t="s">
        <v>34</v>
      </c>
      <c r="H82" s="26">
        <v>1</v>
      </c>
      <c r="I82" s="31">
        <v>3.79</v>
      </c>
      <c r="J82" s="26">
        <v>57.05</v>
      </c>
      <c r="K82" s="31">
        <v>216.22</v>
      </c>
    </row>
    <row r="83" spans="1:11" ht="14.4" x14ac:dyDescent="0.25">
      <c r="A83" s="24"/>
      <c r="B83" s="24"/>
      <c r="C83" s="24" t="s">
        <v>37</v>
      </c>
      <c r="D83" s="25"/>
      <c r="E83" s="26"/>
      <c r="F83" s="27">
        <v>12.35</v>
      </c>
      <c r="G83" s="30" t="s">
        <v>38</v>
      </c>
      <c r="H83" s="26">
        <v>1</v>
      </c>
      <c r="I83" s="27">
        <v>12.35</v>
      </c>
      <c r="J83" s="26">
        <v>14.64</v>
      </c>
      <c r="K83" s="27">
        <v>180.8</v>
      </c>
    </row>
    <row r="84" spans="1:11" ht="14.4" x14ac:dyDescent="0.25">
      <c r="A84" s="24"/>
      <c r="B84" s="24"/>
      <c r="C84" s="24" t="s">
        <v>39</v>
      </c>
      <c r="D84" s="25" t="s">
        <v>40</v>
      </c>
      <c r="E84" s="26">
        <v>90</v>
      </c>
      <c r="F84" s="27"/>
      <c r="G84" s="28"/>
      <c r="H84" s="26"/>
      <c r="I84" s="27">
        <v>87.91</v>
      </c>
      <c r="J84" s="26">
        <v>90</v>
      </c>
      <c r="K84" s="27">
        <v>5015.38</v>
      </c>
    </row>
    <row r="85" spans="1:11" ht="14.4" x14ac:dyDescent="0.25">
      <c r="A85" s="24"/>
      <c r="B85" s="24"/>
      <c r="C85" s="24" t="s">
        <v>41</v>
      </c>
      <c r="D85" s="25" t="s">
        <v>40</v>
      </c>
      <c r="E85" s="26">
        <v>46</v>
      </c>
      <c r="F85" s="27"/>
      <c r="G85" s="28"/>
      <c r="H85" s="26"/>
      <c r="I85" s="27">
        <v>44.93</v>
      </c>
      <c r="J85" s="26">
        <v>46</v>
      </c>
      <c r="K85" s="27">
        <v>2563.41</v>
      </c>
    </row>
    <row r="86" spans="1:11" ht="14.4" x14ac:dyDescent="0.25">
      <c r="A86" s="32"/>
      <c r="B86" s="32"/>
      <c r="C86" s="32" t="s">
        <v>42</v>
      </c>
      <c r="D86" s="33" t="s">
        <v>43</v>
      </c>
      <c r="E86" s="34">
        <v>6.2</v>
      </c>
      <c r="F86" s="35"/>
      <c r="G86" s="36" t="s">
        <v>34</v>
      </c>
      <c r="H86" s="34">
        <v>1</v>
      </c>
      <c r="I86" s="35">
        <v>7.44</v>
      </c>
      <c r="J86" s="34"/>
      <c r="K86" s="35"/>
    </row>
    <row r="87" spans="1:11" ht="13.8" x14ac:dyDescent="0.25">
      <c r="C87" s="37" t="s">
        <v>44</v>
      </c>
      <c r="H87" s="38">
        <v>273.52999999999997</v>
      </c>
      <c r="I87" s="38"/>
      <c r="J87" s="38">
        <v>13684.78</v>
      </c>
      <c r="K87" s="38"/>
    </row>
    <row r="88" spans="1:11" ht="13.8" x14ac:dyDescent="0.25">
      <c r="C88" s="37" t="s">
        <v>45</v>
      </c>
      <c r="H88" s="39">
        <v>273.52999999999997</v>
      </c>
      <c r="I88" s="39"/>
      <c r="J88" s="39">
        <v>13684.78</v>
      </c>
      <c r="K88" s="39"/>
    </row>
    <row r="90" spans="1:11" ht="54" x14ac:dyDescent="0.25">
      <c r="A90" s="32">
        <v>10</v>
      </c>
      <c r="B90" s="32" t="s">
        <v>46</v>
      </c>
      <c r="C90" s="32" t="s">
        <v>63</v>
      </c>
      <c r="D90" s="33" t="s">
        <v>48</v>
      </c>
      <c r="E90" s="34">
        <v>1</v>
      </c>
      <c r="F90" s="35">
        <v>4798.88</v>
      </c>
      <c r="G90" s="36" t="s">
        <v>38</v>
      </c>
      <c r="H90" s="34">
        <v>1</v>
      </c>
      <c r="I90" s="35">
        <v>4798.88</v>
      </c>
      <c r="J90" s="34">
        <v>7.54</v>
      </c>
      <c r="K90" s="35">
        <v>36183.56</v>
      </c>
    </row>
    <row r="91" spans="1:11" ht="13.8" x14ac:dyDescent="0.25">
      <c r="C91" s="37" t="s">
        <v>45</v>
      </c>
      <c r="H91" s="38">
        <v>4798.88</v>
      </c>
      <c r="I91" s="38"/>
      <c r="J91" s="38">
        <v>36183.56</v>
      </c>
      <c r="K91" s="38"/>
    </row>
    <row r="93" spans="1:11" ht="79.8" x14ac:dyDescent="0.25">
      <c r="A93" s="24">
        <v>11</v>
      </c>
      <c r="B93" s="24" t="s">
        <v>64</v>
      </c>
      <c r="C93" s="24" t="s">
        <v>65</v>
      </c>
      <c r="D93" s="25" t="s">
        <v>51</v>
      </c>
      <c r="E93" s="26">
        <v>2</v>
      </c>
      <c r="F93" s="27"/>
      <c r="G93" s="28"/>
      <c r="H93" s="26"/>
      <c r="I93" s="27"/>
      <c r="J93" s="26"/>
      <c r="K93" s="27"/>
    </row>
    <row r="94" spans="1:11" x14ac:dyDescent="0.25">
      <c r="C94" s="29" t="s">
        <v>66</v>
      </c>
    </row>
    <row r="95" spans="1:11" ht="14.4" x14ac:dyDescent="0.25">
      <c r="A95" s="24"/>
      <c r="B95" s="24"/>
      <c r="C95" s="24" t="s">
        <v>33</v>
      </c>
      <c r="D95" s="25"/>
      <c r="E95" s="26"/>
      <c r="F95" s="27">
        <v>23.48</v>
      </c>
      <c r="G95" s="30" t="s">
        <v>34</v>
      </c>
      <c r="H95" s="26">
        <v>1</v>
      </c>
      <c r="I95" s="27">
        <v>56.35</v>
      </c>
      <c r="J95" s="26">
        <v>57.05</v>
      </c>
      <c r="K95" s="27">
        <v>3214.77</v>
      </c>
    </row>
    <row r="96" spans="1:11" ht="14.4" x14ac:dyDescent="0.25">
      <c r="A96" s="24"/>
      <c r="B96" s="24"/>
      <c r="C96" s="24" t="s">
        <v>35</v>
      </c>
      <c r="D96" s="25"/>
      <c r="E96" s="26"/>
      <c r="F96" s="27">
        <v>9.19</v>
      </c>
      <c r="G96" s="30" t="s">
        <v>34</v>
      </c>
      <c r="H96" s="26">
        <v>1</v>
      </c>
      <c r="I96" s="27">
        <v>22.06</v>
      </c>
      <c r="J96" s="26">
        <v>16.5</v>
      </c>
      <c r="K96" s="27">
        <v>363.99</v>
      </c>
    </row>
    <row r="97" spans="1:11" ht="14.4" x14ac:dyDescent="0.25">
      <c r="A97" s="24"/>
      <c r="B97" s="24"/>
      <c r="C97" s="24" t="s">
        <v>36</v>
      </c>
      <c r="D97" s="25"/>
      <c r="E97" s="26"/>
      <c r="F97" s="27">
        <v>1.01</v>
      </c>
      <c r="G97" s="30" t="s">
        <v>34</v>
      </c>
      <c r="H97" s="26">
        <v>1</v>
      </c>
      <c r="I97" s="31">
        <v>2.42</v>
      </c>
      <c r="J97" s="26">
        <v>57.05</v>
      </c>
      <c r="K97" s="31">
        <v>138.06</v>
      </c>
    </row>
    <row r="98" spans="1:11" ht="14.4" x14ac:dyDescent="0.25">
      <c r="A98" s="24"/>
      <c r="B98" s="24"/>
      <c r="C98" s="24" t="s">
        <v>39</v>
      </c>
      <c r="D98" s="25" t="s">
        <v>40</v>
      </c>
      <c r="E98" s="26">
        <v>90</v>
      </c>
      <c r="F98" s="27"/>
      <c r="G98" s="28"/>
      <c r="H98" s="26"/>
      <c r="I98" s="27">
        <v>52.89</v>
      </c>
      <c r="J98" s="26">
        <v>90</v>
      </c>
      <c r="K98" s="27">
        <v>3017.55</v>
      </c>
    </row>
    <row r="99" spans="1:11" ht="14.4" x14ac:dyDescent="0.25">
      <c r="A99" s="24"/>
      <c r="B99" s="24"/>
      <c r="C99" s="24" t="s">
        <v>41</v>
      </c>
      <c r="D99" s="25" t="s">
        <v>40</v>
      </c>
      <c r="E99" s="26">
        <v>46</v>
      </c>
      <c r="F99" s="27"/>
      <c r="G99" s="28"/>
      <c r="H99" s="26"/>
      <c r="I99" s="27">
        <v>27.03</v>
      </c>
      <c r="J99" s="26">
        <v>46</v>
      </c>
      <c r="K99" s="27">
        <v>1542.3</v>
      </c>
    </row>
    <row r="100" spans="1:11" ht="14.4" x14ac:dyDescent="0.25">
      <c r="A100" s="32"/>
      <c r="B100" s="32"/>
      <c r="C100" s="32" t="s">
        <v>42</v>
      </c>
      <c r="D100" s="33" t="s">
        <v>43</v>
      </c>
      <c r="E100" s="34">
        <v>2.1</v>
      </c>
      <c r="F100" s="35"/>
      <c r="G100" s="36" t="s">
        <v>34</v>
      </c>
      <c r="H100" s="34">
        <v>1</v>
      </c>
      <c r="I100" s="35">
        <v>5.04</v>
      </c>
      <c r="J100" s="34"/>
      <c r="K100" s="35"/>
    </row>
    <row r="101" spans="1:11" ht="13.8" x14ac:dyDescent="0.25">
      <c r="C101" s="37" t="s">
        <v>44</v>
      </c>
      <c r="H101" s="38">
        <v>158.33000000000001</v>
      </c>
      <c r="I101" s="38"/>
      <c r="J101" s="38">
        <v>8138.61</v>
      </c>
      <c r="K101" s="38"/>
    </row>
    <row r="102" spans="1:11" ht="13.8" x14ac:dyDescent="0.25">
      <c r="C102" s="37" t="s">
        <v>45</v>
      </c>
      <c r="H102" s="39">
        <v>158.33000000000001</v>
      </c>
      <c r="I102" s="39"/>
      <c r="J102" s="39">
        <v>8138.61</v>
      </c>
      <c r="K102" s="39"/>
    </row>
    <row r="104" spans="1:11" ht="54" x14ac:dyDescent="0.25">
      <c r="A104" s="32">
        <v>12</v>
      </c>
      <c r="B104" s="32" t="s">
        <v>46</v>
      </c>
      <c r="C104" s="32" t="s">
        <v>67</v>
      </c>
      <c r="D104" s="33" t="s">
        <v>48</v>
      </c>
      <c r="E104" s="34">
        <v>1</v>
      </c>
      <c r="F104" s="35">
        <v>220.86</v>
      </c>
      <c r="G104" s="36" t="s">
        <v>38</v>
      </c>
      <c r="H104" s="34">
        <v>1</v>
      </c>
      <c r="I104" s="35">
        <v>220.86</v>
      </c>
      <c r="J104" s="34">
        <v>7.54</v>
      </c>
      <c r="K104" s="35">
        <v>1665.28</v>
      </c>
    </row>
    <row r="105" spans="1:11" ht="13.8" x14ac:dyDescent="0.25">
      <c r="C105" s="37" t="s">
        <v>45</v>
      </c>
      <c r="H105" s="38">
        <v>220.86</v>
      </c>
      <c r="I105" s="38"/>
      <c r="J105" s="38">
        <v>1665.28</v>
      </c>
      <c r="K105" s="38"/>
    </row>
    <row r="107" spans="1:11" ht="54" x14ac:dyDescent="0.25">
      <c r="A107" s="32">
        <v>13</v>
      </c>
      <c r="B107" s="32" t="s">
        <v>46</v>
      </c>
      <c r="C107" s="32" t="s">
        <v>68</v>
      </c>
      <c r="D107" s="33" t="s">
        <v>48</v>
      </c>
      <c r="E107" s="34">
        <v>1</v>
      </c>
      <c r="F107" s="35">
        <v>363.07</v>
      </c>
      <c r="G107" s="36" t="s">
        <v>38</v>
      </c>
      <c r="H107" s="34">
        <v>1</v>
      </c>
      <c r="I107" s="35">
        <v>363.07</v>
      </c>
      <c r="J107" s="34">
        <v>7.54</v>
      </c>
      <c r="K107" s="35">
        <v>2737.55</v>
      </c>
    </row>
    <row r="108" spans="1:11" ht="13.8" x14ac:dyDescent="0.25">
      <c r="C108" s="37" t="s">
        <v>45</v>
      </c>
      <c r="H108" s="38">
        <v>363.07</v>
      </c>
      <c r="I108" s="38"/>
      <c r="J108" s="38">
        <v>2737.55</v>
      </c>
      <c r="K108" s="38"/>
    </row>
    <row r="110" spans="1:11" ht="79.8" x14ac:dyDescent="0.25">
      <c r="A110" s="24">
        <v>14</v>
      </c>
      <c r="B110" s="24" t="s">
        <v>69</v>
      </c>
      <c r="C110" s="24" t="s">
        <v>70</v>
      </c>
      <c r="D110" s="25" t="s">
        <v>51</v>
      </c>
      <c r="E110" s="26">
        <v>1</v>
      </c>
      <c r="F110" s="27"/>
      <c r="G110" s="28"/>
      <c r="H110" s="26"/>
      <c r="I110" s="27"/>
      <c r="J110" s="26"/>
      <c r="K110" s="27"/>
    </row>
    <row r="111" spans="1:11" ht="14.4" x14ac:dyDescent="0.25">
      <c r="A111" s="24"/>
      <c r="B111" s="24"/>
      <c r="C111" s="24" t="s">
        <v>33</v>
      </c>
      <c r="D111" s="25"/>
      <c r="E111" s="26"/>
      <c r="F111" s="27">
        <v>11.52</v>
      </c>
      <c r="G111" s="30" t="s">
        <v>34</v>
      </c>
      <c r="H111" s="26">
        <v>1</v>
      </c>
      <c r="I111" s="27">
        <v>13.82</v>
      </c>
      <c r="J111" s="26">
        <v>57.05</v>
      </c>
      <c r="K111" s="27">
        <v>788.43</v>
      </c>
    </row>
    <row r="112" spans="1:11" ht="14.4" x14ac:dyDescent="0.25">
      <c r="A112" s="24"/>
      <c r="B112" s="24"/>
      <c r="C112" s="24" t="s">
        <v>35</v>
      </c>
      <c r="D112" s="25"/>
      <c r="E112" s="26"/>
      <c r="F112" s="27">
        <v>13.3</v>
      </c>
      <c r="G112" s="30" t="s">
        <v>34</v>
      </c>
      <c r="H112" s="26">
        <v>1</v>
      </c>
      <c r="I112" s="27">
        <v>15.96</v>
      </c>
      <c r="J112" s="26">
        <v>17.45</v>
      </c>
      <c r="K112" s="27">
        <v>278.5</v>
      </c>
    </row>
    <row r="113" spans="1:11" ht="14.4" x14ac:dyDescent="0.25">
      <c r="A113" s="24"/>
      <c r="B113" s="24"/>
      <c r="C113" s="24" t="s">
        <v>36</v>
      </c>
      <c r="D113" s="25"/>
      <c r="E113" s="26"/>
      <c r="F113" s="27">
        <v>2.02</v>
      </c>
      <c r="G113" s="30" t="s">
        <v>34</v>
      </c>
      <c r="H113" s="26">
        <v>1</v>
      </c>
      <c r="I113" s="31">
        <v>2.42</v>
      </c>
      <c r="J113" s="26">
        <v>57.05</v>
      </c>
      <c r="K113" s="31">
        <v>138.06</v>
      </c>
    </row>
    <row r="114" spans="1:11" ht="14.4" x14ac:dyDescent="0.25">
      <c r="A114" s="24"/>
      <c r="B114" s="24"/>
      <c r="C114" s="24" t="s">
        <v>39</v>
      </c>
      <c r="D114" s="25" t="s">
        <v>40</v>
      </c>
      <c r="E114" s="26">
        <v>90</v>
      </c>
      <c r="F114" s="27"/>
      <c r="G114" s="28"/>
      <c r="H114" s="26"/>
      <c r="I114" s="27">
        <v>14.62</v>
      </c>
      <c r="J114" s="26">
        <v>90</v>
      </c>
      <c r="K114" s="27">
        <v>833.84</v>
      </c>
    </row>
    <row r="115" spans="1:11" ht="14.4" x14ac:dyDescent="0.25">
      <c r="A115" s="24"/>
      <c r="B115" s="24"/>
      <c r="C115" s="24" t="s">
        <v>41</v>
      </c>
      <c r="D115" s="25" t="s">
        <v>40</v>
      </c>
      <c r="E115" s="26">
        <v>46</v>
      </c>
      <c r="F115" s="27"/>
      <c r="G115" s="28"/>
      <c r="H115" s="26"/>
      <c r="I115" s="27">
        <v>7.47</v>
      </c>
      <c r="J115" s="26">
        <v>46</v>
      </c>
      <c r="K115" s="27">
        <v>426.19</v>
      </c>
    </row>
    <row r="116" spans="1:11" ht="14.4" x14ac:dyDescent="0.25">
      <c r="A116" s="32"/>
      <c r="B116" s="32"/>
      <c r="C116" s="32" t="s">
        <v>42</v>
      </c>
      <c r="D116" s="33" t="s">
        <v>43</v>
      </c>
      <c r="E116" s="34">
        <v>1.03</v>
      </c>
      <c r="F116" s="35"/>
      <c r="G116" s="36" t="s">
        <v>34</v>
      </c>
      <c r="H116" s="34">
        <v>1</v>
      </c>
      <c r="I116" s="35">
        <v>1.24</v>
      </c>
      <c r="J116" s="34"/>
      <c r="K116" s="35"/>
    </row>
    <row r="117" spans="1:11" ht="13.8" x14ac:dyDescent="0.25">
      <c r="C117" s="37" t="s">
        <v>44</v>
      </c>
      <c r="H117" s="38">
        <v>51.87</v>
      </c>
      <c r="I117" s="38"/>
      <c r="J117" s="38">
        <v>2326.96</v>
      </c>
      <c r="K117" s="38"/>
    </row>
    <row r="118" spans="1:11" ht="13.8" x14ac:dyDescent="0.25">
      <c r="C118" s="37" t="s">
        <v>45</v>
      </c>
      <c r="H118" s="39">
        <v>51.87</v>
      </c>
      <c r="I118" s="39"/>
      <c r="J118" s="39">
        <v>2326.96</v>
      </c>
      <c r="K118" s="39"/>
    </row>
    <row r="120" spans="1:11" ht="67.8" x14ac:dyDescent="0.25">
      <c r="A120" s="32">
        <v>15</v>
      </c>
      <c r="B120" s="32" t="s">
        <v>46</v>
      </c>
      <c r="C120" s="32" t="s">
        <v>71</v>
      </c>
      <c r="D120" s="33" t="s">
        <v>48</v>
      </c>
      <c r="E120" s="34">
        <v>1</v>
      </c>
      <c r="F120" s="35">
        <v>16661.8</v>
      </c>
      <c r="G120" s="36" t="s">
        <v>38</v>
      </c>
      <c r="H120" s="34">
        <v>1</v>
      </c>
      <c r="I120" s="35">
        <v>16661.8</v>
      </c>
      <c r="J120" s="34">
        <v>7.54</v>
      </c>
      <c r="K120" s="35">
        <v>125629.97</v>
      </c>
    </row>
    <row r="121" spans="1:11" ht="13.8" x14ac:dyDescent="0.25">
      <c r="C121" s="37" t="s">
        <v>45</v>
      </c>
      <c r="H121" s="38">
        <v>16661.8</v>
      </c>
      <c r="I121" s="38"/>
      <c r="J121" s="38">
        <v>125629.97</v>
      </c>
      <c r="K121" s="38"/>
    </row>
    <row r="123" spans="1:11" ht="82.8" x14ac:dyDescent="0.25">
      <c r="A123" s="32">
        <v>16</v>
      </c>
      <c r="B123" s="32" t="s">
        <v>72</v>
      </c>
      <c r="C123" s="32" t="s">
        <v>73</v>
      </c>
      <c r="D123" s="33" t="s">
        <v>74</v>
      </c>
      <c r="E123" s="34">
        <v>1</v>
      </c>
      <c r="F123" s="35">
        <v>148.71</v>
      </c>
      <c r="G123" s="36" t="s">
        <v>38</v>
      </c>
      <c r="H123" s="34">
        <v>1</v>
      </c>
      <c r="I123" s="35">
        <v>148.71</v>
      </c>
      <c r="J123" s="34">
        <v>5.89</v>
      </c>
      <c r="K123" s="35">
        <v>875.9</v>
      </c>
    </row>
    <row r="124" spans="1:11" ht="13.8" x14ac:dyDescent="0.25">
      <c r="C124" s="37" t="s">
        <v>45</v>
      </c>
      <c r="H124" s="38">
        <v>148.71</v>
      </c>
      <c r="I124" s="38"/>
      <c r="J124" s="38">
        <v>875.9</v>
      </c>
      <c r="K124" s="38"/>
    </row>
    <row r="126" spans="1:11" ht="41.4" x14ac:dyDescent="0.25">
      <c r="A126" s="32">
        <v>17</v>
      </c>
      <c r="B126" s="32" t="s">
        <v>75</v>
      </c>
      <c r="C126" s="32" t="s">
        <v>76</v>
      </c>
      <c r="D126" s="33" t="s">
        <v>74</v>
      </c>
      <c r="E126" s="34">
        <v>1</v>
      </c>
      <c r="F126" s="35">
        <v>77.11</v>
      </c>
      <c r="G126" s="36" t="s">
        <v>38</v>
      </c>
      <c r="H126" s="34">
        <v>1</v>
      </c>
      <c r="I126" s="35">
        <v>77.11</v>
      </c>
      <c r="J126" s="34">
        <v>4.0999999999999996</v>
      </c>
      <c r="K126" s="35">
        <v>316.14999999999998</v>
      </c>
    </row>
    <row r="127" spans="1:11" ht="13.8" x14ac:dyDescent="0.25">
      <c r="C127" s="37" t="s">
        <v>45</v>
      </c>
      <c r="H127" s="38">
        <v>77.11</v>
      </c>
      <c r="I127" s="38"/>
      <c r="J127" s="38">
        <v>316.14999999999998</v>
      </c>
      <c r="K127" s="38"/>
    </row>
    <row r="129" spans="1:11" ht="79.8" x14ac:dyDescent="0.25">
      <c r="A129" s="24">
        <v>18</v>
      </c>
      <c r="B129" s="24" t="s">
        <v>77</v>
      </c>
      <c r="C129" s="24" t="s">
        <v>78</v>
      </c>
      <c r="D129" s="25" t="s">
        <v>79</v>
      </c>
      <c r="E129" s="26">
        <v>0.27</v>
      </c>
      <c r="F129" s="27"/>
      <c r="G129" s="28"/>
      <c r="H129" s="26"/>
      <c r="I129" s="27"/>
      <c r="J129" s="26"/>
      <c r="K129" s="27"/>
    </row>
    <row r="130" spans="1:11" x14ac:dyDescent="0.25">
      <c r="C130" s="29" t="s">
        <v>80</v>
      </c>
    </row>
    <row r="131" spans="1:11" ht="14.4" x14ac:dyDescent="0.25">
      <c r="A131" s="24"/>
      <c r="B131" s="24"/>
      <c r="C131" s="24" t="s">
        <v>33</v>
      </c>
      <c r="D131" s="25"/>
      <c r="E131" s="26"/>
      <c r="F131" s="27">
        <v>39.119999999999997</v>
      </c>
      <c r="G131" s="30" t="s">
        <v>34</v>
      </c>
      <c r="H131" s="26">
        <v>1</v>
      </c>
      <c r="I131" s="27">
        <v>12.67</v>
      </c>
      <c r="J131" s="26">
        <v>57.05</v>
      </c>
      <c r="K131" s="27">
        <v>722.82</v>
      </c>
    </row>
    <row r="132" spans="1:11" ht="14.4" x14ac:dyDescent="0.25">
      <c r="A132" s="24"/>
      <c r="B132" s="24"/>
      <c r="C132" s="24" t="s">
        <v>39</v>
      </c>
      <c r="D132" s="25" t="s">
        <v>40</v>
      </c>
      <c r="E132" s="26">
        <v>90</v>
      </c>
      <c r="F132" s="27"/>
      <c r="G132" s="28"/>
      <c r="H132" s="26"/>
      <c r="I132" s="27">
        <v>11.4</v>
      </c>
      <c r="J132" s="26">
        <v>90</v>
      </c>
      <c r="K132" s="27">
        <v>650.54</v>
      </c>
    </row>
    <row r="133" spans="1:11" ht="14.4" x14ac:dyDescent="0.25">
      <c r="A133" s="24"/>
      <c r="B133" s="24"/>
      <c r="C133" s="24" t="s">
        <v>41</v>
      </c>
      <c r="D133" s="25" t="s">
        <v>40</v>
      </c>
      <c r="E133" s="26">
        <v>46</v>
      </c>
      <c r="F133" s="27"/>
      <c r="G133" s="28"/>
      <c r="H133" s="26"/>
      <c r="I133" s="27">
        <v>5.83</v>
      </c>
      <c r="J133" s="26">
        <v>46</v>
      </c>
      <c r="K133" s="27">
        <v>332.5</v>
      </c>
    </row>
    <row r="134" spans="1:11" ht="14.4" x14ac:dyDescent="0.25">
      <c r="A134" s="32"/>
      <c r="B134" s="32"/>
      <c r="C134" s="32" t="s">
        <v>42</v>
      </c>
      <c r="D134" s="33" t="s">
        <v>43</v>
      </c>
      <c r="E134" s="34">
        <v>3.1</v>
      </c>
      <c r="F134" s="35"/>
      <c r="G134" s="36" t="s">
        <v>34</v>
      </c>
      <c r="H134" s="34">
        <v>1</v>
      </c>
      <c r="I134" s="35">
        <v>1</v>
      </c>
      <c r="J134" s="34"/>
      <c r="K134" s="35"/>
    </row>
    <row r="135" spans="1:11" ht="13.8" x14ac:dyDescent="0.25">
      <c r="C135" s="37" t="s">
        <v>44</v>
      </c>
      <c r="H135" s="38">
        <v>29.9</v>
      </c>
      <c r="I135" s="38"/>
      <c r="J135" s="38">
        <v>1705.86</v>
      </c>
      <c r="K135" s="38"/>
    </row>
    <row r="136" spans="1:11" ht="13.8" x14ac:dyDescent="0.25">
      <c r="C136" s="37" t="s">
        <v>45</v>
      </c>
      <c r="H136" s="39">
        <v>29.9</v>
      </c>
      <c r="I136" s="39"/>
      <c r="J136" s="39">
        <v>1705.86</v>
      </c>
      <c r="K136" s="39"/>
    </row>
    <row r="138" spans="1:11" ht="40.799999999999997" x14ac:dyDescent="0.25">
      <c r="A138" s="32">
        <v>19</v>
      </c>
      <c r="B138" s="32" t="s">
        <v>46</v>
      </c>
      <c r="C138" s="32" t="s">
        <v>81</v>
      </c>
      <c r="D138" s="33" t="s">
        <v>48</v>
      </c>
      <c r="E138" s="34">
        <v>27</v>
      </c>
      <c r="F138" s="35">
        <v>19.68</v>
      </c>
      <c r="G138" s="36" t="s">
        <v>38</v>
      </c>
      <c r="H138" s="34">
        <v>1</v>
      </c>
      <c r="I138" s="35">
        <v>531.36</v>
      </c>
      <c r="J138" s="34">
        <v>10.18</v>
      </c>
      <c r="K138" s="35">
        <v>5409.24</v>
      </c>
    </row>
    <row r="139" spans="1:11" ht="13.8" x14ac:dyDescent="0.25">
      <c r="C139" s="37" t="s">
        <v>45</v>
      </c>
      <c r="H139" s="38">
        <v>531.36</v>
      </c>
      <c r="I139" s="38"/>
      <c r="J139" s="38">
        <v>5409.24</v>
      </c>
      <c r="K139" s="38"/>
    </row>
    <row r="141" spans="1:11" ht="27.6" x14ac:dyDescent="0.25">
      <c r="A141" s="32">
        <v>20</v>
      </c>
      <c r="B141" s="32" t="s">
        <v>46</v>
      </c>
      <c r="C141" s="32" t="s">
        <v>82</v>
      </c>
      <c r="D141" s="33" t="s">
        <v>48</v>
      </c>
      <c r="E141" s="34">
        <v>30</v>
      </c>
      <c r="F141" s="35">
        <v>0.32</v>
      </c>
      <c r="G141" s="36" t="s">
        <v>38</v>
      </c>
      <c r="H141" s="34">
        <v>1</v>
      </c>
      <c r="I141" s="35">
        <v>9.6</v>
      </c>
      <c r="J141" s="34">
        <v>10.18</v>
      </c>
      <c r="K141" s="35">
        <v>97.73</v>
      </c>
    </row>
    <row r="142" spans="1:11" ht="13.8" x14ac:dyDescent="0.25">
      <c r="C142" s="37" t="s">
        <v>45</v>
      </c>
      <c r="H142" s="38">
        <v>9.6</v>
      </c>
      <c r="I142" s="38"/>
      <c r="J142" s="38">
        <v>97.73</v>
      </c>
      <c r="K142" s="38"/>
    </row>
    <row r="144" spans="1:11" ht="40.799999999999997" x14ac:dyDescent="0.25">
      <c r="A144" s="32">
        <v>21</v>
      </c>
      <c r="B144" s="32" t="s">
        <v>46</v>
      </c>
      <c r="C144" s="32" t="s">
        <v>83</v>
      </c>
      <c r="D144" s="33" t="s">
        <v>48</v>
      </c>
      <c r="E144" s="34">
        <v>5</v>
      </c>
      <c r="F144" s="35">
        <v>231.11</v>
      </c>
      <c r="G144" s="36" t="s">
        <v>38</v>
      </c>
      <c r="H144" s="34">
        <v>1</v>
      </c>
      <c r="I144" s="35">
        <v>1155.55</v>
      </c>
      <c r="J144" s="34">
        <v>10.18</v>
      </c>
      <c r="K144" s="35">
        <v>11763.5</v>
      </c>
    </row>
    <row r="145" spans="1:11" ht="13.8" x14ac:dyDescent="0.25">
      <c r="C145" s="37" t="s">
        <v>45</v>
      </c>
      <c r="H145" s="38">
        <v>1155.55</v>
      </c>
      <c r="I145" s="38"/>
      <c r="J145" s="38">
        <v>11763.5</v>
      </c>
      <c r="K145" s="38"/>
    </row>
    <row r="147" spans="1:11" ht="79.8" x14ac:dyDescent="0.25">
      <c r="A147" s="24">
        <v>22</v>
      </c>
      <c r="B147" s="24" t="s">
        <v>84</v>
      </c>
      <c r="C147" s="24" t="s">
        <v>85</v>
      </c>
      <c r="D147" s="25" t="s">
        <v>51</v>
      </c>
      <c r="E147" s="26">
        <v>1</v>
      </c>
      <c r="F147" s="27"/>
      <c r="G147" s="28"/>
      <c r="H147" s="26"/>
      <c r="I147" s="27"/>
      <c r="J147" s="26"/>
      <c r="K147" s="27"/>
    </row>
    <row r="148" spans="1:11" ht="14.4" x14ac:dyDescent="0.25">
      <c r="A148" s="24"/>
      <c r="B148" s="24"/>
      <c r="C148" s="24" t="s">
        <v>33</v>
      </c>
      <c r="D148" s="25"/>
      <c r="E148" s="26"/>
      <c r="F148" s="27">
        <v>40.17</v>
      </c>
      <c r="G148" s="30" t="s">
        <v>34</v>
      </c>
      <c r="H148" s="26">
        <v>1</v>
      </c>
      <c r="I148" s="27">
        <v>48.2</v>
      </c>
      <c r="J148" s="26">
        <v>57.05</v>
      </c>
      <c r="K148" s="27">
        <v>2749.81</v>
      </c>
    </row>
    <row r="149" spans="1:11" ht="14.4" x14ac:dyDescent="0.25">
      <c r="A149" s="24"/>
      <c r="B149" s="24"/>
      <c r="C149" s="24" t="s">
        <v>37</v>
      </c>
      <c r="D149" s="25"/>
      <c r="E149" s="26"/>
      <c r="F149" s="27">
        <v>2.34</v>
      </c>
      <c r="G149" s="30" t="s">
        <v>38</v>
      </c>
      <c r="H149" s="26">
        <v>1</v>
      </c>
      <c r="I149" s="27">
        <v>2.34</v>
      </c>
      <c r="J149" s="26">
        <v>9.91</v>
      </c>
      <c r="K149" s="27">
        <v>23.19</v>
      </c>
    </row>
    <row r="150" spans="1:11" ht="14.4" x14ac:dyDescent="0.25">
      <c r="A150" s="24"/>
      <c r="B150" s="24"/>
      <c r="C150" s="24" t="s">
        <v>39</v>
      </c>
      <c r="D150" s="25" t="s">
        <v>40</v>
      </c>
      <c r="E150" s="26">
        <v>90</v>
      </c>
      <c r="F150" s="27"/>
      <c r="G150" s="28"/>
      <c r="H150" s="26"/>
      <c r="I150" s="27">
        <v>43.38</v>
      </c>
      <c r="J150" s="26">
        <v>90</v>
      </c>
      <c r="K150" s="27">
        <v>2474.83</v>
      </c>
    </row>
    <row r="151" spans="1:11" ht="14.4" x14ac:dyDescent="0.25">
      <c r="A151" s="24"/>
      <c r="B151" s="24"/>
      <c r="C151" s="24" t="s">
        <v>41</v>
      </c>
      <c r="D151" s="25" t="s">
        <v>40</v>
      </c>
      <c r="E151" s="26">
        <v>46</v>
      </c>
      <c r="F151" s="27"/>
      <c r="G151" s="28"/>
      <c r="H151" s="26"/>
      <c r="I151" s="27">
        <v>22.17</v>
      </c>
      <c r="J151" s="26">
        <v>46</v>
      </c>
      <c r="K151" s="27">
        <v>1264.9100000000001</v>
      </c>
    </row>
    <row r="152" spans="1:11" ht="14.4" x14ac:dyDescent="0.25">
      <c r="A152" s="32"/>
      <c r="B152" s="32"/>
      <c r="C152" s="32" t="s">
        <v>42</v>
      </c>
      <c r="D152" s="33" t="s">
        <v>43</v>
      </c>
      <c r="E152" s="34">
        <v>3.18</v>
      </c>
      <c r="F152" s="35"/>
      <c r="G152" s="36" t="s">
        <v>34</v>
      </c>
      <c r="H152" s="34">
        <v>1</v>
      </c>
      <c r="I152" s="35">
        <v>3.82</v>
      </c>
      <c r="J152" s="34"/>
      <c r="K152" s="35"/>
    </row>
    <row r="153" spans="1:11" ht="13.8" x14ac:dyDescent="0.25">
      <c r="C153" s="37" t="s">
        <v>44</v>
      </c>
      <c r="H153" s="38">
        <v>116.09</v>
      </c>
      <c r="I153" s="38"/>
      <c r="J153" s="38">
        <v>6512.74</v>
      </c>
      <c r="K153" s="38"/>
    </row>
    <row r="154" spans="1:11" ht="13.8" x14ac:dyDescent="0.25">
      <c r="C154" s="37" t="s">
        <v>45</v>
      </c>
      <c r="H154" s="39">
        <v>116.09</v>
      </c>
      <c r="I154" s="39"/>
      <c r="J154" s="39">
        <v>6512.74</v>
      </c>
      <c r="K154" s="39"/>
    </row>
    <row r="156" spans="1:11" ht="67.8" x14ac:dyDescent="0.25">
      <c r="A156" s="32">
        <v>23</v>
      </c>
      <c r="B156" s="32" t="s">
        <v>46</v>
      </c>
      <c r="C156" s="32" t="s">
        <v>86</v>
      </c>
      <c r="D156" s="33" t="s">
        <v>48</v>
      </c>
      <c r="E156" s="34">
        <v>1</v>
      </c>
      <c r="F156" s="35">
        <v>7525.8</v>
      </c>
      <c r="G156" s="36" t="s">
        <v>38</v>
      </c>
      <c r="H156" s="34">
        <v>1</v>
      </c>
      <c r="I156" s="35">
        <v>7525.8</v>
      </c>
      <c r="J156" s="34">
        <v>7.54</v>
      </c>
      <c r="K156" s="35">
        <v>56744.53</v>
      </c>
    </row>
    <row r="157" spans="1:11" ht="13.8" x14ac:dyDescent="0.25">
      <c r="C157" s="37" t="s">
        <v>45</v>
      </c>
      <c r="H157" s="38">
        <v>7525.8</v>
      </c>
      <c r="I157" s="38"/>
      <c r="J157" s="38">
        <v>56744.53</v>
      </c>
      <c r="K157" s="38"/>
    </row>
    <row r="160" spans="1:11" ht="13.8" x14ac:dyDescent="0.25">
      <c r="A160" s="40" t="s">
        <v>87</v>
      </c>
      <c r="B160" s="40"/>
      <c r="C160" s="40"/>
      <c r="D160" s="40"/>
      <c r="E160" s="40"/>
      <c r="F160" s="40"/>
      <c r="G160" s="40"/>
      <c r="H160" s="39">
        <v>71472.100000000006</v>
      </c>
      <c r="I160" s="41"/>
      <c r="J160" s="39">
        <v>679250.86</v>
      </c>
      <c r="K160" s="41"/>
    </row>
    <row r="162" spans="1:11" ht="16.8" x14ac:dyDescent="0.25">
      <c r="A162" s="23" t="s">
        <v>88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ht="79.8" x14ac:dyDescent="0.25">
      <c r="A163" s="24">
        <v>24</v>
      </c>
      <c r="B163" s="24" t="s">
        <v>89</v>
      </c>
      <c r="C163" s="24" t="s">
        <v>90</v>
      </c>
      <c r="D163" s="25" t="s">
        <v>51</v>
      </c>
      <c r="E163" s="26">
        <v>1</v>
      </c>
      <c r="F163" s="27"/>
      <c r="G163" s="28"/>
      <c r="H163" s="26"/>
      <c r="I163" s="27"/>
      <c r="J163" s="26"/>
      <c r="K163" s="27"/>
    </row>
    <row r="164" spans="1:11" ht="14.4" x14ac:dyDescent="0.25">
      <c r="A164" s="24"/>
      <c r="B164" s="24"/>
      <c r="C164" s="24" t="s">
        <v>33</v>
      </c>
      <c r="D164" s="25"/>
      <c r="E164" s="26"/>
      <c r="F164" s="27">
        <v>11.65</v>
      </c>
      <c r="G164" s="30" t="s">
        <v>34</v>
      </c>
      <c r="H164" s="26">
        <v>1</v>
      </c>
      <c r="I164" s="27">
        <v>13.98</v>
      </c>
      <c r="J164" s="26">
        <v>57.05</v>
      </c>
      <c r="K164" s="27">
        <v>797.56</v>
      </c>
    </row>
    <row r="165" spans="1:11" ht="14.4" x14ac:dyDescent="0.25">
      <c r="A165" s="24"/>
      <c r="B165" s="24"/>
      <c r="C165" s="24" t="s">
        <v>35</v>
      </c>
      <c r="D165" s="25"/>
      <c r="E165" s="26"/>
      <c r="F165" s="27">
        <v>0.5</v>
      </c>
      <c r="G165" s="30" t="s">
        <v>34</v>
      </c>
      <c r="H165" s="26">
        <v>1</v>
      </c>
      <c r="I165" s="27">
        <v>0.6</v>
      </c>
      <c r="J165" s="26">
        <v>17.399999999999999</v>
      </c>
      <c r="K165" s="27">
        <v>10.44</v>
      </c>
    </row>
    <row r="166" spans="1:11" ht="14.4" x14ac:dyDescent="0.25">
      <c r="A166" s="24"/>
      <c r="B166" s="24"/>
      <c r="C166" s="24" t="s">
        <v>36</v>
      </c>
      <c r="D166" s="25"/>
      <c r="E166" s="26"/>
      <c r="F166" s="27">
        <v>0.08</v>
      </c>
      <c r="G166" s="30" t="s">
        <v>34</v>
      </c>
      <c r="H166" s="26">
        <v>1</v>
      </c>
      <c r="I166" s="31">
        <v>0.1</v>
      </c>
      <c r="J166" s="26">
        <v>57.05</v>
      </c>
      <c r="K166" s="31">
        <v>5.71</v>
      </c>
    </row>
    <row r="167" spans="1:11" ht="14.4" x14ac:dyDescent="0.25">
      <c r="A167" s="24"/>
      <c r="B167" s="24"/>
      <c r="C167" s="24" t="s">
        <v>39</v>
      </c>
      <c r="D167" s="25" t="s">
        <v>40</v>
      </c>
      <c r="E167" s="26">
        <v>90</v>
      </c>
      <c r="F167" s="27"/>
      <c r="G167" s="28"/>
      <c r="H167" s="26"/>
      <c r="I167" s="27">
        <v>12.67</v>
      </c>
      <c r="J167" s="26">
        <v>90</v>
      </c>
      <c r="K167" s="27">
        <v>722.94</v>
      </c>
    </row>
    <row r="168" spans="1:11" ht="14.4" x14ac:dyDescent="0.25">
      <c r="A168" s="24"/>
      <c r="B168" s="24"/>
      <c r="C168" s="24" t="s">
        <v>41</v>
      </c>
      <c r="D168" s="25" t="s">
        <v>40</v>
      </c>
      <c r="E168" s="26">
        <v>46</v>
      </c>
      <c r="F168" s="27"/>
      <c r="G168" s="28"/>
      <c r="H168" s="26"/>
      <c r="I168" s="27">
        <v>6.48</v>
      </c>
      <c r="J168" s="26">
        <v>46</v>
      </c>
      <c r="K168" s="27">
        <v>369.5</v>
      </c>
    </row>
    <row r="169" spans="1:11" ht="14.4" x14ac:dyDescent="0.25">
      <c r="A169" s="32"/>
      <c r="B169" s="32"/>
      <c r="C169" s="32" t="s">
        <v>42</v>
      </c>
      <c r="D169" s="33" t="s">
        <v>43</v>
      </c>
      <c r="E169" s="34">
        <v>1.03</v>
      </c>
      <c r="F169" s="35"/>
      <c r="G169" s="36" t="s">
        <v>34</v>
      </c>
      <c r="H169" s="34">
        <v>1</v>
      </c>
      <c r="I169" s="35">
        <v>1.24</v>
      </c>
      <c r="J169" s="34"/>
      <c r="K169" s="35"/>
    </row>
    <row r="170" spans="1:11" ht="13.8" x14ac:dyDescent="0.25">
      <c r="C170" s="37" t="s">
        <v>44</v>
      </c>
      <c r="H170" s="38">
        <v>33.729999999999997</v>
      </c>
      <c r="I170" s="38"/>
      <c r="J170" s="38">
        <v>1900.44</v>
      </c>
      <c r="K170" s="38"/>
    </row>
    <row r="171" spans="1:11" ht="13.8" x14ac:dyDescent="0.25">
      <c r="C171" s="37" t="s">
        <v>45</v>
      </c>
      <c r="H171" s="39">
        <v>33.729999999999997</v>
      </c>
      <c r="I171" s="39"/>
      <c r="J171" s="39">
        <v>1900.44</v>
      </c>
      <c r="K171" s="39"/>
    </row>
    <row r="173" spans="1:11" ht="67.8" x14ac:dyDescent="0.25">
      <c r="A173" s="32">
        <v>25</v>
      </c>
      <c r="B173" s="32" t="s">
        <v>46</v>
      </c>
      <c r="C173" s="32" t="s">
        <v>91</v>
      </c>
      <c r="D173" s="33" t="s">
        <v>48</v>
      </c>
      <c r="E173" s="34">
        <v>1</v>
      </c>
      <c r="F173" s="35">
        <v>493.37</v>
      </c>
      <c r="G173" s="36" t="s">
        <v>38</v>
      </c>
      <c r="H173" s="34">
        <v>1</v>
      </c>
      <c r="I173" s="35">
        <v>493.37</v>
      </c>
      <c r="J173" s="34">
        <v>7.54</v>
      </c>
      <c r="K173" s="35">
        <v>3720.01</v>
      </c>
    </row>
    <row r="174" spans="1:11" ht="13.8" x14ac:dyDescent="0.25">
      <c r="C174" s="37" t="s">
        <v>45</v>
      </c>
      <c r="H174" s="38">
        <v>493.37</v>
      </c>
      <c r="I174" s="38"/>
      <c r="J174" s="38">
        <v>3720.01</v>
      </c>
      <c r="K174" s="38"/>
    </row>
    <row r="177" spans="1:11" ht="13.8" x14ac:dyDescent="0.25">
      <c r="A177" s="40" t="s">
        <v>92</v>
      </c>
      <c r="B177" s="40"/>
      <c r="C177" s="40"/>
      <c r="D177" s="40"/>
      <c r="E177" s="40"/>
      <c r="F177" s="40"/>
      <c r="G177" s="40"/>
      <c r="H177" s="39">
        <v>527.1</v>
      </c>
      <c r="I177" s="41"/>
      <c r="J177" s="39">
        <v>5620.45</v>
      </c>
      <c r="K177" s="41"/>
    </row>
    <row r="179" spans="1:11" ht="23.25" customHeight="1" x14ac:dyDescent="0.25">
      <c r="A179" s="23" t="s">
        <v>93</v>
      </c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ht="79.8" x14ac:dyDescent="0.25">
      <c r="A180" s="24">
        <v>26</v>
      </c>
      <c r="B180" s="24" t="s">
        <v>94</v>
      </c>
      <c r="C180" s="24" t="s">
        <v>95</v>
      </c>
      <c r="D180" s="25" t="s">
        <v>96</v>
      </c>
      <c r="E180" s="26">
        <v>10</v>
      </c>
      <c r="F180" s="27"/>
      <c r="G180" s="28"/>
      <c r="H180" s="26"/>
      <c r="I180" s="27"/>
      <c r="J180" s="26"/>
      <c r="K180" s="27"/>
    </row>
    <row r="181" spans="1:11" x14ac:dyDescent="0.25">
      <c r="C181" s="29" t="s">
        <v>97</v>
      </c>
    </row>
    <row r="182" spans="1:11" ht="14.4" x14ac:dyDescent="0.25">
      <c r="A182" s="24"/>
      <c r="B182" s="24"/>
      <c r="C182" s="24" t="s">
        <v>33</v>
      </c>
      <c r="D182" s="25"/>
      <c r="E182" s="26"/>
      <c r="F182" s="27">
        <v>197.28</v>
      </c>
      <c r="G182" s="30" t="s">
        <v>34</v>
      </c>
      <c r="H182" s="26">
        <v>1</v>
      </c>
      <c r="I182" s="27">
        <v>2367.36</v>
      </c>
      <c r="J182" s="26">
        <v>57.05</v>
      </c>
      <c r="K182" s="27">
        <v>135057.89000000001</v>
      </c>
    </row>
    <row r="183" spans="1:11" ht="14.4" x14ac:dyDescent="0.25">
      <c r="A183" s="24"/>
      <c r="B183" s="24"/>
      <c r="C183" s="24" t="s">
        <v>35</v>
      </c>
      <c r="D183" s="25"/>
      <c r="E183" s="26"/>
      <c r="F183" s="27">
        <v>1.73</v>
      </c>
      <c r="G183" s="30" t="s">
        <v>34</v>
      </c>
      <c r="H183" s="26">
        <v>1</v>
      </c>
      <c r="I183" s="27">
        <v>20.76</v>
      </c>
      <c r="J183" s="26">
        <v>11.08</v>
      </c>
      <c r="K183" s="27">
        <v>230.02</v>
      </c>
    </row>
    <row r="184" spans="1:11" ht="14.4" x14ac:dyDescent="0.25">
      <c r="A184" s="24"/>
      <c r="B184" s="24"/>
      <c r="C184" s="24" t="s">
        <v>37</v>
      </c>
      <c r="D184" s="25"/>
      <c r="E184" s="26"/>
      <c r="F184" s="27">
        <v>91.91</v>
      </c>
      <c r="G184" s="30" t="s">
        <v>38</v>
      </c>
      <c r="H184" s="26">
        <v>1</v>
      </c>
      <c r="I184" s="27">
        <v>919.1</v>
      </c>
      <c r="J184" s="26">
        <v>2.4500000000000002</v>
      </c>
      <c r="K184" s="27">
        <v>2251.8000000000002</v>
      </c>
    </row>
    <row r="185" spans="1:11" ht="41.4" x14ac:dyDescent="0.25">
      <c r="A185" s="24" t="s">
        <v>98</v>
      </c>
      <c r="B185" s="24" t="s">
        <v>99</v>
      </c>
      <c r="C185" s="24" t="s">
        <v>100</v>
      </c>
      <c r="D185" s="25" t="s">
        <v>101</v>
      </c>
      <c r="E185" s="26">
        <v>1020</v>
      </c>
      <c r="F185" s="27">
        <v>3.45</v>
      </c>
      <c r="G185" s="30" t="s">
        <v>38</v>
      </c>
      <c r="H185" s="26">
        <v>1</v>
      </c>
      <c r="I185" s="27">
        <v>3519</v>
      </c>
      <c r="J185" s="26">
        <v>3.85</v>
      </c>
      <c r="K185" s="27">
        <v>13548.15</v>
      </c>
    </row>
    <row r="186" spans="1:11" ht="41.4" x14ac:dyDescent="0.25">
      <c r="A186" s="24" t="s">
        <v>102</v>
      </c>
      <c r="B186" s="24" t="s">
        <v>103</v>
      </c>
      <c r="C186" s="24" t="s">
        <v>104</v>
      </c>
      <c r="D186" s="25" t="s">
        <v>105</v>
      </c>
      <c r="E186" s="26">
        <v>21.64</v>
      </c>
      <c r="F186" s="27">
        <v>146.88999999999999</v>
      </c>
      <c r="G186" s="30" t="s">
        <v>38</v>
      </c>
      <c r="H186" s="26">
        <v>1</v>
      </c>
      <c r="I186" s="27">
        <v>3178.7</v>
      </c>
      <c r="J186" s="26">
        <v>1.77</v>
      </c>
      <c r="K186" s="27">
        <v>5626.3</v>
      </c>
    </row>
    <row r="187" spans="1:11" ht="14.4" x14ac:dyDescent="0.25">
      <c r="A187" s="24"/>
      <c r="B187" s="24"/>
      <c r="C187" s="24" t="s">
        <v>39</v>
      </c>
      <c r="D187" s="25" t="s">
        <v>40</v>
      </c>
      <c r="E187" s="26">
        <v>90</v>
      </c>
      <c r="F187" s="27"/>
      <c r="G187" s="28"/>
      <c r="H187" s="26"/>
      <c r="I187" s="27">
        <v>2130.62</v>
      </c>
      <c r="J187" s="26">
        <v>90</v>
      </c>
      <c r="K187" s="27">
        <v>121552.1</v>
      </c>
    </row>
    <row r="188" spans="1:11" ht="14.4" x14ac:dyDescent="0.25">
      <c r="A188" s="24"/>
      <c r="B188" s="24"/>
      <c r="C188" s="24" t="s">
        <v>41</v>
      </c>
      <c r="D188" s="25" t="s">
        <v>40</v>
      </c>
      <c r="E188" s="26">
        <v>46</v>
      </c>
      <c r="F188" s="27"/>
      <c r="G188" s="28"/>
      <c r="H188" s="26"/>
      <c r="I188" s="27">
        <v>1088.99</v>
      </c>
      <c r="J188" s="26">
        <v>46</v>
      </c>
      <c r="K188" s="27">
        <v>62126.63</v>
      </c>
    </row>
    <row r="189" spans="1:11" ht="14.4" x14ac:dyDescent="0.25">
      <c r="A189" s="32"/>
      <c r="B189" s="32"/>
      <c r="C189" s="32" t="s">
        <v>42</v>
      </c>
      <c r="D189" s="33" t="s">
        <v>43</v>
      </c>
      <c r="E189" s="34">
        <v>16.600000000000001</v>
      </c>
      <c r="F189" s="35"/>
      <c r="G189" s="36" t="s">
        <v>34</v>
      </c>
      <c r="H189" s="34">
        <v>1</v>
      </c>
      <c r="I189" s="35">
        <v>199.2</v>
      </c>
      <c r="J189" s="34"/>
      <c r="K189" s="35"/>
    </row>
    <row r="190" spans="1:11" ht="13.8" x14ac:dyDescent="0.25">
      <c r="C190" s="37" t="s">
        <v>44</v>
      </c>
      <c r="H190" s="38">
        <v>13224.53</v>
      </c>
      <c r="I190" s="38"/>
      <c r="J190" s="38">
        <v>340392.89</v>
      </c>
      <c r="K190" s="38"/>
    </row>
    <row r="191" spans="1:11" ht="13.8" x14ac:dyDescent="0.25">
      <c r="C191" s="37" t="s">
        <v>45</v>
      </c>
      <c r="H191" s="39">
        <v>13224.53</v>
      </c>
      <c r="I191" s="39"/>
      <c r="J191" s="39">
        <v>340392.89</v>
      </c>
      <c r="K191" s="39"/>
    </row>
    <row r="193" spans="1:11" ht="79.8" x14ac:dyDescent="0.25">
      <c r="A193" s="24">
        <v>27</v>
      </c>
      <c r="B193" s="24" t="s">
        <v>106</v>
      </c>
      <c r="C193" s="24" t="s">
        <v>107</v>
      </c>
      <c r="D193" s="25" t="s">
        <v>96</v>
      </c>
      <c r="E193" s="26">
        <v>3</v>
      </c>
      <c r="F193" s="27"/>
      <c r="G193" s="28"/>
      <c r="H193" s="26"/>
      <c r="I193" s="27"/>
      <c r="J193" s="26"/>
      <c r="K193" s="27"/>
    </row>
    <row r="194" spans="1:11" x14ac:dyDescent="0.25">
      <c r="C194" s="29" t="s">
        <v>108</v>
      </c>
    </row>
    <row r="195" spans="1:11" ht="14.4" x14ac:dyDescent="0.25">
      <c r="A195" s="24"/>
      <c r="B195" s="24"/>
      <c r="C195" s="24" t="s">
        <v>33</v>
      </c>
      <c r="D195" s="25"/>
      <c r="E195" s="26"/>
      <c r="F195" s="27">
        <v>491.35</v>
      </c>
      <c r="G195" s="30" t="s">
        <v>34</v>
      </c>
      <c r="H195" s="26">
        <v>1</v>
      </c>
      <c r="I195" s="27">
        <v>1768.86</v>
      </c>
      <c r="J195" s="26">
        <v>57.05</v>
      </c>
      <c r="K195" s="27">
        <v>100913.46</v>
      </c>
    </row>
    <row r="196" spans="1:11" ht="14.4" x14ac:dyDescent="0.25">
      <c r="A196" s="24"/>
      <c r="B196" s="24"/>
      <c r="C196" s="24" t="s">
        <v>35</v>
      </c>
      <c r="D196" s="25"/>
      <c r="E196" s="26"/>
      <c r="F196" s="27">
        <v>29.47</v>
      </c>
      <c r="G196" s="30" t="s">
        <v>34</v>
      </c>
      <c r="H196" s="26">
        <v>1</v>
      </c>
      <c r="I196" s="27">
        <v>106.09</v>
      </c>
      <c r="J196" s="26">
        <v>17.41</v>
      </c>
      <c r="K196" s="27">
        <v>1847.03</v>
      </c>
    </row>
    <row r="197" spans="1:11" ht="14.4" x14ac:dyDescent="0.25">
      <c r="A197" s="24"/>
      <c r="B197" s="24"/>
      <c r="C197" s="24" t="s">
        <v>36</v>
      </c>
      <c r="D197" s="25"/>
      <c r="E197" s="26"/>
      <c r="F197" s="27">
        <v>3.94</v>
      </c>
      <c r="G197" s="30" t="s">
        <v>34</v>
      </c>
      <c r="H197" s="26">
        <v>1</v>
      </c>
      <c r="I197" s="31">
        <v>14.18</v>
      </c>
      <c r="J197" s="26">
        <v>57.05</v>
      </c>
      <c r="K197" s="31">
        <v>808.97</v>
      </c>
    </row>
    <row r="198" spans="1:11" ht="14.4" x14ac:dyDescent="0.25">
      <c r="A198" s="24"/>
      <c r="B198" s="24"/>
      <c r="C198" s="24" t="s">
        <v>37</v>
      </c>
      <c r="D198" s="25"/>
      <c r="E198" s="26"/>
      <c r="F198" s="27">
        <v>1844.59</v>
      </c>
      <c r="G198" s="30" t="s">
        <v>38</v>
      </c>
      <c r="H198" s="26">
        <v>1</v>
      </c>
      <c r="I198" s="27">
        <v>5533.77</v>
      </c>
      <c r="J198" s="26">
        <v>10.18</v>
      </c>
      <c r="K198" s="27">
        <v>56333.78</v>
      </c>
    </row>
    <row r="199" spans="1:11" ht="14.4" x14ac:dyDescent="0.25">
      <c r="A199" s="24" t="s">
        <v>109</v>
      </c>
      <c r="B199" s="24" t="s">
        <v>110</v>
      </c>
      <c r="C199" s="24" t="s">
        <v>111</v>
      </c>
      <c r="D199" s="25" t="s">
        <v>101</v>
      </c>
      <c r="E199" s="26">
        <v>300</v>
      </c>
      <c r="F199" s="27">
        <v>3.8</v>
      </c>
      <c r="G199" s="30" t="s">
        <v>38</v>
      </c>
      <c r="H199" s="26">
        <v>1</v>
      </c>
      <c r="I199" s="27">
        <v>1140</v>
      </c>
      <c r="J199" s="26">
        <v>7.36</v>
      </c>
      <c r="K199" s="27">
        <v>8390.4</v>
      </c>
    </row>
    <row r="200" spans="1:11" ht="14.4" x14ac:dyDescent="0.25">
      <c r="A200" s="24"/>
      <c r="B200" s="24"/>
      <c r="C200" s="24" t="s">
        <v>39</v>
      </c>
      <c r="D200" s="25" t="s">
        <v>40</v>
      </c>
      <c r="E200" s="26">
        <v>97</v>
      </c>
      <c r="F200" s="27"/>
      <c r="G200" s="28"/>
      <c r="H200" s="26"/>
      <c r="I200" s="27">
        <v>1729.55</v>
      </c>
      <c r="J200" s="26">
        <v>97</v>
      </c>
      <c r="K200" s="27">
        <v>98670.76</v>
      </c>
    </row>
    <row r="201" spans="1:11" ht="14.4" x14ac:dyDescent="0.25">
      <c r="A201" s="24"/>
      <c r="B201" s="24"/>
      <c r="C201" s="24" t="s">
        <v>41</v>
      </c>
      <c r="D201" s="25" t="s">
        <v>40</v>
      </c>
      <c r="E201" s="26">
        <v>51</v>
      </c>
      <c r="F201" s="27"/>
      <c r="G201" s="28"/>
      <c r="H201" s="26"/>
      <c r="I201" s="27">
        <v>909.35</v>
      </c>
      <c r="J201" s="26">
        <v>51</v>
      </c>
      <c r="K201" s="27">
        <v>51878.44</v>
      </c>
    </row>
    <row r="202" spans="1:11" ht="14.4" x14ac:dyDescent="0.25">
      <c r="A202" s="32"/>
      <c r="B202" s="32"/>
      <c r="C202" s="32" t="s">
        <v>42</v>
      </c>
      <c r="D202" s="33" t="s">
        <v>43</v>
      </c>
      <c r="E202" s="34">
        <v>40.67</v>
      </c>
      <c r="F202" s="35"/>
      <c r="G202" s="36" t="s">
        <v>34</v>
      </c>
      <c r="H202" s="34">
        <v>1</v>
      </c>
      <c r="I202" s="35">
        <v>146.41</v>
      </c>
      <c r="J202" s="34"/>
      <c r="K202" s="35"/>
    </row>
    <row r="203" spans="1:11" ht="13.8" x14ac:dyDescent="0.25">
      <c r="C203" s="37" t="s">
        <v>44</v>
      </c>
      <c r="H203" s="38">
        <v>11187.62</v>
      </c>
      <c r="I203" s="38"/>
      <c r="J203" s="38">
        <v>318033.87</v>
      </c>
      <c r="K203" s="38"/>
    </row>
    <row r="204" spans="1:11" ht="13.8" x14ac:dyDescent="0.25">
      <c r="C204" s="37" t="s">
        <v>45</v>
      </c>
      <c r="H204" s="39">
        <v>11187.62</v>
      </c>
      <c r="I204" s="39"/>
      <c r="J204" s="39">
        <v>318033.87</v>
      </c>
      <c r="K204" s="39"/>
    </row>
    <row r="206" spans="1:11" ht="79.8" x14ac:dyDescent="0.25">
      <c r="A206" s="24">
        <v>28</v>
      </c>
      <c r="B206" s="24" t="s">
        <v>112</v>
      </c>
      <c r="C206" s="24" t="s">
        <v>113</v>
      </c>
      <c r="D206" s="25" t="s">
        <v>96</v>
      </c>
      <c r="E206" s="26">
        <v>0.1</v>
      </c>
      <c r="F206" s="27"/>
      <c r="G206" s="28"/>
      <c r="H206" s="26"/>
      <c r="I206" s="27"/>
      <c r="J206" s="26"/>
      <c r="K206" s="27"/>
    </row>
    <row r="207" spans="1:11" x14ac:dyDescent="0.25">
      <c r="C207" s="29" t="s">
        <v>114</v>
      </c>
    </row>
    <row r="208" spans="1:11" ht="14.4" x14ac:dyDescent="0.25">
      <c r="A208" s="24"/>
      <c r="B208" s="24"/>
      <c r="C208" s="24" t="s">
        <v>33</v>
      </c>
      <c r="D208" s="25"/>
      <c r="E208" s="26"/>
      <c r="F208" s="27">
        <v>368.37</v>
      </c>
      <c r="G208" s="30" t="s">
        <v>34</v>
      </c>
      <c r="H208" s="26">
        <v>1</v>
      </c>
      <c r="I208" s="27">
        <v>44.2</v>
      </c>
      <c r="J208" s="26">
        <v>57.05</v>
      </c>
      <c r="K208" s="27">
        <v>2521.61</v>
      </c>
    </row>
    <row r="209" spans="1:11" ht="14.4" x14ac:dyDescent="0.25">
      <c r="A209" s="24"/>
      <c r="B209" s="24"/>
      <c r="C209" s="24" t="s">
        <v>35</v>
      </c>
      <c r="D209" s="25"/>
      <c r="E209" s="26"/>
      <c r="F209" s="27">
        <v>129.06</v>
      </c>
      <c r="G209" s="30" t="s">
        <v>34</v>
      </c>
      <c r="H209" s="26">
        <v>1</v>
      </c>
      <c r="I209" s="27">
        <v>15.49</v>
      </c>
      <c r="J209" s="26">
        <v>13.4</v>
      </c>
      <c r="K209" s="27">
        <v>207.57</v>
      </c>
    </row>
    <row r="210" spans="1:11" ht="14.4" x14ac:dyDescent="0.25">
      <c r="A210" s="24"/>
      <c r="B210" s="24"/>
      <c r="C210" s="24" t="s">
        <v>36</v>
      </c>
      <c r="D210" s="25"/>
      <c r="E210" s="26"/>
      <c r="F210" s="27">
        <v>2.52</v>
      </c>
      <c r="G210" s="30" t="s">
        <v>34</v>
      </c>
      <c r="H210" s="26">
        <v>1</v>
      </c>
      <c r="I210" s="31">
        <v>0.3</v>
      </c>
      <c r="J210" s="26">
        <v>57.05</v>
      </c>
      <c r="K210" s="31">
        <v>17.12</v>
      </c>
    </row>
    <row r="211" spans="1:11" ht="14.4" x14ac:dyDescent="0.25">
      <c r="A211" s="24"/>
      <c r="B211" s="24"/>
      <c r="C211" s="24" t="s">
        <v>37</v>
      </c>
      <c r="D211" s="25"/>
      <c r="E211" s="26"/>
      <c r="F211" s="27">
        <v>1763.74</v>
      </c>
      <c r="G211" s="30" t="s">
        <v>38</v>
      </c>
      <c r="H211" s="26">
        <v>1</v>
      </c>
      <c r="I211" s="27">
        <v>176.37</v>
      </c>
      <c r="J211" s="26">
        <v>3.89</v>
      </c>
      <c r="K211" s="27">
        <v>686.08</v>
      </c>
    </row>
    <row r="212" spans="1:11" ht="69" x14ac:dyDescent="0.25">
      <c r="A212" s="24" t="s">
        <v>115</v>
      </c>
      <c r="B212" s="24" t="s">
        <v>116</v>
      </c>
      <c r="C212" s="24" t="s">
        <v>117</v>
      </c>
      <c r="D212" s="25" t="s">
        <v>101</v>
      </c>
      <c r="E212" s="26">
        <v>10.3</v>
      </c>
      <c r="F212" s="27">
        <v>12.83</v>
      </c>
      <c r="G212" s="30" t="s">
        <v>38</v>
      </c>
      <c r="H212" s="26">
        <v>1</v>
      </c>
      <c r="I212" s="27">
        <v>132.15</v>
      </c>
      <c r="J212" s="26">
        <v>3.52</v>
      </c>
      <c r="K212" s="27">
        <v>465.17</v>
      </c>
    </row>
    <row r="213" spans="1:11" ht="14.4" x14ac:dyDescent="0.25">
      <c r="A213" s="24"/>
      <c r="B213" s="24"/>
      <c r="C213" s="24" t="s">
        <v>39</v>
      </c>
      <c r="D213" s="25" t="s">
        <v>40</v>
      </c>
      <c r="E213" s="26">
        <v>97</v>
      </c>
      <c r="F213" s="27"/>
      <c r="G213" s="28"/>
      <c r="H213" s="26"/>
      <c r="I213" s="27">
        <v>43.17</v>
      </c>
      <c r="J213" s="26">
        <v>97</v>
      </c>
      <c r="K213" s="27">
        <v>2462.5700000000002</v>
      </c>
    </row>
    <row r="214" spans="1:11" ht="14.4" x14ac:dyDescent="0.25">
      <c r="A214" s="24"/>
      <c r="B214" s="24"/>
      <c r="C214" s="24" t="s">
        <v>41</v>
      </c>
      <c r="D214" s="25" t="s">
        <v>40</v>
      </c>
      <c r="E214" s="26">
        <v>51</v>
      </c>
      <c r="F214" s="27"/>
      <c r="G214" s="28"/>
      <c r="H214" s="26"/>
      <c r="I214" s="27">
        <v>22.7</v>
      </c>
      <c r="J214" s="26">
        <v>51</v>
      </c>
      <c r="K214" s="27">
        <v>1294.75</v>
      </c>
    </row>
    <row r="215" spans="1:11" ht="14.4" x14ac:dyDescent="0.25">
      <c r="A215" s="32"/>
      <c r="B215" s="32"/>
      <c r="C215" s="32" t="s">
        <v>42</v>
      </c>
      <c r="D215" s="33" t="s">
        <v>43</v>
      </c>
      <c r="E215" s="34">
        <v>29.9</v>
      </c>
      <c r="F215" s="35"/>
      <c r="G215" s="36" t="s">
        <v>34</v>
      </c>
      <c r="H215" s="34">
        <v>1</v>
      </c>
      <c r="I215" s="35">
        <v>3.59</v>
      </c>
      <c r="J215" s="34"/>
      <c r="K215" s="35"/>
    </row>
    <row r="216" spans="1:11" ht="13.8" x14ac:dyDescent="0.25">
      <c r="C216" s="37" t="s">
        <v>44</v>
      </c>
      <c r="H216" s="38">
        <v>434.08</v>
      </c>
      <c r="I216" s="38"/>
      <c r="J216" s="38">
        <v>7637.75</v>
      </c>
      <c r="K216" s="38"/>
    </row>
    <row r="217" spans="1:11" ht="13.8" x14ac:dyDescent="0.25">
      <c r="C217" s="37" t="s">
        <v>45</v>
      </c>
      <c r="H217" s="39">
        <v>434.08</v>
      </c>
      <c r="I217" s="39"/>
      <c r="J217" s="39">
        <v>7637.75</v>
      </c>
      <c r="K217" s="39"/>
    </row>
    <row r="219" spans="1:11" ht="79.8" x14ac:dyDescent="0.25">
      <c r="A219" s="24">
        <v>29</v>
      </c>
      <c r="B219" s="24" t="s">
        <v>118</v>
      </c>
      <c r="C219" s="24" t="s">
        <v>119</v>
      </c>
      <c r="D219" s="25" t="s">
        <v>96</v>
      </c>
      <c r="E219" s="26">
        <v>3</v>
      </c>
      <c r="F219" s="27"/>
      <c r="G219" s="28"/>
      <c r="H219" s="26"/>
      <c r="I219" s="27"/>
      <c r="J219" s="26"/>
      <c r="K219" s="27"/>
    </row>
    <row r="220" spans="1:11" x14ac:dyDescent="0.25">
      <c r="C220" s="29" t="s">
        <v>108</v>
      </c>
    </row>
    <row r="221" spans="1:11" ht="14.4" x14ac:dyDescent="0.25">
      <c r="A221" s="24"/>
      <c r="B221" s="24"/>
      <c r="C221" s="24" t="s">
        <v>33</v>
      </c>
      <c r="D221" s="25"/>
      <c r="E221" s="26"/>
      <c r="F221" s="27">
        <v>38.07</v>
      </c>
      <c r="G221" s="30" t="s">
        <v>34</v>
      </c>
      <c r="H221" s="26">
        <v>1</v>
      </c>
      <c r="I221" s="27">
        <v>137.05000000000001</v>
      </c>
      <c r="J221" s="26">
        <v>57.05</v>
      </c>
      <c r="K221" s="27">
        <v>7818.7</v>
      </c>
    </row>
    <row r="222" spans="1:11" ht="14.4" x14ac:dyDescent="0.25">
      <c r="A222" s="24"/>
      <c r="B222" s="24"/>
      <c r="C222" s="24" t="s">
        <v>35</v>
      </c>
      <c r="D222" s="25"/>
      <c r="E222" s="26"/>
      <c r="F222" s="27">
        <v>0.83</v>
      </c>
      <c r="G222" s="30" t="s">
        <v>34</v>
      </c>
      <c r="H222" s="26">
        <v>1</v>
      </c>
      <c r="I222" s="27">
        <v>2.99</v>
      </c>
      <c r="J222" s="26">
        <v>17.47</v>
      </c>
      <c r="K222" s="27">
        <v>52.24</v>
      </c>
    </row>
    <row r="223" spans="1:11" ht="14.4" x14ac:dyDescent="0.25">
      <c r="A223" s="24"/>
      <c r="B223" s="24"/>
      <c r="C223" s="24" t="s">
        <v>36</v>
      </c>
      <c r="D223" s="25"/>
      <c r="E223" s="26"/>
      <c r="F223" s="27">
        <v>0.13</v>
      </c>
      <c r="G223" s="30" t="s">
        <v>34</v>
      </c>
      <c r="H223" s="26">
        <v>1</v>
      </c>
      <c r="I223" s="31">
        <v>0.47</v>
      </c>
      <c r="J223" s="26">
        <v>57.05</v>
      </c>
      <c r="K223" s="31">
        <v>26.81</v>
      </c>
    </row>
    <row r="224" spans="1:11" ht="14.4" x14ac:dyDescent="0.25">
      <c r="A224" s="24"/>
      <c r="B224" s="24"/>
      <c r="C224" s="24" t="s">
        <v>37</v>
      </c>
      <c r="D224" s="25"/>
      <c r="E224" s="26"/>
      <c r="F224" s="27">
        <v>88.94</v>
      </c>
      <c r="G224" s="30" t="s">
        <v>38</v>
      </c>
      <c r="H224" s="26">
        <v>1</v>
      </c>
      <c r="I224" s="27">
        <v>266.82</v>
      </c>
      <c r="J224" s="26">
        <v>7.75</v>
      </c>
      <c r="K224" s="27">
        <v>2067.86</v>
      </c>
    </row>
    <row r="225" spans="1:11" ht="14.4" x14ac:dyDescent="0.25">
      <c r="A225" s="24"/>
      <c r="B225" s="24"/>
      <c r="C225" s="24" t="s">
        <v>39</v>
      </c>
      <c r="D225" s="25" t="s">
        <v>40</v>
      </c>
      <c r="E225" s="26">
        <v>97</v>
      </c>
      <c r="F225" s="27"/>
      <c r="G225" s="28"/>
      <c r="H225" s="26"/>
      <c r="I225" s="27">
        <v>133.38999999999999</v>
      </c>
      <c r="J225" s="26">
        <v>97</v>
      </c>
      <c r="K225" s="27">
        <v>7610.14</v>
      </c>
    </row>
    <row r="226" spans="1:11" ht="14.4" x14ac:dyDescent="0.25">
      <c r="A226" s="24"/>
      <c r="B226" s="24"/>
      <c r="C226" s="24" t="s">
        <v>41</v>
      </c>
      <c r="D226" s="25" t="s">
        <v>40</v>
      </c>
      <c r="E226" s="26">
        <v>51</v>
      </c>
      <c r="F226" s="27"/>
      <c r="G226" s="28"/>
      <c r="H226" s="26"/>
      <c r="I226" s="27">
        <v>70.14</v>
      </c>
      <c r="J226" s="26">
        <v>51</v>
      </c>
      <c r="K226" s="27">
        <v>4001.21</v>
      </c>
    </row>
    <row r="227" spans="1:11" ht="14.4" x14ac:dyDescent="0.25">
      <c r="A227" s="32"/>
      <c r="B227" s="32"/>
      <c r="C227" s="32" t="s">
        <v>42</v>
      </c>
      <c r="D227" s="33" t="s">
        <v>43</v>
      </c>
      <c r="E227" s="34">
        <v>3.09</v>
      </c>
      <c r="F227" s="35"/>
      <c r="G227" s="36" t="s">
        <v>34</v>
      </c>
      <c r="H227" s="34">
        <v>1</v>
      </c>
      <c r="I227" s="35">
        <v>11.12</v>
      </c>
      <c r="J227" s="34"/>
      <c r="K227" s="35"/>
    </row>
    <row r="228" spans="1:11" ht="13.8" x14ac:dyDescent="0.25">
      <c r="C228" s="37" t="s">
        <v>44</v>
      </c>
      <c r="H228" s="38">
        <v>610.39</v>
      </c>
      <c r="I228" s="38"/>
      <c r="J228" s="38">
        <v>21550.15</v>
      </c>
      <c r="K228" s="38"/>
    </row>
    <row r="229" spans="1:11" ht="13.8" x14ac:dyDescent="0.25">
      <c r="C229" s="37" t="s">
        <v>45</v>
      </c>
      <c r="H229" s="39">
        <v>610.39</v>
      </c>
      <c r="I229" s="39"/>
      <c r="J229" s="39">
        <v>21550.15</v>
      </c>
      <c r="K229" s="39"/>
    </row>
    <row r="231" spans="1:11" ht="109.8" x14ac:dyDescent="0.25">
      <c r="A231" s="32">
        <v>30</v>
      </c>
      <c r="B231" s="32" t="s">
        <v>46</v>
      </c>
      <c r="C231" s="32" t="s">
        <v>120</v>
      </c>
      <c r="D231" s="33" t="s">
        <v>101</v>
      </c>
      <c r="E231" s="34">
        <v>1326</v>
      </c>
      <c r="F231" s="35">
        <v>7.81</v>
      </c>
      <c r="G231" s="36" t="s">
        <v>38</v>
      </c>
      <c r="H231" s="34">
        <v>1</v>
      </c>
      <c r="I231" s="35">
        <v>10356.06</v>
      </c>
      <c r="J231" s="34">
        <v>10.18</v>
      </c>
      <c r="K231" s="35">
        <v>105424.69</v>
      </c>
    </row>
    <row r="232" spans="1:11" ht="13.8" x14ac:dyDescent="0.25">
      <c r="C232" s="37" t="s">
        <v>45</v>
      </c>
      <c r="H232" s="38">
        <v>10356.06</v>
      </c>
      <c r="I232" s="38"/>
      <c r="J232" s="38">
        <v>105424.69</v>
      </c>
      <c r="K232" s="38"/>
    </row>
    <row r="235" spans="1:11" ht="13.8" x14ac:dyDescent="0.25">
      <c r="A235" s="40" t="s">
        <v>121</v>
      </c>
      <c r="B235" s="40"/>
      <c r="C235" s="40"/>
      <c r="D235" s="40"/>
      <c r="E235" s="40"/>
      <c r="F235" s="40"/>
      <c r="G235" s="40"/>
      <c r="H235" s="39">
        <v>35812.68</v>
      </c>
      <c r="I235" s="41"/>
      <c r="J235" s="39">
        <v>793039.35</v>
      </c>
      <c r="K235" s="41"/>
    </row>
    <row r="237" spans="1:11" ht="16.8" x14ac:dyDescent="0.25">
      <c r="A237" s="23" t="s">
        <v>122</v>
      </c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ht="79.8" x14ac:dyDescent="0.25">
      <c r="A238" s="24">
        <v>31</v>
      </c>
      <c r="B238" s="24" t="s">
        <v>123</v>
      </c>
      <c r="C238" s="24" t="s">
        <v>124</v>
      </c>
      <c r="D238" s="25" t="s">
        <v>51</v>
      </c>
      <c r="E238" s="26">
        <v>1</v>
      </c>
      <c r="F238" s="27"/>
      <c r="G238" s="28"/>
      <c r="H238" s="26"/>
      <c r="I238" s="27"/>
      <c r="J238" s="26"/>
      <c r="K238" s="27"/>
    </row>
    <row r="239" spans="1:11" ht="14.4" x14ac:dyDescent="0.25">
      <c r="A239" s="24"/>
      <c r="B239" s="24"/>
      <c r="C239" s="24" t="s">
        <v>33</v>
      </c>
      <c r="D239" s="25"/>
      <c r="E239" s="26"/>
      <c r="F239" s="27">
        <v>91.68</v>
      </c>
      <c r="G239" s="30" t="s">
        <v>34</v>
      </c>
      <c r="H239" s="26">
        <v>1</v>
      </c>
      <c r="I239" s="27">
        <v>110.02</v>
      </c>
      <c r="J239" s="26">
        <v>57.05</v>
      </c>
      <c r="K239" s="27">
        <v>6276.64</v>
      </c>
    </row>
    <row r="240" spans="1:11" ht="14.4" x14ac:dyDescent="0.25">
      <c r="A240" s="24"/>
      <c r="B240" s="24"/>
      <c r="C240" s="24" t="s">
        <v>35</v>
      </c>
      <c r="D240" s="25"/>
      <c r="E240" s="26"/>
      <c r="F240" s="27">
        <v>38.92</v>
      </c>
      <c r="G240" s="30" t="s">
        <v>34</v>
      </c>
      <c r="H240" s="26">
        <v>1</v>
      </c>
      <c r="I240" s="27">
        <v>46.7</v>
      </c>
      <c r="J240" s="26">
        <v>16.34</v>
      </c>
      <c r="K240" s="27">
        <v>763.08</v>
      </c>
    </row>
    <row r="241" spans="1:11" ht="14.4" x14ac:dyDescent="0.25">
      <c r="A241" s="24"/>
      <c r="B241" s="24"/>
      <c r="C241" s="24" t="s">
        <v>36</v>
      </c>
      <c r="D241" s="25"/>
      <c r="E241" s="26"/>
      <c r="F241" s="27">
        <v>4.16</v>
      </c>
      <c r="G241" s="30" t="s">
        <v>34</v>
      </c>
      <c r="H241" s="26">
        <v>1</v>
      </c>
      <c r="I241" s="31">
        <v>4.99</v>
      </c>
      <c r="J241" s="26">
        <v>57.05</v>
      </c>
      <c r="K241" s="31">
        <v>284.68</v>
      </c>
    </row>
    <row r="242" spans="1:11" ht="14.4" x14ac:dyDescent="0.25">
      <c r="A242" s="24"/>
      <c r="B242" s="24"/>
      <c r="C242" s="24" t="s">
        <v>37</v>
      </c>
      <c r="D242" s="25"/>
      <c r="E242" s="26"/>
      <c r="F242" s="27">
        <v>3.92</v>
      </c>
      <c r="G242" s="30" t="s">
        <v>38</v>
      </c>
      <c r="H242" s="26">
        <v>1</v>
      </c>
      <c r="I242" s="27">
        <v>3.92</v>
      </c>
      <c r="J242" s="26">
        <v>7.06</v>
      </c>
      <c r="K242" s="27">
        <v>27.68</v>
      </c>
    </row>
    <row r="243" spans="1:11" ht="14.4" x14ac:dyDescent="0.25">
      <c r="A243" s="24"/>
      <c r="B243" s="24"/>
      <c r="C243" s="24" t="s">
        <v>39</v>
      </c>
      <c r="D243" s="25" t="s">
        <v>40</v>
      </c>
      <c r="E243" s="26">
        <v>90</v>
      </c>
      <c r="F243" s="27"/>
      <c r="G243" s="28"/>
      <c r="H243" s="26"/>
      <c r="I243" s="27">
        <v>103.51</v>
      </c>
      <c r="J243" s="26">
        <v>90</v>
      </c>
      <c r="K243" s="27">
        <v>5905.19</v>
      </c>
    </row>
    <row r="244" spans="1:11" ht="14.4" x14ac:dyDescent="0.25">
      <c r="A244" s="24"/>
      <c r="B244" s="24"/>
      <c r="C244" s="24" t="s">
        <v>41</v>
      </c>
      <c r="D244" s="25" t="s">
        <v>40</v>
      </c>
      <c r="E244" s="26">
        <v>46</v>
      </c>
      <c r="F244" s="27"/>
      <c r="G244" s="28"/>
      <c r="H244" s="26"/>
      <c r="I244" s="27">
        <v>52.9</v>
      </c>
      <c r="J244" s="26">
        <v>46</v>
      </c>
      <c r="K244" s="27">
        <v>3018.21</v>
      </c>
    </row>
    <row r="245" spans="1:11" ht="14.4" x14ac:dyDescent="0.25">
      <c r="A245" s="32"/>
      <c r="B245" s="32"/>
      <c r="C245" s="32" t="s">
        <v>42</v>
      </c>
      <c r="D245" s="33" t="s">
        <v>43</v>
      </c>
      <c r="E245" s="34">
        <v>8.1999999999999993</v>
      </c>
      <c r="F245" s="35"/>
      <c r="G245" s="36" t="s">
        <v>34</v>
      </c>
      <c r="H245" s="34">
        <v>1</v>
      </c>
      <c r="I245" s="35">
        <v>9.84</v>
      </c>
      <c r="J245" s="34"/>
      <c r="K245" s="35"/>
    </row>
    <row r="246" spans="1:11" ht="13.8" x14ac:dyDescent="0.25">
      <c r="C246" s="37" t="s">
        <v>44</v>
      </c>
      <c r="H246" s="38">
        <v>317.05</v>
      </c>
      <c r="I246" s="38"/>
      <c r="J246" s="38">
        <v>15990.8</v>
      </c>
      <c r="K246" s="38"/>
    </row>
    <row r="247" spans="1:11" ht="13.8" x14ac:dyDescent="0.25">
      <c r="C247" s="37" t="s">
        <v>45</v>
      </c>
      <c r="H247" s="39">
        <v>317.05</v>
      </c>
      <c r="I247" s="39"/>
      <c r="J247" s="39">
        <v>15990.8</v>
      </c>
      <c r="K247" s="39"/>
    </row>
    <row r="249" spans="1:11" ht="136.80000000000001" x14ac:dyDescent="0.25">
      <c r="A249" s="32">
        <v>32</v>
      </c>
      <c r="B249" s="32" t="s">
        <v>46</v>
      </c>
      <c r="C249" s="32" t="s">
        <v>125</v>
      </c>
      <c r="D249" s="33" t="s">
        <v>48</v>
      </c>
      <c r="E249" s="34">
        <v>1</v>
      </c>
      <c r="F249" s="35">
        <v>5921.61</v>
      </c>
      <c r="G249" s="36" t="s">
        <v>38</v>
      </c>
      <c r="H249" s="34">
        <v>1</v>
      </c>
      <c r="I249" s="35">
        <v>5921.61</v>
      </c>
      <c r="J249" s="34">
        <v>7.54</v>
      </c>
      <c r="K249" s="35">
        <v>44648.94</v>
      </c>
    </row>
    <row r="250" spans="1:11" ht="13.8" x14ac:dyDescent="0.25">
      <c r="C250" s="37" t="s">
        <v>45</v>
      </c>
      <c r="H250" s="38">
        <v>5921.61</v>
      </c>
      <c r="I250" s="38"/>
      <c r="J250" s="38">
        <v>44648.94</v>
      </c>
      <c r="K250" s="38"/>
    </row>
    <row r="252" spans="1:11" ht="79.8" x14ac:dyDescent="0.25">
      <c r="A252" s="24">
        <v>33</v>
      </c>
      <c r="B252" s="24" t="s">
        <v>89</v>
      </c>
      <c r="C252" s="24" t="s">
        <v>90</v>
      </c>
      <c r="D252" s="25" t="s">
        <v>51</v>
      </c>
      <c r="E252" s="26">
        <v>1</v>
      </c>
      <c r="F252" s="27"/>
      <c r="G252" s="28"/>
      <c r="H252" s="26"/>
      <c r="I252" s="27"/>
      <c r="J252" s="26"/>
      <c r="K252" s="27"/>
    </row>
    <row r="253" spans="1:11" ht="14.4" x14ac:dyDescent="0.25">
      <c r="A253" s="24"/>
      <c r="B253" s="24"/>
      <c r="C253" s="24" t="s">
        <v>33</v>
      </c>
      <c r="D253" s="25"/>
      <c r="E253" s="26"/>
      <c r="F253" s="27">
        <v>11.65</v>
      </c>
      <c r="G253" s="30" t="s">
        <v>34</v>
      </c>
      <c r="H253" s="26">
        <v>1</v>
      </c>
      <c r="I253" s="27">
        <v>13.98</v>
      </c>
      <c r="J253" s="26">
        <v>57.05</v>
      </c>
      <c r="K253" s="27">
        <v>797.56</v>
      </c>
    </row>
    <row r="254" spans="1:11" ht="14.4" x14ac:dyDescent="0.25">
      <c r="A254" s="24"/>
      <c r="B254" s="24"/>
      <c r="C254" s="24" t="s">
        <v>35</v>
      </c>
      <c r="D254" s="25"/>
      <c r="E254" s="26"/>
      <c r="F254" s="27">
        <v>0.5</v>
      </c>
      <c r="G254" s="30" t="s">
        <v>34</v>
      </c>
      <c r="H254" s="26">
        <v>1</v>
      </c>
      <c r="I254" s="27">
        <v>0.6</v>
      </c>
      <c r="J254" s="26">
        <v>17.399999999999999</v>
      </c>
      <c r="K254" s="27">
        <v>10.44</v>
      </c>
    </row>
    <row r="255" spans="1:11" ht="14.4" x14ac:dyDescent="0.25">
      <c r="A255" s="24"/>
      <c r="B255" s="24"/>
      <c r="C255" s="24" t="s">
        <v>36</v>
      </c>
      <c r="D255" s="25"/>
      <c r="E255" s="26"/>
      <c r="F255" s="27">
        <v>0.08</v>
      </c>
      <c r="G255" s="30" t="s">
        <v>34</v>
      </c>
      <c r="H255" s="26">
        <v>1</v>
      </c>
      <c r="I255" s="31">
        <v>0.1</v>
      </c>
      <c r="J255" s="26">
        <v>57.05</v>
      </c>
      <c r="K255" s="31">
        <v>5.71</v>
      </c>
    </row>
    <row r="256" spans="1:11" ht="14.4" x14ac:dyDescent="0.25">
      <c r="A256" s="24"/>
      <c r="B256" s="24"/>
      <c r="C256" s="24" t="s">
        <v>39</v>
      </c>
      <c r="D256" s="25" t="s">
        <v>40</v>
      </c>
      <c r="E256" s="26">
        <v>90</v>
      </c>
      <c r="F256" s="27"/>
      <c r="G256" s="28"/>
      <c r="H256" s="26"/>
      <c r="I256" s="27">
        <v>12.67</v>
      </c>
      <c r="J256" s="26">
        <v>90</v>
      </c>
      <c r="K256" s="27">
        <v>722.94</v>
      </c>
    </row>
    <row r="257" spans="1:11" ht="14.4" x14ac:dyDescent="0.25">
      <c r="A257" s="24"/>
      <c r="B257" s="24"/>
      <c r="C257" s="24" t="s">
        <v>41</v>
      </c>
      <c r="D257" s="25" t="s">
        <v>40</v>
      </c>
      <c r="E257" s="26">
        <v>46</v>
      </c>
      <c r="F257" s="27"/>
      <c r="G257" s="28"/>
      <c r="H257" s="26"/>
      <c r="I257" s="27">
        <v>6.48</v>
      </c>
      <c r="J257" s="26">
        <v>46</v>
      </c>
      <c r="K257" s="27">
        <v>369.5</v>
      </c>
    </row>
    <row r="258" spans="1:11" ht="14.4" x14ac:dyDescent="0.25">
      <c r="A258" s="32"/>
      <c r="B258" s="32"/>
      <c r="C258" s="32" t="s">
        <v>42</v>
      </c>
      <c r="D258" s="33" t="s">
        <v>43</v>
      </c>
      <c r="E258" s="34">
        <v>1.03</v>
      </c>
      <c r="F258" s="35"/>
      <c r="G258" s="36" t="s">
        <v>34</v>
      </c>
      <c r="H258" s="34">
        <v>1</v>
      </c>
      <c r="I258" s="35">
        <v>1.24</v>
      </c>
      <c r="J258" s="34"/>
      <c r="K258" s="35"/>
    </row>
    <row r="259" spans="1:11" ht="13.8" x14ac:dyDescent="0.25">
      <c r="C259" s="37" t="s">
        <v>44</v>
      </c>
      <c r="H259" s="38">
        <v>33.729999999999997</v>
      </c>
      <c r="I259" s="38"/>
      <c r="J259" s="38">
        <v>1900.44</v>
      </c>
      <c r="K259" s="38"/>
    </row>
    <row r="260" spans="1:11" ht="13.8" x14ac:dyDescent="0.25">
      <c r="C260" s="37" t="s">
        <v>45</v>
      </c>
      <c r="H260" s="39">
        <v>33.729999999999997</v>
      </c>
      <c r="I260" s="39"/>
      <c r="J260" s="39">
        <v>1900.44</v>
      </c>
      <c r="K260" s="39"/>
    </row>
    <row r="262" spans="1:11" ht="67.8" x14ac:dyDescent="0.25">
      <c r="A262" s="32">
        <v>34</v>
      </c>
      <c r="B262" s="32" t="s">
        <v>46</v>
      </c>
      <c r="C262" s="32" t="s">
        <v>126</v>
      </c>
      <c r="D262" s="33" t="s">
        <v>48</v>
      </c>
      <c r="E262" s="34">
        <v>1</v>
      </c>
      <c r="F262" s="35">
        <v>1681.48</v>
      </c>
      <c r="G262" s="36" t="s">
        <v>38</v>
      </c>
      <c r="H262" s="34">
        <v>1</v>
      </c>
      <c r="I262" s="35">
        <v>1681.48</v>
      </c>
      <c r="J262" s="34">
        <v>7.54</v>
      </c>
      <c r="K262" s="35">
        <v>12678.36</v>
      </c>
    </row>
    <row r="263" spans="1:11" ht="13.8" x14ac:dyDescent="0.25">
      <c r="C263" s="37" t="s">
        <v>45</v>
      </c>
      <c r="H263" s="38">
        <v>1681.48</v>
      </c>
      <c r="I263" s="38"/>
      <c r="J263" s="38">
        <v>12678.36</v>
      </c>
      <c r="K263" s="38"/>
    </row>
    <row r="265" spans="1:11" ht="54" x14ac:dyDescent="0.25">
      <c r="A265" s="32">
        <v>35</v>
      </c>
      <c r="B265" s="32" t="s">
        <v>46</v>
      </c>
      <c r="C265" s="32" t="s">
        <v>127</v>
      </c>
      <c r="D265" s="33" t="s">
        <v>48</v>
      </c>
      <c r="E265" s="34">
        <v>1</v>
      </c>
      <c r="F265" s="35">
        <v>94.73</v>
      </c>
      <c r="G265" s="36" t="s">
        <v>38</v>
      </c>
      <c r="H265" s="34">
        <v>1</v>
      </c>
      <c r="I265" s="35">
        <v>94.73</v>
      </c>
      <c r="J265" s="34">
        <v>7.54</v>
      </c>
      <c r="K265" s="35">
        <v>714.26</v>
      </c>
    </row>
    <row r="266" spans="1:11" ht="13.8" x14ac:dyDescent="0.25">
      <c r="C266" s="37" t="s">
        <v>45</v>
      </c>
      <c r="H266" s="38">
        <v>94.73</v>
      </c>
      <c r="I266" s="38"/>
      <c r="J266" s="38">
        <v>714.26</v>
      </c>
      <c r="K266" s="38"/>
    </row>
    <row r="268" spans="1:11" ht="67.8" x14ac:dyDescent="0.25">
      <c r="A268" s="32">
        <v>36</v>
      </c>
      <c r="B268" s="32" t="s">
        <v>46</v>
      </c>
      <c r="C268" s="32" t="s">
        <v>128</v>
      </c>
      <c r="D268" s="33" t="s">
        <v>48</v>
      </c>
      <c r="E268" s="34">
        <v>1</v>
      </c>
      <c r="F268" s="35">
        <v>261.99</v>
      </c>
      <c r="G268" s="36" t="s">
        <v>38</v>
      </c>
      <c r="H268" s="34">
        <v>1</v>
      </c>
      <c r="I268" s="35">
        <v>261.99</v>
      </c>
      <c r="J268" s="34">
        <v>7.54</v>
      </c>
      <c r="K268" s="35">
        <v>1975.4</v>
      </c>
    </row>
    <row r="269" spans="1:11" ht="13.8" x14ac:dyDescent="0.25">
      <c r="C269" s="37" t="s">
        <v>45</v>
      </c>
      <c r="H269" s="38">
        <v>261.99</v>
      </c>
      <c r="I269" s="38"/>
      <c r="J269" s="38">
        <v>1975.4</v>
      </c>
      <c r="K269" s="38"/>
    </row>
    <row r="271" spans="1:11" ht="54" x14ac:dyDescent="0.25">
      <c r="A271" s="32">
        <v>37</v>
      </c>
      <c r="B271" s="32" t="s">
        <v>46</v>
      </c>
      <c r="C271" s="32" t="s">
        <v>129</v>
      </c>
      <c r="D271" s="33" t="s">
        <v>48</v>
      </c>
      <c r="E271" s="34">
        <v>1</v>
      </c>
      <c r="F271" s="35">
        <v>36.479999999999997</v>
      </c>
      <c r="G271" s="36" t="s">
        <v>38</v>
      </c>
      <c r="H271" s="34">
        <v>1</v>
      </c>
      <c r="I271" s="35">
        <v>36.479999999999997</v>
      </c>
      <c r="J271" s="34">
        <v>7.54</v>
      </c>
      <c r="K271" s="35">
        <v>275.06</v>
      </c>
    </row>
    <row r="272" spans="1:11" ht="13.8" x14ac:dyDescent="0.25">
      <c r="C272" s="37" t="s">
        <v>45</v>
      </c>
      <c r="H272" s="38">
        <v>36.479999999999997</v>
      </c>
      <c r="I272" s="38"/>
      <c r="J272" s="38">
        <v>275.06</v>
      </c>
      <c r="K272" s="38"/>
    </row>
    <row r="274" spans="1:11" ht="79.8" x14ac:dyDescent="0.25">
      <c r="A274" s="24">
        <v>38</v>
      </c>
      <c r="B274" s="24" t="s">
        <v>77</v>
      </c>
      <c r="C274" s="24" t="s">
        <v>78</v>
      </c>
      <c r="D274" s="25" t="s">
        <v>79</v>
      </c>
      <c r="E274" s="26">
        <v>1</v>
      </c>
      <c r="F274" s="27"/>
      <c r="G274" s="28"/>
      <c r="H274" s="26"/>
      <c r="I274" s="27"/>
      <c r="J274" s="26"/>
      <c r="K274" s="27"/>
    </row>
    <row r="275" spans="1:11" ht="14.4" x14ac:dyDescent="0.25">
      <c r="A275" s="24"/>
      <c r="B275" s="24"/>
      <c r="C275" s="24" t="s">
        <v>33</v>
      </c>
      <c r="D275" s="25"/>
      <c r="E275" s="26"/>
      <c r="F275" s="27">
        <v>39.119999999999997</v>
      </c>
      <c r="G275" s="30" t="s">
        <v>34</v>
      </c>
      <c r="H275" s="26">
        <v>1</v>
      </c>
      <c r="I275" s="27">
        <v>46.94</v>
      </c>
      <c r="J275" s="26">
        <v>57.05</v>
      </c>
      <c r="K275" s="27">
        <v>2677.93</v>
      </c>
    </row>
    <row r="276" spans="1:11" ht="14.4" x14ac:dyDescent="0.25">
      <c r="A276" s="24"/>
      <c r="B276" s="24"/>
      <c r="C276" s="24" t="s">
        <v>39</v>
      </c>
      <c r="D276" s="25" t="s">
        <v>40</v>
      </c>
      <c r="E276" s="26">
        <v>90</v>
      </c>
      <c r="F276" s="27"/>
      <c r="G276" s="28"/>
      <c r="H276" s="26"/>
      <c r="I276" s="27">
        <v>42.25</v>
      </c>
      <c r="J276" s="26">
        <v>90</v>
      </c>
      <c r="K276" s="27">
        <v>2410.14</v>
      </c>
    </row>
    <row r="277" spans="1:11" ht="14.4" x14ac:dyDescent="0.25">
      <c r="A277" s="24"/>
      <c r="B277" s="24"/>
      <c r="C277" s="24" t="s">
        <v>41</v>
      </c>
      <c r="D277" s="25" t="s">
        <v>40</v>
      </c>
      <c r="E277" s="26">
        <v>46</v>
      </c>
      <c r="F277" s="27"/>
      <c r="G277" s="28"/>
      <c r="H277" s="26"/>
      <c r="I277" s="27">
        <v>21.59</v>
      </c>
      <c r="J277" s="26">
        <v>46</v>
      </c>
      <c r="K277" s="27">
        <v>1231.8499999999999</v>
      </c>
    </row>
    <row r="278" spans="1:11" ht="14.4" x14ac:dyDescent="0.25">
      <c r="A278" s="32"/>
      <c r="B278" s="32"/>
      <c r="C278" s="32" t="s">
        <v>42</v>
      </c>
      <c r="D278" s="33" t="s">
        <v>43</v>
      </c>
      <c r="E278" s="34">
        <v>3.1</v>
      </c>
      <c r="F278" s="35"/>
      <c r="G278" s="36" t="s">
        <v>34</v>
      </c>
      <c r="H278" s="34">
        <v>1</v>
      </c>
      <c r="I278" s="35">
        <v>3.72</v>
      </c>
      <c r="J278" s="34"/>
      <c r="K278" s="35"/>
    </row>
    <row r="279" spans="1:11" ht="13.8" x14ac:dyDescent="0.25">
      <c r="C279" s="37" t="s">
        <v>44</v>
      </c>
      <c r="H279" s="38">
        <v>110.78</v>
      </c>
      <c r="I279" s="38"/>
      <c r="J279" s="38">
        <v>6319.92</v>
      </c>
      <c r="K279" s="38"/>
    </row>
    <row r="280" spans="1:11" ht="13.8" x14ac:dyDescent="0.25">
      <c r="C280" s="37" t="s">
        <v>45</v>
      </c>
      <c r="H280" s="39">
        <v>110.78</v>
      </c>
      <c r="I280" s="39"/>
      <c r="J280" s="39">
        <v>6319.92</v>
      </c>
      <c r="K280" s="39"/>
    </row>
    <row r="282" spans="1:11" ht="40.799999999999997" x14ac:dyDescent="0.25">
      <c r="A282" s="32">
        <v>39</v>
      </c>
      <c r="B282" s="32" t="s">
        <v>46</v>
      </c>
      <c r="C282" s="32" t="s">
        <v>130</v>
      </c>
      <c r="D282" s="33" t="s">
        <v>48</v>
      </c>
      <c r="E282" s="34">
        <v>1</v>
      </c>
      <c r="F282" s="35">
        <v>233.16</v>
      </c>
      <c r="G282" s="36" t="s">
        <v>38</v>
      </c>
      <c r="H282" s="34">
        <v>1</v>
      </c>
      <c r="I282" s="35">
        <v>233.16</v>
      </c>
      <c r="J282" s="34">
        <v>10.18</v>
      </c>
      <c r="K282" s="35">
        <v>2373.5700000000002</v>
      </c>
    </row>
    <row r="283" spans="1:11" ht="13.8" x14ac:dyDescent="0.25">
      <c r="C283" s="37" t="s">
        <v>45</v>
      </c>
      <c r="H283" s="38">
        <v>233.16</v>
      </c>
      <c r="I283" s="38"/>
      <c r="J283" s="38">
        <v>2373.5700000000002</v>
      </c>
      <c r="K283" s="38"/>
    </row>
    <row r="285" spans="1:11" ht="27.6" x14ac:dyDescent="0.25">
      <c r="A285" s="32">
        <v>40</v>
      </c>
      <c r="B285" s="32" t="s">
        <v>46</v>
      </c>
      <c r="C285" s="32" t="s">
        <v>131</v>
      </c>
      <c r="D285" s="33" t="s">
        <v>48</v>
      </c>
      <c r="E285" s="34">
        <v>1</v>
      </c>
      <c r="F285" s="35">
        <v>95.02</v>
      </c>
      <c r="G285" s="36" t="s">
        <v>38</v>
      </c>
      <c r="H285" s="34">
        <v>1</v>
      </c>
      <c r="I285" s="35">
        <v>95.02</v>
      </c>
      <c r="J285" s="34">
        <v>10.18</v>
      </c>
      <c r="K285" s="35">
        <v>967.3</v>
      </c>
    </row>
    <row r="286" spans="1:11" ht="13.8" x14ac:dyDescent="0.25">
      <c r="C286" s="37" t="s">
        <v>45</v>
      </c>
      <c r="H286" s="38">
        <v>95.02</v>
      </c>
      <c r="I286" s="38"/>
      <c r="J286" s="38">
        <v>967.3</v>
      </c>
      <c r="K286" s="38"/>
    </row>
    <row r="289" spans="1:11" ht="13.8" x14ac:dyDescent="0.25">
      <c r="A289" s="40" t="s">
        <v>132</v>
      </c>
      <c r="B289" s="40"/>
      <c r="C289" s="40"/>
      <c r="D289" s="40"/>
      <c r="E289" s="40"/>
      <c r="F289" s="40"/>
      <c r="G289" s="40"/>
      <c r="H289" s="39">
        <v>8786.0300000000007</v>
      </c>
      <c r="I289" s="41"/>
      <c r="J289" s="39">
        <v>87844.05</v>
      </c>
      <c r="K289" s="41"/>
    </row>
    <row r="291" spans="1:11" ht="13.8" x14ac:dyDescent="0.25">
      <c r="A291" s="40" t="s">
        <v>133</v>
      </c>
      <c r="B291" s="40"/>
      <c r="C291" s="40"/>
      <c r="D291" s="40"/>
      <c r="E291" s="40"/>
      <c r="F291" s="40"/>
      <c r="G291" s="40"/>
      <c r="H291" s="39">
        <v>116597.91</v>
      </c>
      <c r="I291" s="41"/>
      <c r="J291" s="39">
        <v>1565754.71</v>
      </c>
      <c r="K291" s="41"/>
    </row>
  </sheetData>
  <mergeCells count="146">
    <mergeCell ref="A289:G289"/>
    <mergeCell ref="H289:I289"/>
    <mergeCell ref="J289:K289"/>
    <mergeCell ref="A291:G291"/>
    <mergeCell ref="H291:I291"/>
    <mergeCell ref="J291:K291"/>
    <mergeCell ref="H280:I280"/>
    <mergeCell ref="J280:K280"/>
    <mergeCell ref="H283:I283"/>
    <mergeCell ref="J283:K283"/>
    <mergeCell ref="H286:I286"/>
    <mergeCell ref="J286:K286"/>
    <mergeCell ref="H269:I269"/>
    <mergeCell ref="J269:K269"/>
    <mergeCell ref="H272:I272"/>
    <mergeCell ref="J272:K272"/>
    <mergeCell ref="H279:I279"/>
    <mergeCell ref="J279:K279"/>
    <mergeCell ref="H260:I260"/>
    <mergeCell ref="J260:K260"/>
    <mergeCell ref="H263:I263"/>
    <mergeCell ref="J263:K263"/>
    <mergeCell ref="H266:I266"/>
    <mergeCell ref="J266:K266"/>
    <mergeCell ref="H247:I247"/>
    <mergeCell ref="J247:K247"/>
    <mergeCell ref="H250:I250"/>
    <mergeCell ref="J250:K250"/>
    <mergeCell ref="H259:I259"/>
    <mergeCell ref="J259:K259"/>
    <mergeCell ref="A235:G235"/>
    <mergeCell ref="H235:I235"/>
    <mergeCell ref="J235:K235"/>
    <mergeCell ref="A237:K237"/>
    <mergeCell ref="H246:I246"/>
    <mergeCell ref="J246:K246"/>
    <mergeCell ref="H228:I228"/>
    <mergeCell ref="J228:K228"/>
    <mergeCell ref="H229:I229"/>
    <mergeCell ref="J229:K229"/>
    <mergeCell ref="H232:I232"/>
    <mergeCell ref="J232:K232"/>
    <mergeCell ref="H204:I204"/>
    <mergeCell ref="J204:K204"/>
    <mergeCell ref="H216:I216"/>
    <mergeCell ref="J216:K216"/>
    <mergeCell ref="H217:I217"/>
    <mergeCell ref="J217:K217"/>
    <mergeCell ref="A179:K179"/>
    <mergeCell ref="H190:I190"/>
    <mergeCell ref="J190:K190"/>
    <mergeCell ref="H191:I191"/>
    <mergeCell ref="J191:K191"/>
    <mergeCell ref="H203:I203"/>
    <mergeCell ref="J203:K203"/>
    <mergeCell ref="H171:I171"/>
    <mergeCell ref="J171:K171"/>
    <mergeCell ref="H174:I174"/>
    <mergeCell ref="J174:K174"/>
    <mergeCell ref="A177:G177"/>
    <mergeCell ref="H177:I177"/>
    <mergeCell ref="J177:K177"/>
    <mergeCell ref="A160:G160"/>
    <mergeCell ref="H160:I160"/>
    <mergeCell ref="J160:K160"/>
    <mergeCell ref="A162:K162"/>
    <mergeCell ref="H170:I170"/>
    <mergeCell ref="J170:K170"/>
    <mergeCell ref="H153:I153"/>
    <mergeCell ref="J153:K153"/>
    <mergeCell ref="H154:I154"/>
    <mergeCell ref="J154:K154"/>
    <mergeCell ref="H157:I157"/>
    <mergeCell ref="J157:K157"/>
    <mergeCell ref="H139:I139"/>
    <mergeCell ref="J139:K139"/>
    <mergeCell ref="H142:I142"/>
    <mergeCell ref="J142:K142"/>
    <mergeCell ref="H145:I145"/>
    <mergeCell ref="J145:K145"/>
    <mergeCell ref="H127:I127"/>
    <mergeCell ref="J127:K127"/>
    <mergeCell ref="H135:I135"/>
    <mergeCell ref="J135:K135"/>
    <mergeCell ref="H136:I136"/>
    <mergeCell ref="J136:K136"/>
    <mergeCell ref="H118:I118"/>
    <mergeCell ref="J118:K118"/>
    <mergeCell ref="H121:I121"/>
    <mergeCell ref="J121:K121"/>
    <mergeCell ref="H124:I124"/>
    <mergeCell ref="J124:K124"/>
    <mergeCell ref="H105:I105"/>
    <mergeCell ref="J105:K105"/>
    <mergeCell ref="H108:I108"/>
    <mergeCell ref="J108:K108"/>
    <mergeCell ref="H117:I117"/>
    <mergeCell ref="J117:K117"/>
    <mergeCell ref="H91:I91"/>
    <mergeCell ref="J91:K91"/>
    <mergeCell ref="H101:I101"/>
    <mergeCell ref="J101:K101"/>
    <mergeCell ref="H102:I102"/>
    <mergeCell ref="J102:K102"/>
    <mergeCell ref="H77:I77"/>
    <mergeCell ref="J77:K77"/>
    <mergeCell ref="H87:I87"/>
    <mergeCell ref="J87:K87"/>
    <mergeCell ref="H88:I88"/>
    <mergeCell ref="J88:K88"/>
    <mergeCell ref="H65:I65"/>
    <mergeCell ref="J65:K65"/>
    <mergeCell ref="H73:I73"/>
    <mergeCell ref="J73:K73"/>
    <mergeCell ref="H74:I74"/>
    <mergeCell ref="J74:K74"/>
    <mergeCell ref="H50:I50"/>
    <mergeCell ref="J50:K50"/>
    <mergeCell ref="H61:I61"/>
    <mergeCell ref="J61:K61"/>
    <mergeCell ref="H62:I62"/>
    <mergeCell ref="J62:K62"/>
    <mergeCell ref="H38:I38"/>
    <mergeCell ref="J38:K38"/>
    <mergeCell ref="H46:I46"/>
    <mergeCell ref="J46:K46"/>
    <mergeCell ref="H47:I47"/>
    <mergeCell ref="J47:K47"/>
    <mergeCell ref="A21:K21"/>
    <mergeCell ref="A24:K24"/>
    <mergeCell ref="H34:I34"/>
    <mergeCell ref="J34:K34"/>
    <mergeCell ref="H35:I35"/>
    <mergeCell ref="J35:K35"/>
    <mergeCell ref="E13:H13"/>
    <mergeCell ref="E14:H14"/>
    <mergeCell ref="E15:H15"/>
    <mergeCell ref="E16:H16"/>
    <mergeCell ref="E17:H17"/>
    <mergeCell ref="E18:H18"/>
    <mergeCell ref="J2:K2"/>
    <mergeCell ref="A3:K3"/>
    <mergeCell ref="A4:K4"/>
    <mergeCell ref="A6:K6"/>
    <mergeCell ref="A8:K8"/>
    <mergeCell ref="A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ЛС 02-01-14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</dc:creator>
  <cp:lastModifiedBy>alef</cp:lastModifiedBy>
  <dcterms:created xsi:type="dcterms:W3CDTF">2026-09-17T13:18:25Z</dcterms:created>
  <dcterms:modified xsi:type="dcterms:W3CDTF">2026-09-17T13:18:44Z</dcterms:modified>
</cp:coreProperties>
</file>